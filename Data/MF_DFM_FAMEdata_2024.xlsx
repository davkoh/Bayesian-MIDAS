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dk/Downloads/"/>
    </mc:Choice>
  </mc:AlternateContent>
  <xr:revisionPtr revIDLastSave="0" documentId="13_ncr:1_{88519497-BDA6-FE4A-8A1F-94B4028D6F14}" xr6:coauthVersionLast="47" xr6:coauthVersionMax="47" xr10:uidLastSave="{00000000-0000-0000-0000-000000000000}"/>
  <bookViews>
    <workbookView xWindow="68640" yWindow="-1040" windowWidth="38400" windowHeight="21100" activeTab="2" xr2:uid="{00000000-000D-0000-FFFF-FFFF00000000}"/>
  </bookViews>
  <sheets>
    <sheet name="FAME Persistence2" sheetId="4" state="veryHidden" r:id="rId1"/>
    <sheet name="MonthlyFAME" sheetId="1" r:id="rId2"/>
    <sheet name="MonthlyData" sheetId="2" r:id="rId3"/>
    <sheet name="QuarterlyFAME" sheetId="3" r:id="rId4"/>
    <sheet name="QuarterlyData" sheetId="5" r:id="rId5"/>
  </sheets>
  <externalReferences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B5" i="5"/>
  <c r="C5" i="5"/>
  <c r="D5" i="5"/>
  <c r="E5" i="5"/>
  <c r="D260" i="5" l="1"/>
  <c r="C260" i="5"/>
  <c r="B260" i="5"/>
  <c r="A260" i="5"/>
  <c r="D259" i="5"/>
  <c r="C259" i="5"/>
  <c r="B259" i="5"/>
  <c r="A259" i="5"/>
  <c r="D256" i="5"/>
  <c r="D257" i="5"/>
  <c r="D258" i="5"/>
  <c r="C256" i="5"/>
  <c r="C257" i="5"/>
  <c r="C258" i="5"/>
  <c r="B256" i="5"/>
  <c r="B257" i="5"/>
  <c r="B258" i="5"/>
  <c r="A257" i="5"/>
  <c r="A258" i="5"/>
  <c r="A256" i="5"/>
  <c r="J758" i="2"/>
  <c r="J759" i="2"/>
  <c r="J760" i="2"/>
  <c r="J761" i="2"/>
  <c r="J762" i="2"/>
  <c r="J763" i="2"/>
  <c r="J764" i="2"/>
  <c r="J765" i="2"/>
  <c r="J766" i="2"/>
  <c r="J767" i="2"/>
  <c r="AC8" i="1"/>
  <c r="AB8" i="1"/>
  <c r="U7" i="1"/>
  <c r="T7" i="1"/>
  <c r="S7" i="1"/>
  <c r="R7" i="1"/>
  <c r="Q7" i="1"/>
  <c r="P7" i="1"/>
  <c r="O7" i="1"/>
  <c r="N7" i="1"/>
  <c r="G7" i="1"/>
  <c r="F7" i="1"/>
  <c r="M7" i="1"/>
  <c r="L7" i="1"/>
  <c r="K7" i="1"/>
  <c r="J7" i="1"/>
  <c r="I7" i="1"/>
  <c r="H7" i="1"/>
  <c r="E7" i="1"/>
  <c r="B7" i="1"/>
  <c r="D7" i="1"/>
  <c r="A7" i="1"/>
  <c r="C7" i="1"/>
  <c r="F6" i="3"/>
  <c r="G6" i="3"/>
  <c r="E6" i="3"/>
  <c r="D6" i="3"/>
  <c r="C6" i="3"/>
  <c r="B6" i="3"/>
  <c r="A6" i="3"/>
  <c r="F752" i="2" l="1"/>
  <c r="F753" i="2"/>
  <c r="F754" i="2"/>
  <c r="F755" i="2"/>
  <c r="F756" i="2"/>
  <c r="F757" i="2"/>
  <c r="F758" i="2"/>
  <c r="F759" i="2"/>
  <c r="F760" i="2"/>
  <c r="F761" i="2"/>
  <c r="F762" i="2"/>
  <c r="F763" i="2"/>
  <c r="F745" i="2"/>
  <c r="F746" i="2"/>
  <c r="F747" i="2"/>
  <c r="F748" i="2"/>
  <c r="F749" i="2"/>
  <c r="F750" i="2"/>
  <c r="F751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F743" i="2"/>
  <c r="F744" i="2"/>
  <c r="E743" i="2"/>
  <c r="E744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6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449" i="2"/>
  <c r="D449" i="2"/>
  <c r="E253" i="5" l="1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A7" i="5" l="1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A57" i="5"/>
  <c r="B57" i="5"/>
  <c r="C57" i="5"/>
  <c r="D57" i="5"/>
  <c r="A58" i="5"/>
  <c r="B58" i="5"/>
  <c r="C58" i="5"/>
  <c r="D58" i="5"/>
  <c r="A59" i="5"/>
  <c r="B59" i="5"/>
  <c r="C59" i="5"/>
  <c r="D59" i="5"/>
  <c r="A60" i="5"/>
  <c r="B60" i="5"/>
  <c r="C60" i="5"/>
  <c r="D60" i="5"/>
  <c r="A61" i="5"/>
  <c r="B61" i="5"/>
  <c r="C61" i="5"/>
  <c r="D61" i="5"/>
  <c r="A62" i="5"/>
  <c r="B62" i="5"/>
  <c r="C62" i="5"/>
  <c r="D62" i="5"/>
  <c r="A63" i="5"/>
  <c r="B63" i="5"/>
  <c r="C63" i="5"/>
  <c r="D63" i="5"/>
  <c r="A64" i="5"/>
  <c r="B64" i="5"/>
  <c r="C64" i="5"/>
  <c r="D64" i="5"/>
  <c r="A65" i="5"/>
  <c r="B65" i="5"/>
  <c r="C65" i="5"/>
  <c r="D65" i="5"/>
  <c r="A66" i="5"/>
  <c r="B66" i="5"/>
  <c r="C66" i="5"/>
  <c r="D66" i="5"/>
  <c r="A67" i="5"/>
  <c r="B67" i="5"/>
  <c r="C67" i="5"/>
  <c r="D67" i="5"/>
  <c r="A68" i="5"/>
  <c r="B68" i="5"/>
  <c r="C68" i="5"/>
  <c r="D68" i="5"/>
  <c r="A69" i="5"/>
  <c r="B69" i="5"/>
  <c r="C69" i="5"/>
  <c r="D69" i="5"/>
  <c r="A70" i="5"/>
  <c r="B70" i="5"/>
  <c r="C70" i="5"/>
  <c r="D70" i="5"/>
  <c r="A71" i="5"/>
  <c r="B71" i="5"/>
  <c r="C71" i="5"/>
  <c r="D71" i="5"/>
  <c r="A72" i="5"/>
  <c r="B72" i="5"/>
  <c r="C72" i="5"/>
  <c r="D72" i="5"/>
  <c r="A73" i="5"/>
  <c r="B73" i="5"/>
  <c r="C73" i="5"/>
  <c r="D73" i="5"/>
  <c r="A74" i="5"/>
  <c r="B74" i="5"/>
  <c r="C74" i="5"/>
  <c r="D74" i="5"/>
  <c r="A75" i="5"/>
  <c r="B75" i="5"/>
  <c r="C75" i="5"/>
  <c r="D75" i="5"/>
  <c r="A76" i="5"/>
  <c r="B76" i="5"/>
  <c r="C76" i="5"/>
  <c r="D76" i="5"/>
  <c r="A77" i="5"/>
  <c r="B77" i="5"/>
  <c r="C77" i="5"/>
  <c r="D77" i="5"/>
  <c r="A78" i="5"/>
  <c r="B78" i="5"/>
  <c r="C78" i="5"/>
  <c r="D78" i="5"/>
  <c r="A79" i="5"/>
  <c r="B79" i="5"/>
  <c r="C79" i="5"/>
  <c r="D79" i="5"/>
  <c r="A80" i="5"/>
  <c r="B80" i="5"/>
  <c r="C80" i="5"/>
  <c r="D80" i="5"/>
  <c r="A81" i="5"/>
  <c r="B81" i="5"/>
  <c r="C81" i="5"/>
  <c r="D81" i="5"/>
  <c r="A82" i="5"/>
  <c r="B82" i="5"/>
  <c r="C82" i="5"/>
  <c r="D82" i="5"/>
  <c r="A83" i="5"/>
  <c r="B83" i="5"/>
  <c r="C83" i="5"/>
  <c r="D83" i="5"/>
  <c r="A84" i="5"/>
  <c r="B84" i="5"/>
  <c r="C84" i="5"/>
  <c r="D84" i="5"/>
  <c r="A85" i="5"/>
  <c r="B85" i="5"/>
  <c r="C85" i="5"/>
  <c r="D85" i="5"/>
  <c r="A86" i="5"/>
  <c r="B86" i="5"/>
  <c r="C86" i="5"/>
  <c r="D86" i="5"/>
  <c r="A87" i="5"/>
  <c r="B87" i="5"/>
  <c r="C87" i="5"/>
  <c r="D87" i="5"/>
  <c r="A88" i="5"/>
  <c r="B88" i="5"/>
  <c r="C88" i="5"/>
  <c r="D88" i="5"/>
  <c r="A89" i="5"/>
  <c r="B89" i="5"/>
  <c r="C89" i="5"/>
  <c r="D89" i="5"/>
  <c r="A90" i="5"/>
  <c r="B90" i="5"/>
  <c r="C90" i="5"/>
  <c r="D90" i="5"/>
  <c r="A91" i="5"/>
  <c r="B91" i="5"/>
  <c r="C91" i="5"/>
  <c r="D91" i="5"/>
  <c r="A92" i="5"/>
  <c r="B92" i="5"/>
  <c r="C92" i="5"/>
  <c r="D92" i="5"/>
  <c r="A93" i="5"/>
  <c r="B93" i="5"/>
  <c r="C93" i="5"/>
  <c r="D93" i="5"/>
  <c r="A94" i="5"/>
  <c r="B94" i="5"/>
  <c r="C94" i="5"/>
  <c r="D94" i="5"/>
  <c r="A95" i="5"/>
  <c r="B95" i="5"/>
  <c r="C95" i="5"/>
  <c r="D95" i="5"/>
  <c r="A96" i="5"/>
  <c r="B96" i="5"/>
  <c r="C96" i="5"/>
  <c r="D96" i="5"/>
  <c r="A97" i="5"/>
  <c r="B97" i="5"/>
  <c r="C97" i="5"/>
  <c r="D97" i="5"/>
  <c r="A98" i="5"/>
  <c r="B98" i="5"/>
  <c r="C98" i="5"/>
  <c r="D98" i="5"/>
  <c r="A99" i="5"/>
  <c r="B99" i="5"/>
  <c r="C99" i="5"/>
  <c r="D99" i="5"/>
  <c r="A100" i="5"/>
  <c r="B100" i="5"/>
  <c r="C100" i="5"/>
  <c r="D100" i="5"/>
  <c r="A101" i="5"/>
  <c r="B101" i="5"/>
  <c r="C101" i="5"/>
  <c r="D101" i="5"/>
  <c r="A102" i="5"/>
  <c r="B102" i="5"/>
  <c r="C102" i="5"/>
  <c r="D102" i="5"/>
  <c r="A103" i="5"/>
  <c r="B103" i="5"/>
  <c r="C103" i="5"/>
  <c r="D103" i="5"/>
  <c r="A104" i="5"/>
  <c r="B104" i="5"/>
  <c r="C104" i="5"/>
  <c r="D104" i="5"/>
  <c r="A105" i="5"/>
  <c r="B105" i="5"/>
  <c r="C105" i="5"/>
  <c r="D105" i="5"/>
  <c r="A106" i="5"/>
  <c r="B106" i="5"/>
  <c r="C106" i="5"/>
  <c r="D106" i="5"/>
  <c r="A107" i="5"/>
  <c r="B107" i="5"/>
  <c r="C107" i="5"/>
  <c r="D107" i="5"/>
  <c r="A108" i="5"/>
  <c r="B108" i="5"/>
  <c r="C108" i="5"/>
  <c r="D108" i="5"/>
  <c r="A109" i="5"/>
  <c r="B109" i="5"/>
  <c r="C109" i="5"/>
  <c r="D109" i="5"/>
  <c r="A110" i="5"/>
  <c r="B110" i="5"/>
  <c r="C110" i="5"/>
  <c r="D110" i="5"/>
  <c r="A111" i="5"/>
  <c r="B111" i="5"/>
  <c r="C111" i="5"/>
  <c r="D111" i="5"/>
  <c r="A112" i="5"/>
  <c r="B112" i="5"/>
  <c r="C112" i="5"/>
  <c r="D112" i="5"/>
  <c r="A113" i="5"/>
  <c r="B113" i="5"/>
  <c r="C113" i="5"/>
  <c r="D113" i="5"/>
  <c r="A114" i="5"/>
  <c r="B114" i="5"/>
  <c r="C114" i="5"/>
  <c r="D114" i="5"/>
  <c r="A115" i="5"/>
  <c r="B115" i="5"/>
  <c r="C115" i="5"/>
  <c r="D115" i="5"/>
  <c r="A116" i="5"/>
  <c r="B116" i="5"/>
  <c r="C116" i="5"/>
  <c r="D116" i="5"/>
  <c r="A117" i="5"/>
  <c r="B117" i="5"/>
  <c r="C117" i="5"/>
  <c r="D117" i="5"/>
  <c r="A118" i="5"/>
  <c r="B118" i="5"/>
  <c r="C118" i="5"/>
  <c r="D118" i="5"/>
  <c r="A119" i="5"/>
  <c r="B119" i="5"/>
  <c r="C119" i="5"/>
  <c r="D119" i="5"/>
  <c r="A120" i="5"/>
  <c r="B120" i="5"/>
  <c r="C120" i="5"/>
  <c r="D120" i="5"/>
  <c r="A121" i="5"/>
  <c r="B121" i="5"/>
  <c r="C121" i="5"/>
  <c r="D121" i="5"/>
  <c r="A122" i="5"/>
  <c r="B122" i="5"/>
  <c r="C122" i="5"/>
  <c r="D122" i="5"/>
  <c r="A123" i="5"/>
  <c r="B123" i="5"/>
  <c r="C123" i="5"/>
  <c r="D123" i="5"/>
  <c r="A124" i="5"/>
  <c r="B124" i="5"/>
  <c r="C124" i="5"/>
  <c r="D124" i="5"/>
  <c r="A125" i="5"/>
  <c r="B125" i="5"/>
  <c r="C125" i="5"/>
  <c r="D125" i="5"/>
  <c r="A126" i="5"/>
  <c r="B126" i="5"/>
  <c r="C126" i="5"/>
  <c r="D126" i="5"/>
  <c r="A127" i="5"/>
  <c r="B127" i="5"/>
  <c r="C127" i="5"/>
  <c r="D127" i="5"/>
  <c r="A128" i="5"/>
  <c r="B128" i="5"/>
  <c r="C128" i="5"/>
  <c r="D128" i="5"/>
  <c r="A129" i="5"/>
  <c r="B129" i="5"/>
  <c r="C129" i="5"/>
  <c r="D129" i="5"/>
  <c r="A130" i="5"/>
  <c r="B130" i="5"/>
  <c r="C130" i="5"/>
  <c r="D130" i="5"/>
  <c r="A131" i="5"/>
  <c r="B131" i="5"/>
  <c r="C131" i="5"/>
  <c r="D131" i="5"/>
  <c r="A132" i="5"/>
  <c r="B132" i="5"/>
  <c r="C132" i="5"/>
  <c r="D132" i="5"/>
  <c r="A133" i="5"/>
  <c r="B133" i="5"/>
  <c r="C133" i="5"/>
  <c r="D133" i="5"/>
  <c r="A134" i="5"/>
  <c r="B134" i="5"/>
  <c r="C134" i="5"/>
  <c r="D134" i="5"/>
  <c r="A135" i="5"/>
  <c r="B135" i="5"/>
  <c r="C135" i="5"/>
  <c r="D135" i="5"/>
  <c r="A136" i="5"/>
  <c r="B136" i="5"/>
  <c r="C136" i="5"/>
  <c r="D136" i="5"/>
  <c r="A137" i="5"/>
  <c r="B137" i="5"/>
  <c r="C137" i="5"/>
  <c r="D137" i="5"/>
  <c r="A138" i="5"/>
  <c r="B138" i="5"/>
  <c r="C138" i="5"/>
  <c r="D138" i="5"/>
  <c r="A139" i="5"/>
  <c r="B139" i="5"/>
  <c r="C139" i="5"/>
  <c r="D139" i="5"/>
  <c r="A140" i="5"/>
  <c r="B140" i="5"/>
  <c r="C140" i="5"/>
  <c r="D140" i="5"/>
  <c r="A141" i="5"/>
  <c r="B141" i="5"/>
  <c r="C141" i="5"/>
  <c r="D141" i="5"/>
  <c r="A142" i="5"/>
  <c r="B142" i="5"/>
  <c r="C142" i="5"/>
  <c r="D142" i="5"/>
  <c r="A143" i="5"/>
  <c r="B143" i="5"/>
  <c r="C143" i="5"/>
  <c r="D143" i="5"/>
  <c r="A144" i="5"/>
  <c r="B144" i="5"/>
  <c r="C144" i="5"/>
  <c r="D144" i="5"/>
  <c r="A145" i="5"/>
  <c r="B145" i="5"/>
  <c r="C145" i="5"/>
  <c r="D145" i="5"/>
  <c r="A146" i="5"/>
  <c r="B146" i="5"/>
  <c r="C146" i="5"/>
  <c r="D146" i="5"/>
  <c r="A147" i="5"/>
  <c r="B147" i="5"/>
  <c r="C147" i="5"/>
  <c r="D147" i="5"/>
  <c r="A148" i="5"/>
  <c r="B148" i="5"/>
  <c r="C148" i="5"/>
  <c r="D148" i="5"/>
  <c r="A149" i="5"/>
  <c r="B149" i="5"/>
  <c r="C149" i="5"/>
  <c r="D149" i="5"/>
  <c r="A150" i="5"/>
  <c r="B150" i="5"/>
  <c r="C150" i="5"/>
  <c r="D150" i="5"/>
  <c r="A151" i="5"/>
  <c r="B151" i="5"/>
  <c r="C151" i="5"/>
  <c r="D151" i="5"/>
  <c r="A152" i="5"/>
  <c r="B152" i="5"/>
  <c r="C152" i="5"/>
  <c r="D152" i="5"/>
  <c r="A153" i="5"/>
  <c r="B153" i="5"/>
  <c r="C153" i="5"/>
  <c r="D153" i="5"/>
  <c r="A154" i="5"/>
  <c r="B154" i="5"/>
  <c r="C154" i="5"/>
  <c r="D154" i="5"/>
  <c r="A155" i="5"/>
  <c r="B155" i="5"/>
  <c r="C155" i="5"/>
  <c r="D155" i="5"/>
  <c r="A156" i="5"/>
  <c r="B156" i="5"/>
  <c r="C156" i="5"/>
  <c r="D156" i="5"/>
  <c r="A157" i="5"/>
  <c r="B157" i="5"/>
  <c r="C157" i="5"/>
  <c r="D157" i="5"/>
  <c r="A158" i="5"/>
  <c r="B158" i="5"/>
  <c r="C158" i="5"/>
  <c r="D158" i="5"/>
  <c r="A159" i="5"/>
  <c r="B159" i="5"/>
  <c r="C159" i="5"/>
  <c r="D159" i="5"/>
  <c r="A160" i="5"/>
  <c r="B160" i="5"/>
  <c r="C160" i="5"/>
  <c r="D160" i="5"/>
  <c r="A161" i="5"/>
  <c r="B161" i="5"/>
  <c r="C161" i="5"/>
  <c r="D161" i="5"/>
  <c r="A162" i="5"/>
  <c r="B162" i="5"/>
  <c r="C162" i="5"/>
  <c r="D162" i="5"/>
  <c r="A163" i="5"/>
  <c r="B163" i="5"/>
  <c r="C163" i="5"/>
  <c r="D163" i="5"/>
  <c r="A164" i="5"/>
  <c r="B164" i="5"/>
  <c r="C164" i="5"/>
  <c r="D164" i="5"/>
  <c r="A165" i="5"/>
  <c r="B165" i="5"/>
  <c r="C165" i="5"/>
  <c r="D165" i="5"/>
  <c r="A166" i="5"/>
  <c r="B166" i="5"/>
  <c r="C166" i="5"/>
  <c r="D166" i="5"/>
  <c r="A167" i="5"/>
  <c r="B167" i="5"/>
  <c r="C167" i="5"/>
  <c r="D167" i="5"/>
  <c r="A168" i="5"/>
  <c r="B168" i="5"/>
  <c r="C168" i="5"/>
  <c r="D168" i="5"/>
  <c r="A169" i="5"/>
  <c r="B169" i="5"/>
  <c r="C169" i="5"/>
  <c r="D169" i="5"/>
  <c r="A170" i="5"/>
  <c r="B170" i="5"/>
  <c r="C170" i="5"/>
  <c r="D170" i="5"/>
  <c r="A171" i="5"/>
  <c r="B171" i="5"/>
  <c r="C171" i="5"/>
  <c r="D171" i="5"/>
  <c r="A172" i="5"/>
  <c r="B172" i="5"/>
  <c r="C172" i="5"/>
  <c r="D172" i="5"/>
  <c r="A173" i="5"/>
  <c r="B173" i="5"/>
  <c r="C173" i="5"/>
  <c r="D173" i="5"/>
  <c r="A174" i="5"/>
  <c r="B174" i="5"/>
  <c r="C174" i="5"/>
  <c r="D174" i="5"/>
  <c r="A175" i="5"/>
  <c r="B175" i="5"/>
  <c r="C175" i="5"/>
  <c r="D175" i="5"/>
  <c r="A176" i="5"/>
  <c r="B176" i="5"/>
  <c r="C176" i="5"/>
  <c r="D176" i="5"/>
  <c r="A177" i="5"/>
  <c r="B177" i="5"/>
  <c r="C177" i="5"/>
  <c r="D177" i="5"/>
  <c r="A178" i="5"/>
  <c r="B178" i="5"/>
  <c r="C178" i="5"/>
  <c r="D178" i="5"/>
  <c r="A179" i="5"/>
  <c r="B179" i="5"/>
  <c r="C179" i="5"/>
  <c r="D179" i="5"/>
  <c r="A180" i="5"/>
  <c r="B180" i="5"/>
  <c r="C180" i="5"/>
  <c r="D180" i="5"/>
  <c r="A181" i="5"/>
  <c r="B181" i="5"/>
  <c r="C181" i="5"/>
  <c r="D181" i="5"/>
  <c r="A182" i="5"/>
  <c r="B182" i="5"/>
  <c r="C182" i="5"/>
  <c r="D182" i="5"/>
  <c r="A183" i="5"/>
  <c r="B183" i="5"/>
  <c r="C183" i="5"/>
  <c r="D183" i="5"/>
  <c r="A184" i="5"/>
  <c r="B184" i="5"/>
  <c r="C184" i="5"/>
  <c r="D184" i="5"/>
  <c r="A185" i="5"/>
  <c r="B185" i="5"/>
  <c r="C185" i="5"/>
  <c r="D185" i="5"/>
  <c r="A186" i="5"/>
  <c r="B186" i="5"/>
  <c r="C186" i="5"/>
  <c r="D186" i="5"/>
  <c r="A187" i="5"/>
  <c r="B187" i="5"/>
  <c r="C187" i="5"/>
  <c r="D187" i="5"/>
  <c r="A188" i="5"/>
  <c r="B188" i="5"/>
  <c r="C188" i="5"/>
  <c r="D188" i="5"/>
  <c r="A189" i="5"/>
  <c r="B189" i="5"/>
  <c r="C189" i="5"/>
  <c r="D189" i="5"/>
  <c r="A190" i="5"/>
  <c r="B190" i="5"/>
  <c r="C190" i="5"/>
  <c r="D190" i="5"/>
  <c r="A191" i="5"/>
  <c r="B191" i="5"/>
  <c r="C191" i="5"/>
  <c r="D191" i="5"/>
  <c r="A192" i="5"/>
  <c r="B192" i="5"/>
  <c r="C192" i="5"/>
  <c r="D192" i="5"/>
  <c r="A193" i="5"/>
  <c r="B193" i="5"/>
  <c r="C193" i="5"/>
  <c r="D193" i="5"/>
  <c r="A194" i="5"/>
  <c r="B194" i="5"/>
  <c r="C194" i="5"/>
  <c r="D194" i="5"/>
  <c r="A195" i="5"/>
  <c r="B195" i="5"/>
  <c r="C195" i="5"/>
  <c r="D195" i="5"/>
  <c r="A196" i="5"/>
  <c r="B196" i="5"/>
  <c r="C196" i="5"/>
  <c r="D196" i="5"/>
  <c r="A197" i="5"/>
  <c r="B197" i="5"/>
  <c r="C197" i="5"/>
  <c r="D197" i="5"/>
  <c r="A198" i="5"/>
  <c r="B198" i="5"/>
  <c r="C198" i="5"/>
  <c r="D198" i="5"/>
  <c r="A199" i="5"/>
  <c r="B199" i="5"/>
  <c r="C199" i="5"/>
  <c r="D199" i="5"/>
  <c r="A200" i="5"/>
  <c r="B200" i="5"/>
  <c r="C200" i="5"/>
  <c r="D200" i="5"/>
  <c r="A201" i="5"/>
  <c r="B201" i="5"/>
  <c r="C201" i="5"/>
  <c r="D201" i="5"/>
  <c r="A202" i="5"/>
  <c r="B202" i="5"/>
  <c r="C202" i="5"/>
  <c r="D202" i="5"/>
  <c r="A203" i="5"/>
  <c r="B203" i="5"/>
  <c r="C203" i="5"/>
  <c r="D203" i="5"/>
  <c r="A204" i="5"/>
  <c r="B204" i="5"/>
  <c r="C204" i="5"/>
  <c r="D204" i="5"/>
  <c r="A205" i="5"/>
  <c r="B205" i="5"/>
  <c r="C205" i="5"/>
  <c r="D205" i="5"/>
  <c r="A206" i="5"/>
  <c r="B206" i="5"/>
  <c r="C206" i="5"/>
  <c r="D206" i="5"/>
  <c r="A207" i="5"/>
  <c r="B207" i="5"/>
  <c r="C207" i="5"/>
  <c r="D207" i="5"/>
  <c r="A208" i="5"/>
  <c r="B208" i="5"/>
  <c r="C208" i="5"/>
  <c r="D208" i="5"/>
  <c r="A209" i="5"/>
  <c r="B209" i="5"/>
  <c r="C209" i="5"/>
  <c r="D209" i="5"/>
  <c r="A210" i="5"/>
  <c r="B210" i="5"/>
  <c r="C210" i="5"/>
  <c r="D210" i="5"/>
  <c r="A211" i="5"/>
  <c r="B211" i="5"/>
  <c r="C211" i="5"/>
  <c r="D211" i="5"/>
  <c r="A212" i="5"/>
  <c r="B212" i="5"/>
  <c r="C212" i="5"/>
  <c r="D212" i="5"/>
  <c r="A213" i="5"/>
  <c r="B213" i="5"/>
  <c r="C213" i="5"/>
  <c r="D213" i="5"/>
  <c r="A214" i="5"/>
  <c r="B214" i="5"/>
  <c r="C214" i="5"/>
  <c r="D214" i="5"/>
  <c r="A215" i="5"/>
  <c r="B215" i="5"/>
  <c r="C215" i="5"/>
  <c r="D215" i="5"/>
  <c r="A216" i="5"/>
  <c r="B216" i="5"/>
  <c r="C216" i="5"/>
  <c r="D216" i="5"/>
  <c r="A217" i="5"/>
  <c r="B217" i="5"/>
  <c r="C217" i="5"/>
  <c r="D217" i="5"/>
  <c r="A218" i="5"/>
  <c r="B218" i="5"/>
  <c r="C218" i="5"/>
  <c r="D218" i="5"/>
  <c r="A219" i="5"/>
  <c r="B219" i="5"/>
  <c r="C219" i="5"/>
  <c r="D219" i="5"/>
  <c r="A220" i="5"/>
  <c r="B220" i="5"/>
  <c r="C220" i="5"/>
  <c r="D220" i="5"/>
  <c r="A221" i="5"/>
  <c r="B221" i="5"/>
  <c r="C221" i="5"/>
  <c r="D221" i="5"/>
  <c r="A222" i="5"/>
  <c r="B222" i="5"/>
  <c r="C222" i="5"/>
  <c r="D222" i="5"/>
  <c r="A223" i="5"/>
  <c r="B223" i="5"/>
  <c r="C223" i="5"/>
  <c r="D223" i="5"/>
  <c r="A224" i="5"/>
  <c r="B224" i="5"/>
  <c r="C224" i="5"/>
  <c r="D224" i="5"/>
  <c r="A225" i="5"/>
  <c r="B225" i="5"/>
  <c r="C225" i="5"/>
  <c r="D225" i="5"/>
  <c r="A226" i="5"/>
  <c r="B226" i="5"/>
  <c r="C226" i="5"/>
  <c r="D226" i="5"/>
  <c r="A227" i="5"/>
  <c r="B227" i="5"/>
  <c r="C227" i="5"/>
  <c r="D227" i="5"/>
  <c r="A228" i="5"/>
  <c r="B228" i="5"/>
  <c r="C228" i="5"/>
  <c r="D228" i="5"/>
  <c r="A229" i="5"/>
  <c r="B229" i="5"/>
  <c r="C229" i="5"/>
  <c r="D229" i="5"/>
  <c r="A230" i="5"/>
  <c r="B230" i="5"/>
  <c r="C230" i="5"/>
  <c r="D230" i="5"/>
  <c r="A231" i="5"/>
  <c r="B231" i="5"/>
  <c r="C231" i="5"/>
  <c r="D231" i="5"/>
  <c r="A232" i="5"/>
  <c r="B232" i="5"/>
  <c r="C232" i="5"/>
  <c r="D232" i="5"/>
  <c r="A233" i="5"/>
  <c r="B233" i="5"/>
  <c r="C233" i="5"/>
  <c r="D233" i="5"/>
  <c r="A234" i="5"/>
  <c r="B234" i="5"/>
  <c r="C234" i="5"/>
  <c r="D234" i="5"/>
  <c r="A235" i="5"/>
  <c r="B235" i="5"/>
  <c r="C235" i="5"/>
  <c r="D235" i="5"/>
  <c r="A236" i="5"/>
  <c r="B236" i="5"/>
  <c r="C236" i="5"/>
  <c r="D236" i="5"/>
  <c r="A237" i="5"/>
  <c r="B237" i="5"/>
  <c r="C237" i="5"/>
  <c r="D237" i="5"/>
  <c r="A238" i="5"/>
  <c r="B238" i="5"/>
  <c r="C238" i="5"/>
  <c r="D238" i="5"/>
  <c r="A239" i="5"/>
  <c r="B239" i="5"/>
  <c r="C239" i="5"/>
  <c r="D239" i="5"/>
  <c r="A240" i="5"/>
  <c r="B240" i="5"/>
  <c r="C240" i="5"/>
  <c r="D240" i="5"/>
  <c r="A241" i="5"/>
  <c r="B241" i="5"/>
  <c r="C241" i="5"/>
  <c r="D241" i="5"/>
  <c r="A242" i="5"/>
  <c r="B242" i="5"/>
  <c r="C242" i="5"/>
  <c r="D242" i="5"/>
  <c r="A243" i="5"/>
  <c r="B243" i="5"/>
  <c r="C243" i="5"/>
  <c r="D243" i="5"/>
  <c r="A244" i="5"/>
  <c r="B244" i="5"/>
  <c r="C244" i="5"/>
  <c r="D244" i="5"/>
  <c r="A245" i="5"/>
  <c r="B245" i="5"/>
  <c r="C245" i="5"/>
  <c r="D245" i="5"/>
  <c r="A246" i="5"/>
  <c r="B246" i="5"/>
  <c r="C246" i="5"/>
  <c r="D246" i="5"/>
  <c r="A247" i="5"/>
  <c r="B247" i="5"/>
  <c r="C247" i="5"/>
  <c r="D247" i="5"/>
  <c r="A248" i="5"/>
  <c r="B248" i="5"/>
  <c r="C248" i="5"/>
  <c r="D248" i="5"/>
  <c r="A249" i="5"/>
  <c r="B249" i="5"/>
  <c r="C249" i="5"/>
  <c r="D249" i="5"/>
  <c r="A250" i="5"/>
  <c r="B250" i="5"/>
  <c r="C250" i="5"/>
  <c r="D250" i="5"/>
  <c r="A251" i="5"/>
  <c r="B251" i="5"/>
  <c r="C251" i="5"/>
  <c r="D251" i="5"/>
  <c r="A252" i="5"/>
  <c r="B252" i="5"/>
  <c r="C252" i="5"/>
  <c r="D252" i="5"/>
  <c r="A253" i="5"/>
  <c r="B253" i="5"/>
  <c r="C253" i="5"/>
  <c r="D253" i="5"/>
  <c r="A254" i="5"/>
  <c r="B254" i="5"/>
  <c r="C254" i="5"/>
  <c r="D254" i="5"/>
  <c r="A255" i="5"/>
  <c r="B255" i="5"/>
  <c r="C255" i="5"/>
  <c r="D255" i="5"/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41" i="2"/>
  <c r="B743" i="2"/>
  <c r="C743" i="2"/>
  <c r="D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B744" i="2"/>
  <c r="C744" i="2"/>
  <c r="D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S744" i="2"/>
  <c r="T744" i="2"/>
  <c r="B745" i="2"/>
  <c r="C745" i="2"/>
  <c r="D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B746" i="2"/>
  <c r="C746" i="2"/>
  <c r="D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S746" i="2"/>
  <c r="T746" i="2"/>
  <c r="B747" i="2"/>
  <c r="C747" i="2"/>
  <c r="D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S747" i="2"/>
  <c r="T747" i="2"/>
  <c r="B748" i="2"/>
  <c r="C748" i="2"/>
  <c r="D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S748" i="2"/>
  <c r="T748" i="2"/>
  <c r="B749" i="2"/>
  <c r="C749" i="2"/>
  <c r="D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S749" i="2"/>
  <c r="T749" i="2"/>
  <c r="B750" i="2"/>
  <c r="C750" i="2"/>
  <c r="D750" i="2"/>
  <c r="G750" i="2"/>
  <c r="H750" i="2"/>
  <c r="I750" i="2"/>
  <c r="J750" i="2"/>
  <c r="K750" i="2"/>
  <c r="L750" i="2"/>
  <c r="M750" i="2"/>
  <c r="N750" i="2"/>
  <c r="O750" i="2"/>
  <c r="P750" i="2"/>
  <c r="Q750" i="2"/>
  <c r="R750" i="2"/>
  <c r="S750" i="2"/>
  <c r="T750" i="2"/>
  <c r="B751" i="2"/>
  <c r="C751" i="2"/>
  <c r="D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S751" i="2"/>
  <c r="T751" i="2"/>
  <c r="B752" i="2"/>
  <c r="C752" i="2"/>
  <c r="D752" i="2"/>
  <c r="G752" i="2"/>
  <c r="H752" i="2"/>
  <c r="I752" i="2"/>
  <c r="J752" i="2"/>
  <c r="K752" i="2"/>
  <c r="L752" i="2"/>
  <c r="M752" i="2"/>
  <c r="N752" i="2"/>
  <c r="O752" i="2"/>
  <c r="P752" i="2"/>
  <c r="Q752" i="2"/>
  <c r="R752" i="2"/>
  <c r="S752" i="2"/>
  <c r="T752" i="2"/>
  <c r="B753" i="2"/>
  <c r="C753" i="2"/>
  <c r="D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B754" i="2"/>
  <c r="C754" i="2"/>
  <c r="D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S754" i="2"/>
  <c r="T754" i="2"/>
  <c r="B755" i="2"/>
  <c r="C755" i="2"/>
  <c r="D755" i="2"/>
  <c r="G755" i="2"/>
  <c r="H755" i="2"/>
  <c r="I755" i="2"/>
  <c r="J755" i="2"/>
  <c r="K755" i="2"/>
  <c r="L755" i="2"/>
  <c r="M755" i="2"/>
  <c r="N755" i="2"/>
  <c r="O755" i="2"/>
  <c r="P755" i="2"/>
  <c r="Q755" i="2"/>
  <c r="R755" i="2"/>
  <c r="S755" i="2"/>
  <c r="T755" i="2"/>
  <c r="B756" i="2"/>
  <c r="C756" i="2"/>
  <c r="D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S756" i="2"/>
  <c r="T756" i="2"/>
  <c r="B757" i="2"/>
  <c r="C757" i="2"/>
  <c r="D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S757" i="2"/>
  <c r="T757" i="2"/>
  <c r="B758" i="2"/>
  <c r="C758" i="2"/>
  <c r="D758" i="2"/>
  <c r="G758" i="2"/>
  <c r="H758" i="2"/>
  <c r="I758" i="2"/>
  <c r="L758" i="2"/>
  <c r="M758" i="2"/>
  <c r="N758" i="2"/>
  <c r="O758" i="2"/>
  <c r="P758" i="2"/>
  <c r="Q758" i="2"/>
  <c r="R758" i="2"/>
  <c r="S758" i="2"/>
  <c r="T758" i="2"/>
  <c r="B759" i="2"/>
  <c r="C759" i="2"/>
  <c r="D759" i="2"/>
  <c r="G759" i="2"/>
  <c r="H759" i="2"/>
  <c r="I759" i="2"/>
  <c r="L759" i="2"/>
  <c r="M759" i="2"/>
  <c r="N759" i="2"/>
  <c r="O759" i="2"/>
  <c r="P759" i="2"/>
  <c r="Q759" i="2"/>
  <c r="R759" i="2"/>
  <c r="S759" i="2"/>
  <c r="T759" i="2"/>
  <c r="B760" i="2"/>
  <c r="C760" i="2"/>
  <c r="D760" i="2"/>
  <c r="G760" i="2"/>
  <c r="H760" i="2"/>
  <c r="I760" i="2"/>
  <c r="L760" i="2"/>
  <c r="M760" i="2"/>
  <c r="N760" i="2"/>
  <c r="O760" i="2"/>
  <c r="P760" i="2"/>
  <c r="Q760" i="2"/>
  <c r="R760" i="2"/>
  <c r="S760" i="2"/>
  <c r="T760" i="2"/>
  <c r="B761" i="2"/>
  <c r="C761" i="2"/>
  <c r="D761" i="2"/>
  <c r="G761" i="2"/>
  <c r="H761" i="2"/>
  <c r="I761" i="2"/>
  <c r="L761" i="2"/>
  <c r="M761" i="2"/>
  <c r="N761" i="2"/>
  <c r="O761" i="2"/>
  <c r="P761" i="2"/>
  <c r="Q761" i="2"/>
  <c r="R761" i="2"/>
  <c r="S761" i="2"/>
  <c r="T761" i="2"/>
  <c r="B762" i="2"/>
  <c r="C762" i="2"/>
  <c r="D762" i="2"/>
  <c r="G762" i="2"/>
  <c r="H762" i="2"/>
  <c r="I762" i="2"/>
  <c r="L762" i="2"/>
  <c r="M762" i="2"/>
  <c r="N762" i="2"/>
  <c r="O762" i="2"/>
  <c r="P762" i="2"/>
  <c r="Q762" i="2"/>
  <c r="R762" i="2"/>
  <c r="S762" i="2"/>
  <c r="T762" i="2"/>
  <c r="B763" i="2"/>
  <c r="C763" i="2"/>
  <c r="D763" i="2"/>
  <c r="G763" i="2"/>
  <c r="H763" i="2"/>
  <c r="I763" i="2"/>
  <c r="L763" i="2"/>
  <c r="M763" i="2"/>
  <c r="N763" i="2"/>
  <c r="O763" i="2"/>
  <c r="P763" i="2"/>
  <c r="Q763" i="2"/>
  <c r="R763" i="2"/>
  <c r="S763" i="2"/>
  <c r="T763" i="2"/>
  <c r="B764" i="2"/>
  <c r="C764" i="2"/>
  <c r="D764" i="2"/>
  <c r="G764" i="2"/>
  <c r="H764" i="2"/>
  <c r="I764" i="2"/>
  <c r="L764" i="2"/>
  <c r="M764" i="2"/>
  <c r="N764" i="2"/>
  <c r="O764" i="2"/>
  <c r="P764" i="2"/>
  <c r="Q764" i="2"/>
  <c r="R764" i="2"/>
  <c r="S764" i="2"/>
  <c r="T764" i="2"/>
  <c r="B765" i="2"/>
  <c r="C765" i="2"/>
  <c r="D765" i="2"/>
  <c r="G765" i="2"/>
  <c r="H765" i="2"/>
  <c r="I765" i="2"/>
  <c r="L765" i="2"/>
  <c r="M765" i="2"/>
  <c r="N765" i="2"/>
  <c r="O765" i="2"/>
  <c r="P765" i="2"/>
  <c r="Q765" i="2"/>
  <c r="R765" i="2"/>
  <c r="S765" i="2"/>
  <c r="T765" i="2"/>
  <c r="B766" i="2"/>
  <c r="C766" i="2"/>
  <c r="D766" i="2"/>
  <c r="G766" i="2"/>
  <c r="H766" i="2"/>
  <c r="I766" i="2"/>
  <c r="L766" i="2"/>
  <c r="M766" i="2"/>
  <c r="N766" i="2"/>
  <c r="O766" i="2"/>
  <c r="P766" i="2"/>
  <c r="Q766" i="2"/>
  <c r="R766" i="2"/>
  <c r="S766" i="2"/>
  <c r="T766" i="2"/>
  <c r="B767" i="2"/>
  <c r="C767" i="2"/>
  <c r="D767" i="2"/>
  <c r="G767" i="2"/>
  <c r="H767" i="2"/>
  <c r="I767" i="2"/>
  <c r="L767" i="2"/>
  <c r="M767" i="2"/>
  <c r="N767" i="2"/>
  <c r="O767" i="2"/>
  <c r="P767" i="2"/>
  <c r="Q767" i="2"/>
  <c r="R767" i="2"/>
  <c r="S767" i="2"/>
  <c r="T767" i="2"/>
  <c r="D742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6" i="2"/>
  <c r="A6" i="5" l="1"/>
  <c r="C6" i="5"/>
  <c r="D6" i="5"/>
  <c r="B6" i="5"/>
  <c r="B7" i="2"/>
  <c r="C7" i="2"/>
  <c r="G7" i="2"/>
  <c r="H7" i="2"/>
  <c r="I7" i="2"/>
  <c r="K7" i="2"/>
  <c r="L7" i="2"/>
  <c r="M7" i="2"/>
  <c r="N7" i="2"/>
  <c r="O7" i="2"/>
  <c r="P7" i="2"/>
  <c r="Q7" i="2"/>
  <c r="R7" i="2"/>
  <c r="S7" i="2"/>
  <c r="T7" i="2"/>
  <c r="B8" i="2"/>
  <c r="C8" i="2"/>
  <c r="G8" i="2"/>
  <c r="H8" i="2"/>
  <c r="I8" i="2"/>
  <c r="K8" i="2"/>
  <c r="L8" i="2"/>
  <c r="M8" i="2"/>
  <c r="N8" i="2"/>
  <c r="O8" i="2"/>
  <c r="P8" i="2"/>
  <c r="Q8" i="2"/>
  <c r="R8" i="2"/>
  <c r="S8" i="2"/>
  <c r="T8" i="2"/>
  <c r="B9" i="2"/>
  <c r="C9" i="2"/>
  <c r="G9" i="2"/>
  <c r="H9" i="2"/>
  <c r="I9" i="2"/>
  <c r="K9" i="2"/>
  <c r="L9" i="2"/>
  <c r="M9" i="2"/>
  <c r="N9" i="2"/>
  <c r="O9" i="2"/>
  <c r="P9" i="2"/>
  <c r="Q9" i="2"/>
  <c r="R9" i="2"/>
  <c r="S9" i="2"/>
  <c r="T9" i="2"/>
  <c r="B10" i="2"/>
  <c r="C10" i="2"/>
  <c r="G10" i="2"/>
  <c r="H10" i="2"/>
  <c r="I10" i="2"/>
  <c r="K10" i="2"/>
  <c r="L10" i="2"/>
  <c r="M10" i="2"/>
  <c r="N10" i="2"/>
  <c r="O10" i="2"/>
  <c r="P10" i="2"/>
  <c r="Q10" i="2"/>
  <c r="R10" i="2"/>
  <c r="S10" i="2"/>
  <c r="T10" i="2"/>
  <c r="B11" i="2"/>
  <c r="C11" i="2"/>
  <c r="G11" i="2"/>
  <c r="H11" i="2"/>
  <c r="I11" i="2"/>
  <c r="K11" i="2"/>
  <c r="L11" i="2"/>
  <c r="M11" i="2"/>
  <c r="N11" i="2"/>
  <c r="O11" i="2"/>
  <c r="P11" i="2"/>
  <c r="Q11" i="2"/>
  <c r="R11" i="2"/>
  <c r="S11" i="2"/>
  <c r="T11" i="2"/>
  <c r="B12" i="2"/>
  <c r="C12" i="2"/>
  <c r="G12" i="2"/>
  <c r="H12" i="2"/>
  <c r="I12" i="2"/>
  <c r="K12" i="2"/>
  <c r="L12" i="2"/>
  <c r="M12" i="2"/>
  <c r="N12" i="2"/>
  <c r="O12" i="2"/>
  <c r="P12" i="2"/>
  <c r="Q12" i="2"/>
  <c r="R12" i="2"/>
  <c r="S12" i="2"/>
  <c r="T12" i="2"/>
  <c r="B13" i="2"/>
  <c r="C13" i="2"/>
  <c r="G13" i="2"/>
  <c r="H13" i="2"/>
  <c r="I13" i="2"/>
  <c r="K13" i="2"/>
  <c r="L13" i="2"/>
  <c r="M13" i="2"/>
  <c r="N13" i="2"/>
  <c r="O13" i="2"/>
  <c r="P13" i="2"/>
  <c r="Q13" i="2"/>
  <c r="R13" i="2"/>
  <c r="S13" i="2"/>
  <c r="T13" i="2"/>
  <c r="B14" i="2"/>
  <c r="C14" i="2"/>
  <c r="G14" i="2"/>
  <c r="H14" i="2"/>
  <c r="I14" i="2"/>
  <c r="K14" i="2"/>
  <c r="L14" i="2"/>
  <c r="M14" i="2"/>
  <c r="N14" i="2"/>
  <c r="O14" i="2"/>
  <c r="P14" i="2"/>
  <c r="Q14" i="2"/>
  <c r="R14" i="2"/>
  <c r="S14" i="2"/>
  <c r="T14" i="2"/>
  <c r="B15" i="2"/>
  <c r="C15" i="2"/>
  <c r="G15" i="2"/>
  <c r="H15" i="2"/>
  <c r="I15" i="2"/>
  <c r="K15" i="2"/>
  <c r="L15" i="2"/>
  <c r="M15" i="2"/>
  <c r="N15" i="2"/>
  <c r="O15" i="2"/>
  <c r="P15" i="2"/>
  <c r="Q15" i="2"/>
  <c r="R15" i="2"/>
  <c r="S15" i="2"/>
  <c r="T15" i="2"/>
  <c r="B16" i="2"/>
  <c r="C16" i="2"/>
  <c r="G16" i="2"/>
  <c r="H16" i="2"/>
  <c r="I16" i="2"/>
  <c r="K16" i="2"/>
  <c r="L16" i="2"/>
  <c r="M16" i="2"/>
  <c r="N16" i="2"/>
  <c r="O16" i="2"/>
  <c r="P16" i="2"/>
  <c r="Q16" i="2"/>
  <c r="R16" i="2"/>
  <c r="S16" i="2"/>
  <c r="T16" i="2"/>
  <c r="B17" i="2"/>
  <c r="C17" i="2"/>
  <c r="G17" i="2"/>
  <c r="H17" i="2"/>
  <c r="I17" i="2"/>
  <c r="K17" i="2"/>
  <c r="L17" i="2"/>
  <c r="M17" i="2"/>
  <c r="N17" i="2"/>
  <c r="O17" i="2"/>
  <c r="P17" i="2"/>
  <c r="Q17" i="2"/>
  <c r="R17" i="2"/>
  <c r="S17" i="2"/>
  <c r="T17" i="2"/>
  <c r="B18" i="2"/>
  <c r="C18" i="2"/>
  <c r="G18" i="2"/>
  <c r="H18" i="2"/>
  <c r="I18" i="2"/>
  <c r="K18" i="2"/>
  <c r="L18" i="2"/>
  <c r="M18" i="2"/>
  <c r="N18" i="2"/>
  <c r="O18" i="2"/>
  <c r="P18" i="2"/>
  <c r="Q18" i="2"/>
  <c r="R18" i="2"/>
  <c r="S18" i="2"/>
  <c r="T18" i="2"/>
  <c r="B19" i="2"/>
  <c r="C19" i="2"/>
  <c r="G19" i="2"/>
  <c r="H19" i="2"/>
  <c r="I19" i="2"/>
  <c r="K19" i="2"/>
  <c r="L19" i="2"/>
  <c r="M19" i="2"/>
  <c r="N19" i="2"/>
  <c r="O19" i="2"/>
  <c r="P19" i="2"/>
  <c r="Q19" i="2"/>
  <c r="R19" i="2"/>
  <c r="S19" i="2"/>
  <c r="T19" i="2"/>
  <c r="B20" i="2"/>
  <c r="C20" i="2"/>
  <c r="G20" i="2"/>
  <c r="H20" i="2"/>
  <c r="I20" i="2"/>
  <c r="K20" i="2"/>
  <c r="L20" i="2"/>
  <c r="M20" i="2"/>
  <c r="N20" i="2"/>
  <c r="O20" i="2"/>
  <c r="P20" i="2"/>
  <c r="Q20" i="2"/>
  <c r="R20" i="2"/>
  <c r="S20" i="2"/>
  <c r="T20" i="2"/>
  <c r="B21" i="2"/>
  <c r="C21" i="2"/>
  <c r="G21" i="2"/>
  <c r="H21" i="2"/>
  <c r="I21" i="2"/>
  <c r="K21" i="2"/>
  <c r="L21" i="2"/>
  <c r="M21" i="2"/>
  <c r="N21" i="2"/>
  <c r="O21" i="2"/>
  <c r="P21" i="2"/>
  <c r="Q21" i="2"/>
  <c r="R21" i="2"/>
  <c r="S21" i="2"/>
  <c r="T21" i="2"/>
  <c r="B22" i="2"/>
  <c r="C22" i="2"/>
  <c r="G22" i="2"/>
  <c r="H22" i="2"/>
  <c r="I22" i="2"/>
  <c r="K22" i="2"/>
  <c r="L22" i="2"/>
  <c r="M22" i="2"/>
  <c r="N22" i="2"/>
  <c r="O22" i="2"/>
  <c r="P22" i="2"/>
  <c r="Q22" i="2"/>
  <c r="R22" i="2"/>
  <c r="S22" i="2"/>
  <c r="T22" i="2"/>
  <c r="B23" i="2"/>
  <c r="C23" i="2"/>
  <c r="G23" i="2"/>
  <c r="H23" i="2"/>
  <c r="I23" i="2"/>
  <c r="K23" i="2"/>
  <c r="L23" i="2"/>
  <c r="M23" i="2"/>
  <c r="N23" i="2"/>
  <c r="O23" i="2"/>
  <c r="P23" i="2"/>
  <c r="Q23" i="2"/>
  <c r="R23" i="2"/>
  <c r="S23" i="2"/>
  <c r="T23" i="2"/>
  <c r="B24" i="2"/>
  <c r="C24" i="2"/>
  <c r="G24" i="2"/>
  <c r="H24" i="2"/>
  <c r="I24" i="2"/>
  <c r="K24" i="2"/>
  <c r="L24" i="2"/>
  <c r="M24" i="2"/>
  <c r="N24" i="2"/>
  <c r="O24" i="2"/>
  <c r="P24" i="2"/>
  <c r="Q24" i="2"/>
  <c r="R24" i="2"/>
  <c r="S24" i="2"/>
  <c r="T24" i="2"/>
  <c r="B25" i="2"/>
  <c r="C25" i="2"/>
  <c r="G25" i="2"/>
  <c r="H25" i="2"/>
  <c r="I25" i="2"/>
  <c r="K25" i="2"/>
  <c r="L25" i="2"/>
  <c r="M25" i="2"/>
  <c r="N25" i="2"/>
  <c r="O25" i="2"/>
  <c r="P25" i="2"/>
  <c r="Q25" i="2"/>
  <c r="R25" i="2"/>
  <c r="S25" i="2"/>
  <c r="T25" i="2"/>
  <c r="B26" i="2"/>
  <c r="C26" i="2"/>
  <c r="G26" i="2"/>
  <c r="H26" i="2"/>
  <c r="I26" i="2"/>
  <c r="K26" i="2"/>
  <c r="L26" i="2"/>
  <c r="M26" i="2"/>
  <c r="N26" i="2"/>
  <c r="O26" i="2"/>
  <c r="P26" i="2"/>
  <c r="Q26" i="2"/>
  <c r="R26" i="2"/>
  <c r="S26" i="2"/>
  <c r="T26" i="2"/>
  <c r="B27" i="2"/>
  <c r="C27" i="2"/>
  <c r="G27" i="2"/>
  <c r="H27" i="2"/>
  <c r="I27" i="2"/>
  <c r="K27" i="2"/>
  <c r="L27" i="2"/>
  <c r="M27" i="2"/>
  <c r="N27" i="2"/>
  <c r="O27" i="2"/>
  <c r="P27" i="2"/>
  <c r="Q27" i="2"/>
  <c r="R27" i="2"/>
  <c r="S27" i="2"/>
  <c r="T27" i="2"/>
  <c r="B28" i="2"/>
  <c r="C28" i="2"/>
  <c r="G28" i="2"/>
  <c r="H28" i="2"/>
  <c r="I28" i="2"/>
  <c r="K28" i="2"/>
  <c r="L28" i="2"/>
  <c r="M28" i="2"/>
  <c r="N28" i="2"/>
  <c r="O28" i="2"/>
  <c r="P28" i="2"/>
  <c r="Q28" i="2"/>
  <c r="R28" i="2"/>
  <c r="S28" i="2"/>
  <c r="T28" i="2"/>
  <c r="B29" i="2"/>
  <c r="C29" i="2"/>
  <c r="G29" i="2"/>
  <c r="H29" i="2"/>
  <c r="I29" i="2"/>
  <c r="K29" i="2"/>
  <c r="L29" i="2"/>
  <c r="M29" i="2"/>
  <c r="N29" i="2"/>
  <c r="O29" i="2"/>
  <c r="P29" i="2"/>
  <c r="Q29" i="2"/>
  <c r="R29" i="2"/>
  <c r="S29" i="2"/>
  <c r="T29" i="2"/>
  <c r="B30" i="2"/>
  <c r="C30" i="2"/>
  <c r="G30" i="2"/>
  <c r="H30" i="2"/>
  <c r="I30" i="2"/>
  <c r="K30" i="2"/>
  <c r="L30" i="2"/>
  <c r="M30" i="2"/>
  <c r="N30" i="2"/>
  <c r="O30" i="2"/>
  <c r="P30" i="2"/>
  <c r="Q30" i="2"/>
  <c r="R30" i="2"/>
  <c r="S30" i="2"/>
  <c r="T30" i="2"/>
  <c r="B31" i="2"/>
  <c r="C31" i="2"/>
  <c r="G31" i="2"/>
  <c r="H31" i="2"/>
  <c r="I31" i="2"/>
  <c r="K31" i="2"/>
  <c r="L31" i="2"/>
  <c r="M31" i="2"/>
  <c r="N31" i="2"/>
  <c r="O31" i="2"/>
  <c r="P31" i="2"/>
  <c r="Q31" i="2"/>
  <c r="R31" i="2"/>
  <c r="S31" i="2"/>
  <c r="T31" i="2"/>
  <c r="B32" i="2"/>
  <c r="C32" i="2"/>
  <c r="G32" i="2"/>
  <c r="H32" i="2"/>
  <c r="I32" i="2"/>
  <c r="K32" i="2"/>
  <c r="L32" i="2"/>
  <c r="M32" i="2"/>
  <c r="N32" i="2"/>
  <c r="O32" i="2"/>
  <c r="P32" i="2"/>
  <c r="Q32" i="2"/>
  <c r="R32" i="2"/>
  <c r="S32" i="2"/>
  <c r="T32" i="2"/>
  <c r="B33" i="2"/>
  <c r="C33" i="2"/>
  <c r="G33" i="2"/>
  <c r="H33" i="2"/>
  <c r="I33" i="2"/>
  <c r="K33" i="2"/>
  <c r="L33" i="2"/>
  <c r="M33" i="2"/>
  <c r="N33" i="2"/>
  <c r="O33" i="2"/>
  <c r="P33" i="2"/>
  <c r="Q33" i="2"/>
  <c r="R33" i="2"/>
  <c r="S33" i="2"/>
  <c r="T33" i="2"/>
  <c r="B34" i="2"/>
  <c r="C34" i="2"/>
  <c r="G34" i="2"/>
  <c r="H34" i="2"/>
  <c r="I34" i="2"/>
  <c r="K34" i="2"/>
  <c r="L34" i="2"/>
  <c r="M34" i="2"/>
  <c r="N34" i="2"/>
  <c r="O34" i="2"/>
  <c r="P34" i="2"/>
  <c r="Q34" i="2"/>
  <c r="R34" i="2"/>
  <c r="S34" i="2"/>
  <c r="T34" i="2"/>
  <c r="B35" i="2"/>
  <c r="C35" i="2"/>
  <c r="G35" i="2"/>
  <c r="H35" i="2"/>
  <c r="I35" i="2"/>
  <c r="K35" i="2"/>
  <c r="L35" i="2"/>
  <c r="M35" i="2"/>
  <c r="N35" i="2"/>
  <c r="O35" i="2"/>
  <c r="P35" i="2"/>
  <c r="Q35" i="2"/>
  <c r="R35" i="2"/>
  <c r="S35" i="2"/>
  <c r="T35" i="2"/>
  <c r="B36" i="2"/>
  <c r="C36" i="2"/>
  <c r="G36" i="2"/>
  <c r="H36" i="2"/>
  <c r="I36" i="2"/>
  <c r="K36" i="2"/>
  <c r="L36" i="2"/>
  <c r="M36" i="2"/>
  <c r="N36" i="2"/>
  <c r="O36" i="2"/>
  <c r="P36" i="2"/>
  <c r="Q36" i="2"/>
  <c r="R36" i="2"/>
  <c r="S36" i="2"/>
  <c r="T36" i="2"/>
  <c r="B37" i="2"/>
  <c r="C37" i="2"/>
  <c r="G37" i="2"/>
  <c r="H37" i="2"/>
  <c r="I37" i="2"/>
  <c r="K37" i="2"/>
  <c r="L37" i="2"/>
  <c r="M37" i="2"/>
  <c r="N37" i="2"/>
  <c r="O37" i="2"/>
  <c r="P37" i="2"/>
  <c r="Q37" i="2"/>
  <c r="R37" i="2"/>
  <c r="S37" i="2"/>
  <c r="T37" i="2"/>
  <c r="B38" i="2"/>
  <c r="C38" i="2"/>
  <c r="G38" i="2"/>
  <c r="H38" i="2"/>
  <c r="I38" i="2"/>
  <c r="K38" i="2"/>
  <c r="L38" i="2"/>
  <c r="M38" i="2"/>
  <c r="N38" i="2"/>
  <c r="O38" i="2"/>
  <c r="P38" i="2"/>
  <c r="Q38" i="2"/>
  <c r="R38" i="2"/>
  <c r="S38" i="2"/>
  <c r="T38" i="2"/>
  <c r="B39" i="2"/>
  <c r="C39" i="2"/>
  <c r="G39" i="2"/>
  <c r="H39" i="2"/>
  <c r="I39" i="2"/>
  <c r="K39" i="2"/>
  <c r="L39" i="2"/>
  <c r="M39" i="2"/>
  <c r="N39" i="2"/>
  <c r="O39" i="2"/>
  <c r="P39" i="2"/>
  <c r="Q39" i="2"/>
  <c r="R39" i="2"/>
  <c r="S39" i="2"/>
  <c r="T39" i="2"/>
  <c r="B40" i="2"/>
  <c r="C40" i="2"/>
  <c r="G40" i="2"/>
  <c r="H40" i="2"/>
  <c r="I40" i="2"/>
  <c r="K40" i="2"/>
  <c r="L40" i="2"/>
  <c r="M40" i="2"/>
  <c r="N40" i="2"/>
  <c r="O40" i="2"/>
  <c r="P40" i="2"/>
  <c r="Q40" i="2"/>
  <c r="R40" i="2"/>
  <c r="S40" i="2"/>
  <c r="T40" i="2"/>
  <c r="B41" i="2"/>
  <c r="C41" i="2"/>
  <c r="G41" i="2"/>
  <c r="H41" i="2"/>
  <c r="I41" i="2"/>
  <c r="K41" i="2"/>
  <c r="L41" i="2"/>
  <c r="M41" i="2"/>
  <c r="N41" i="2"/>
  <c r="O41" i="2"/>
  <c r="P41" i="2"/>
  <c r="Q41" i="2"/>
  <c r="R41" i="2"/>
  <c r="S41" i="2"/>
  <c r="T41" i="2"/>
  <c r="B42" i="2"/>
  <c r="C42" i="2"/>
  <c r="G42" i="2"/>
  <c r="H42" i="2"/>
  <c r="I42" i="2"/>
  <c r="K42" i="2"/>
  <c r="L42" i="2"/>
  <c r="M42" i="2"/>
  <c r="N42" i="2"/>
  <c r="O42" i="2"/>
  <c r="P42" i="2"/>
  <c r="Q42" i="2"/>
  <c r="R42" i="2"/>
  <c r="S42" i="2"/>
  <c r="T42" i="2"/>
  <c r="B43" i="2"/>
  <c r="C43" i="2"/>
  <c r="G43" i="2"/>
  <c r="H43" i="2"/>
  <c r="I43" i="2"/>
  <c r="K43" i="2"/>
  <c r="L43" i="2"/>
  <c r="M43" i="2"/>
  <c r="N43" i="2"/>
  <c r="O43" i="2"/>
  <c r="P43" i="2"/>
  <c r="Q43" i="2"/>
  <c r="R43" i="2"/>
  <c r="S43" i="2"/>
  <c r="T43" i="2"/>
  <c r="B44" i="2"/>
  <c r="C44" i="2"/>
  <c r="G44" i="2"/>
  <c r="H44" i="2"/>
  <c r="I44" i="2"/>
  <c r="K44" i="2"/>
  <c r="L44" i="2"/>
  <c r="M44" i="2"/>
  <c r="N44" i="2"/>
  <c r="O44" i="2"/>
  <c r="P44" i="2"/>
  <c r="Q44" i="2"/>
  <c r="R44" i="2"/>
  <c r="S44" i="2"/>
  <c r="T44" i="2"/>
  <c r="B45" i="2"/>
  <c r="C45" i="2"/>
  <c r="G45" i="2"/>
  <c r="H45" i="2"/>
  <c r="I45" i="2"/>
  <c r="K45" i="2"/>
  <c r="L45" i="2"/>
  <c r="M45" i="2"/>
  <c r="N45" i="2"/>
  <c r="O45" i="2"/>
  <c r="P45" i="2"/>
  <c r="Q45" i="2"/>
  <c r="R45" i="2"/>
  <c r="S45" i="2"/>
  <c r="T45" i="2"/>
  <c r="B46" i="2"/>
  <c r="C46" i="2"/>
  <c r="G46" i="2"/>
  <c r="H46" i="2"/>
  <c r="I46" i="2"/>
  <c r="K46" i="2"/>
  <c r="L46" i="2"/>
  <c r="M46" i="2"/>
  <c r="N46" i="2"/>
  <c r="O46" i="2"/>
  <c r="P46" i="2"/>
  <c r="Q46" i="2"/>
  <c r="R46" i="2"/>
  <c r="S46" i="2"/>
  <c r="T46" i="2"/>
  <c r="B47" i="2"/>
  <c r="C47" i="2"/>
  <c r="G47" i="2"/>
  <c r="H47" i="2"/>
  <c r="I47" i="2"/>
  <c r="K47" i="2"/>
  <c r="L47" i="2"/>
  <c r="M47" i="2"/>
  <c r="N47" i="2"/>
  <c r="O47" i="2"/>
  <c r="P47" i="2"/>
  <c r="Q47" i="2"/>
  <c r="R47" i="2"/>
  <c r="S47" i="2"/>
  <c r="T47" i="2"/>
  <c r="B48" i="2"/>
  <c r="C48" i="2"/>
  <c r="G48" i="2"/>
  <c r="H48" i="2"/>
  <c r="I48" i="2"/>
  <c r="K48" i="2"/>
  <c r="L48" i="2"/>
  <c r="M48" i="2"/>
  <c r="N48" i="2"/>
  <c r="O48" i="2"/>
  <c r="P48" i="2"/>
  <c r="Q48" i="2"/>
  <c r="R48" i="2"/>
  <c r="S48" i="2"/>
  <c r="T48" i="2"/>
  <c r="B49" i="2"/>
  <c r="C49" i="2"/>
  <c r="G49" i="2"/>
  <c r="H49" i="2"/>
  <c r="I49" i="2"/>
  <c r="K49" i="2"/>
  <c r="L49" i="2"/>
  <c r="M49" i="2"/>
  <c r="N49" i="2"/>
  <c r="O49" i="2"/>
  <c r="P49" i="2"/>
  <c r="Q49" i="2"/>
  <c r="R49" i="2"/>
  <c r="S49" i="2"/>
  <c r="T49" i="2"/>
  <c r="B50" i="2"/>
  <c r="C50" i="2"/>
  <c r="G50" i="2"/>
  <c r="H50" i="2"/>
  <c r="I50" i="2"/>
  <c r="K50" i="2"/>
  <c r="L50" i="2"/>
  <c r="M50" i="2"/>
  <c r="N50" i="2"/>
  <c r="O50" i="2"/>
  <c r="P50" i="2"/>
  <c r="Q50" i="2"/>
  <c r="R50" i="2"/>
  <c r="S50" i="2"/>
  <c r="T50" i="2"/>
  <c r="B51" i="2"/>
  <c r="C51" i="2"/>
  <c r="G51" i="2"/>
  <c r="H51" i="2"/>
  <c r="I51" i="2"/>
  <c r="K51" i="2"/>
  <c r="L51" i="2"/>
  <c r="M51" i="2"/>
  <c r="N51" i="2"/>
  <c r="O51" i="2"/>
  <c r="P51" i="2"/>
  <c r="Q51" i="2"/>
  <c r="R51" i="2"/>
  <c r="S51" i="2"/>
  <c r="T51" i="2"/>
  <c r="B52" i="2"/>
  <c r="C52" i="2"/>
  <c r="G52" i="2"/>
  <c r="H52" i="2"/>
  <c r="I52" i="2"/>
  <c r="K52" i="2"/>
  <c r="L52" i="2"/>
  <c r="M52" i="2"/>
  <c r="N52" i="2"/>
  <c r="O52" i="2"/>
  <c r="P52" i="2"/>
  <c r="Q52" i="2"/>
  <c r="R52" i="2"/>
  <c r="S52" i="2"/>
  <c r="T52" i="2"/>
  <c r="B53" i="2"/>
  <c r="C53" i="2"/>
  <c r="G53" i="2"/>
  <c r="H53" i="2"/>
  <c r="I53" i="2"/>
  <c r="K53" i="2"/>
  <c r="L53" i="2"/>
  <c r="M53" i="2"/>
  <c r="N53" i="2"/>
  <c r="O53" i="2"/>
  <c r="P53" i="2"/>
  <c r="Q53" i="2"/>
  <c r="R53" i="2"/>
  <c r="S53" i="2"/>
  <c r="T53" i="2"/>
  <c r="B54" i="2"/>
  <c r="C54" i="2"/>
  <c r="G54" i="2"/>
  <c r="H54" i="2"/>
  <c r="I54" i="2"/>
  <c r="K54" i="2"/>
  <c r="L54" i="2"/>
  <c r="M54" i="2"/>
  <c r="N54" i="2"/>
  <c r="O54" i="2"/>
  <c r="P54" i="2"/>
  <c r="Q54" i="2"/>
  <c r="R54" i="2"/>
  <c r="S54" i="2"/>
  <c r="T54" i="2"/>
  <c r="B55" i="2"/>
  <c r="C55" i="2"/>
  <c r="G55" i="2"/>
  <c r="H55" i="2"/>
  <c r="I55" i="2"/>
  <c r="K55" i="2"/>
  <c r="L55" i="2"/>
  <c r="M55" i="2"/>
  <c r="N55" i="2"/>
  <c r="O55" i="2"/>
  <c r="P55" i="2"/>
  <c r="Q55" i="2"/>
  <c r="R55" i="2"/>
  <c r="S55" i="2"/>
  <c r="T55" i="2"/>
  <c r="B56" i="2"/>
  <c r="C56" i="2"/>
  <c r="G56" i="2"/>
  <c r="H56" i="2"/>
  <c r="I56" i="2"/>
  <c r="K56" i="2"/>
  <c r="L56" i="2"/>
  <c r="M56" i="2"/>
  <c r="N56" i="2"/>
  <c r="O56" i="2"/>
  <c r="P56" i="2"/>
  <c r="Q56" i="2"/>
  <c r="R56" i="2"/>
  <c r="S56" i="2"/>
  <c r="T56" i="2"/>
  <c r="B57" i="2"/>
  <c r="C57" i="2"/>
  <c r="G57" i="2"/>
  <c r="H57" i="2"/>
  <c r="I57" i="2"/>
  <c r="K57" i="2"/>
  <c r="L57" i="2"/>
  <c r="M57" i="2"/>
  <c r="N57" i="2"/>
  <c r="O57" i="2"/>
  <c r="P57" i="2"/>
  <c r="Q57" i="2"/>
  <c r="R57" i="2"/>
  <c r="S57" i="2"/>
  <c r="T57" i="2"/>
  <c r="B58" i="2"/>
  <c r="C58" i="2"/>
  <c r="G58" i="2"/>
  <c r="H58" i="2"/>
  <c r="I58" i="2"/>
  <c r="K58" i="2"/>
  <c r="L58" i="2"/>
  <c r="M58" i="2"/>
  <c r="N58" i="2"/>
  <c r="O58" i="2"/>
  <c r="P58" i="2"/>
  <c r="Q58" i="2"/>
  <c r="R58" i="2"/>
  <c r="S58" i="2"/>
  <c r="T58" i="2"/>
  <c r="B59" i="2"/>
  <c r="C59" i="2"/>
  <c r="G59" i="2"/>
  <c r="H59" i="2"/>
  <c r="I59" i="2"/>
  <c r="K59" i="2"/>
  <c r="L59" i="2"/>
  <c r="M59" i="2"/>
  <c r="N59" i="2"/>
  <c r="O59" i="2"/>
  <c r="P59" i="2"/>
  <c r="Q59" i="2"/>
  <c r="R59" i="2"/>
  <c r="S59" i="2"/>
  <c r="T59" i="2"/>
  <c r="B60" i="2"/>
  <c r="C60" i="2"/>
  <c r="G60" i="2"/>
  <c r="H60" i="2"/>
  <c r="I60" i="2"/>
  <c r="K60" i="2"/>
  <c r="L60" i="2"/>
  <c r="M60" i="2"/>
  <c r="N60" i="2"/>
  <c r="O60" i="2"/>
  <c r="P60" i="2"/>
  <c r="Q60" i="2"/>
  <c r="R60" i="2"/>
  <c r="S60" i="2"/>
  <c r="T60" i="2"/>
  <c r="B61" i="2"/>
  <c r="C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B62" i="2"/>
  <c r="C62" i="2"/>
  <c r="G62" i="2"/>
  <c r="H62" i="2"/>
  <c r="I62" i="2"/>
  <c r="K62" i="2"/>
  <c r="L62" i="2"/>
  <c r="M62" i="2"/>
  <c r="N62" i="2"/>
  <c r="O62" i="2"/>
  <c r="P62" i="2"/>
  <c r="Q62" i="2"/>
  <c r="R62" i="2"/>
  <c r="S62" i="2"/>
  <c r="T62" i="2"/>
  <c r="B63" i="2"/>
  <c r="C63" i="2"/>
  <c r="G63" i="2"/>
  <c r="H63" i="2"/>
  <c r="I63" i="2"/>
  <c r="K63" i="2"/>
  <c r="L63" i="2"/>
  <c r="M63" i="2"/>
  <c r="N63" i="2"/>
  <c r="O63" i="2"/>
  <c r="P63" i="2"/>
  <c r="Q63" i="2"/>
  <c r="R63" i="2"/>
  <c r="S63" i="2"/>
  <c r="T63" i="2"/>
  <c r="B64" i="2"/>
  <c r="C64" i="2"/>
  <c r="G64" i="2"/>
  <c r="H64" i="2"/>
  <c r="I64" i="2"/>
  <c r="K64" i="2"/>
  <c r="L64" i="2"/>
  <c r="M64" i="2"/>
  <c r="N64" i="2"/>
  <c r="O64" i="2"/>
  <c r="P64" i="2"/>
  <c r="Q64" i="2"/>
  <c r="R64" i="2"/>
  <c r="S64" i="2"/>
  <c r="T64" i="2"/>
  <c r="B65" i="2"/>
  <c r="C65" i="2"/>
  <c r="G65" i="2"/>
  <c r="H65" i="2"/>
  <c r="I65" i="2"/>
  <c r="K65" i="2"/>
  <c r="L65" i="2"/>
  <c r="M65" i="2"/>
  <c r="N65" i="2"/>
  <c r="O65" i="2"/>
  <c r="P65" i="2"/>
  <c r="Q65" i="2"/>
  <c r="R65" i="2"/>
  <c r="S65" i="2"/>
  <c r="T65" i="2"/>
  <c r="B66" i="2"/>
  <c r="C66" i="2"/>
  <c r="G66" i="2"/>
  <c r="H66" i="2"/>
  <c r="I66" i="2"/>
  <c r="K66" i="2"/>
  <c r="L66" i="2"/>
  <c r="M66" i="2"/>
  <c r="N66" i="2"/>
  <c r="O66" i="2"/>
  <c r="P66" i="2"/>
  <c r="Q66" i="2"/>
  <c r="R66" i="2"/>
  <c r="S66" i="2"/>
  <c r="T66" i="2"/>
  <c r="B67" i="2"/>
  <c r="C67" i="2"/>
  <c r="G67" i="2"/>
  <c r="H67" i="2"/>
  <c r="I67" i="2"/>
  <c r="K67" i="2"/>
  <c r="L67" i="2"/>
  <c r="M67" i="2"/>
  <c r="N67" i="2"/>
  <c r="O67" i="2"/>
  <c r="P67" i="2"/>
  <c r="Q67" i="2"/>
  <c r="R67" i="2"/>
  <c r="S67" i="2"/>
  <c r="T67" i="2"/>
  <c r="B68" i="2"/>
  <c r="C68" i="2"/>
  <c r="G68" i="2"/>
  <c r="H68" i="2"/>
  <c r="I68" i="2"/>
  <c r="K68" i="2"/>
  <c r="L68" i="2"/>
  <c r="M68" i="2"/>
  <c r="N68" i="2"/>
  <c r="O68" i="2"/>
  <c r="P68" i="2"/>
  <c r="Q68" i="2"/>
  <c r="R68" i="2"/>
  <c r="S68" i="2"/>
  <c r="T68" i="2"/>
  <c r="B69" i="2"/>
  <c r="C69" i="2"/>
  <c r="G69" i="2"/>
  <c r="H69" i="2"/>
  <c r="I69" i="2"/>
  <c r="K69" i="2"/>
  <c r="L69" i="2"/>
  <c r="M69" i="2"/>
  <c r="N69" i="2"/>
  <c r="O69" i="2"/>
  <c r="P69" i="2"/>
  <c r="Q69" i="2"/>
  <c r="R69" i="2"/>
  <c r="S69" i="2"/>
  <c r="T69" i="2"/>
  <c r="B70" i="2"/>
  <c r="C70" i="2"/>
  <c r="G70" i="2"/>
  <c r="H70" i="2"/>
  <c r="I70" i="2"/>
  <c r="K70" i="2"/>
  <c r="L70" i="2"/>
  <c r="M70" i="2"/>
  <c r="N70" i="2"/>
  <c r="O70" i="2"/>
  <c r="P70" i="2"/>
  <c r="Q70" i="2"/>
  <c r="R70" i="2"/>
  <c r="S70" i="2"/>
  <c r="T70" i="2"/>
  <c r="B71" i="2"/>
  <c r="C71" i="2"/>
  <c r="G71" i="2"/>
  <c r="H71" i="2"/>
  <c r="I71" i="2"/>
  <c r="K71" i="2"/>
  <c r="L71" i="2"/>
  <c r="M71" i="2"/>
  <c r="N71" i="2"/>
  <c r="O71" i="2"/>
  <c r="P71" i="2"/>
  <c r="Q71" i="2"/>
  <c r="R71" i="2"/>
  <c r="S71" i="2"/>
  <c r="T71" i="2"/>
  <c r="B72" i="2"/>
  <c r="C72" i="2"/>
  <c r="G72" i="2"/>
  <c r="H72" i="2"/>
  <c r="I72" i="2"/>
  <c r="K72" i="2"/>
  <c r="L72" i="2"/>
  <c r="M72" i="2"/>
  <c r="N72" i="2"/>
  <c r="O72" i="2"/>
  <c r="P72" i="2"/>
  <c r="Q72" i="2"/>
  <c r="R72" i="2"/>
  <c r="S72" i="2"/>
  <c r="T72" i="2"/>
  <c r="B73" i="2"/>
  <c r="C73" i="2"/>
  <c r="G73" i="2"/>
  <c r="H73" i="2"/>
  <c r="I73" i="2"/>
  <c r="K73" i="2"/>
  <c r="L73" i="2"/>
  <c r="M73" i="2"/>
  <c r="N73" i="2"/>
  <c r="O73" i="2"/>
  <c r="P73" i="2"/>
  <c r="Q73" i="2"/>
  <c r="R73" i="2"/>
  <c r="S73" i="2"/>
  <c r="T73" i="2"/>
  <c r="B74" i="2"/>
  <c r="C74" i="2"/>
  <c r="G74" i="2"/>
  <c r="H74" i="2"/>
  <c r="I74" i="2"/>
  <c r="K74" i="2"/>
  <c r="L74" i="2"/>
  <c r="M74" i="2"/>
  <c r="N74" i="2"/>
  <c r="O74" i="2"/>
  <c r="P74" i="2"/>
  <c r="Q74" i="2"/>
  <c r="R74" i="2"/>
  <c r="S74" i="2"/>
  <c r="T74" i="2"/>
  <c r="B75" i="2"/>
  <c r="C75" i="2"/>
  <c r="G75" i="2"/>
  <c r="H75" i="2"/>
  <c r="I75" i="2"/>
  <c r="K75" i="2"/>
  <c r="L75" i="2"/>
  <c r="M75" i="2"/>
  <c r="N75" i="2"/>
  <c r="O75" i="2"/>
  <c r="P75" i="2"/>
  <c r="Q75" i="2"/>
  <c r="R75" i="2"/>
  <c r="S75" i="2"/>
  <c r="T75" i="2"/>
  <c r="B76" i="2"/>
  <c r="C76" i="2"/>
  <c r="G76" i="2"/>
  <c r="H76" i="2"/>
  <c r="I76" i="2"/>
  <c r="K76" i="2"/>
  <c r="L76" i="2"/>
  <c r="M76" i="2"/>
  <c r="N76" i="2"/>
  <c r="O76" i="2"/>
  <c r="P76" i="2"/>
  <c r="Q76" i="2"/>
  <c r="R76" i="2"/>
  <c r="S76" i="2"/>
  <c r="T76" i="2"/>
  <c r="B77" i="2"/>
  <c r="C77" i="2"/>
  <c r="G77" i="2"/>
  <c r="H77" i="2"/>
  <c r="I77" i="2"/>
  <c r="K77" i="2"/>
  <c r="L77" i="2"/>
  <c r="M77" i="2"/>
  <c r="N77" i="2"/>
  <c r="O77" i="2"/>
  <c r="P77" i="2"/>
  <c r="Q77" i="2"/>
  <c r="R77" i="2"/>
  <c r="S77" i="2"/>
  <c r="T77" i="2"/>
  <c r="B78" i="2"/>
  <c r="C78" i="2"/>
  <c r="G78" i="2"/>
  <c r="H78" i="2"/>
  <c r="I78" i="2"/>
  <c r="K78" i="2"/>
  <c r="L78" i="2"/>
  <c r="M78" i="2"/>
  <c r="N78" i="2"/>
  <c r="O78" i="2"/>
  <c r="P78" i="2"/>
  <c r="Q78" i="2"/>
  <c r="R78" i="2"/>
  <c r="S78" i="2"/>
  <c r="T78" i="2"/>
  <c r="B79" i="2"/>
  <c r="C79" i="2"/>
  <c r="G79" i="2"/>
  <c r="H79" i="2"/>
  <c r="I79" i="2"/>
  <c r="K79" i="2"/>
  <c r="L79" i="2"/>
  <c r="M79" i="2"/>
  <c r="N79" i="2"/>
  <c r="O79" i="2"/>
  <c r="P79" i="2"/>
  <c r="Q79" i="2"/>
  <c r="R79" i="2"/>
  <c r="S79" i="2"/>
  <c r="T79" i="2"/>
  <c r="B80" i="2"/>
  <c r="C80" i="2"/>
  <c r="G80" i="2"/>
  <c r="H80" i="2"/>
  <c r="I80" i="2"/>
  <c r="K80" i="2"/>
  <c r="L80" i="2"/>
  <c r="M80" i="2"/>
  <c r="N80" i="2"/>
  <c r="O80" i="2"/>
  <c r="P80" i="2"/>
  <c r="Q80" i="2"/>
  <c r="R80" i="2"/>
  <c r="S80" i="2"/>
  <c r="T80" i="2"/>
  <c r="B81" i="2"/>
  <c r="C81" i="2"/>
  <c r="G81" i="2"/>
  <c r="H81" i="2"/>
  <c r="I81" i="2"/>
  <c r="K81" i="2"/>
  <c r="L81" i="2"/>
  <c r="M81" i="2"/>
  <c r="N81" i="2"/>
  <c r="O81" i="2"/>
  <c r="P81" i="2"/>
  <c r="Q81" i="2"/>
  <c r="R81" i="2"/>
  <c r="S81" i="2"/>
  <c r="T81" i="2"/>
  <c r="B82" i="2"/>
  <c r="C82" i="2"/>
  <c r="G82" i="2"/>
  <c r="H82" i="2"/>
  <c r="I82" i="2"/>
  <c r="K82" i="2"/>
  <c r="L82" i="2"/>
  <c r="M82" i="2"/>
  <c r="N82" i="2"/>
  <c r="O82" i="2"/>
  <c r="P82" i="2"/>
  <c r="Q82" i="2"/>
  <c r="R82" i="2"/>
  <c r="S82" i="2"/>
  <c r="T82" i="2"/>
  <c r="B83" i="2"/>
  <c r="C83" i="2"/>
  <c r="G83" i="2"/>
  <c r="H83" i="2"/>
  <c r="I83" i="2"/>
  <c r="K83" i="2"/>
  <c r="L83" i="2"/>
  <c r="M83" i="2"/>
  <c r="N83" i="2"/>
  <c r="O83" i="2"/>
  <c r="P83" i="2"/>
  <c r="Q83" i="2"/>
  <c r="R83" i="2"/>
  <c r="S83" i="2"/>
  <c r="T83" i="2"/>
  <c r="B84" i="2"/>
  <c r="C84" i="2"/>
  <c r="G84" i="2"/>
  <c r="H84" i="2"/>
  <c r="I84" i="2"/>
  <c r="K84" i="2"/>
  <c r="L84" i="2"/>
  <c r="M84" i="2"/>
  <c r="N84" i="2"/>
  <c r="O84" i="2"/>
  <c r="P84" i="2"/>
  <c r="Q84" i="2"/>
  <c r="R84" i="2"/>
  <c r="S84" i="2"/>
  <c r="T84" i="2"/>
  <c r="B85" i="2"/>
  <c r="C85" i="2"/>
  <c r="G85" i="2"/>
  <c r="H85" i="2"/>
  <c r="I85" i="2"/>
  <c r="K85" i="2"/>
  <c r="L85" i="2"/>
  <c r="M85" i="2"/>
  <c r="N85" i="2"/>
  <c r="O85" i="2"/>
  <c r="P85" i="2"/>
  <c r="Q85" i="2"/>
  <c r="R85" i="2"/>
  <c r="S85" i="2"/>
  <c r="T85" i="2"/>
  <c r="B86" i="2"/>
  <c r="C86" i="2"/>
  <c r="G86" i="2"/>
  <c r="H86" i="2"/>
  <c r="I86" i="2"/>
  <c r="K86" i="2"/>
  <c r="L86" i="2"/>
  <c r="M86" i="2"/>
  <c r="N86" i="2"/>
  <c r="O86" i="2"/>
  <c r="P86" i="2"/>
  <c r="Q86" i="2"/>
  <c r="R86" i="2"/>
  <c r="S86" i="2"/>
  <c r="T86" i="2"/>
  <c r="B87" i="2"/>
  <c r="C87" i="2"/>
  <c r="G87" i="2"/>
  <c r="H87" i="2"/>
  <c r="I87" i="2"/>
  <c r="K87" i="2"/>
  <c r="L87" i="2"/>
  <c r="M87" i="2"/>
  <c r="N87" i="2"/>
  <c r="O87" i="2"/>
  <c r="P87" i="2"/>
  <c r="Q87" i="2"/>
  <c r="R87" i="2"/>
  <c r="S87" i="2"/>
  <c r="T87" i="2"/>
  <c r="B88" i="2"/>
  <c r="C88" i="2"/>
  <c r="G88" i="2"/>
  <c r="H88" i="2"/>
  <c r="I88" i="2"/>
  <c r="K88" i="2"/>
  <c r="L88" i="2"/>
  <c r="M88" i="2"/>
  <c r="N88" i="2"/>
  <c r="O88" i="2"/>
  <c r="P88" i="2"/>
  <c r="Q88" i="2"/>
  <c r="R88" i="2"/>
  <c r="S88" i="2"/>
  <c r="T88" i="2"/>
  <c r="B89" i="2"/>
  <c r="C89" i="2"/>
  <c r="G89" i="2"/>
  <c r="H89" i="2"/>
  <c r="I89" i="2"/>
  <c r="K89" i="2"/>
  <c r="L89" i="2"/>
  <c r="M89" i="2"/>
  <c r="N89" i="2"/>
  <c r="O89" i="2"/>
  <c r="P89" i="2"/>
  <c r="Q89" i="2"/>
  <c r="R89" i="2"/>
  <c r="S89" i="2"/>
  <c r="T89" i="2"/>
  <c r="B90" i="2"/>
  <c r="C90" i="2"/>
  <c r="G90" i="2"/>
  <c r="H90" i="2"/>
  <c r="I90" i="2"/>
  <c r="K90" i="2"/>
  <c r="L90" i="2"/>
  <c r="M90" i="2"/>
  <c r="N90" i="2"/>
  <c r="O90" i="2"/>
  <c r="P90" i="2"/>
  <c r="Q90" i="2"/>
  <c r="R90" i="2"/>
  <c r="S90" i="2"/>
  <c r="T90" i="2"/>
  <c r="B91" i="2"/>
  <c r="C91" i="2"/>
  <c r="G91" i="2"/>
  <c r="H91" i="2"/>
  <c r="I91" i="2"/>
  <c r="K91" i="2"/>
  <c r="L91" i="2"/>
  <c r="M91" i="2"/>
  <c r="N91" i="2"/>
  <c r="O91" i="2"/>
  <c r="P91" i="2"/>
  <c r="Q91" i="2"/>
  <c r="R91" i="2"/>
  <c r="S91" i="2"/>
  <c r="T91" i="2"/>
  <c r="B92" i="2"/>
  <c r="C92" i="2"/>
  <c r="G92" i="2"/>
  <c r="H92" i="2"/>
  <c r="I92" i="2"/>
  <c r="K92" i="2"/>
  <c r="L92" i="2"/>
  <c r="M92" i="2"/>
  <c r="N92" i="2"/>
  <c r="O92" i="2"/>
  <c r="P92" i="2"/>
  <c r="Q92" i="2"/>
  <c r="R92" i="2"/>
  <c r="S92" i="2"/>
  <c r="T92" i="2"/>
  <c r="B93" i="2"/>
  <c r="C93" i="2"/>
  <c r="G93" i="2"/>
  <c r="H93" i="2"/>
  <c r="I93" i="2"/>
  <c r="K93" i="2"/>
  <c r="L93" i="2"/>
  <c r="M93" i="2"/>
  <c r="N93" i="2"/>
  <c r="O93" i="2"/>
  <c r="P93" i="2"/>
  <c r="Q93" i="2"/>
  <c r="R93" i="2"/>
  <c r="S93" i="2"/>
  <c r="T93" i="2"/>
  <c r="B94" i="2"/>
  <c r="C94" i="2"/>
  <c r="G94" i="2"/>
  <c r="H94" i="2"/>
  <c r="I94" i="2"/>
  <c r="K94" i="2"/>
  <c r="L94" i="2"/>
  <c r="M94" i="2"/>
  <c r="N94" i="2"/>
  <c r="O94" i="2"/>
  <c r="P94" i="2"/>
  <c r="Q94" i="2"/>
  <c r="R94" i="2"/>
  <c r="S94" i="2"/>
  <c r="T94" i="2"/>
  <c r="B95" i="2"/>
  <c r="C95" i="2"/>
  <c r="G95" i="2"/>
  <c r="H95" i="2"/>
  <c r="I95" i="2"/>
  <c r="K95" i="2"/>
  <c r="L95" i="2"/>
  <c r="M95" i="2"/>
  <c r="N95" i="2"/>
  <c r="O95" i="2"/>
  <c r="P95" i="2"/>
  <c r="Q95" i="2"/>
  <c r="R95" i="2"/>
  <c r="S95" i="2"/>
  <c r="T95" i="2"/>
  <c r="B96" i="2"/>
  <c r="C96" i="2"/>
  <c r="G96" i="2"/>
  <c r="H96" i="2"/>
  <c r="I96" i="2"/>
  <c r="K96" i="2"/>
  <c r="L96" i="2"/>
  <c r="M96" i="2"/>
  <c r="N96" i="2"/>
  <c r="O96" i="2"/>
  <c r="P96" i="2"/>
  <c r="Q96" i="2"/>
  <c r="R96" i="2"/>
  <c r="S96" i="2"/>
  <c r="T96" i="2"/>
  <c r="B97" i="2"/>
  <c r="C97" i="2"/>
  <c r="G97" i="2"/>
  <c r="H97" i="2"/>
  <c r="I97" i="2"/>
  <c r="K97" i="2"/>
  <c r="L97" i="2"/>
  <c r="M97" i="2"/>
  <c r="N97" i="2"/>
  <c r="O97" i="2"/>
  <c r="P97" i="2"/>
  <c r="Q97" i="2"/>
  <c r="R97" i="2"/>
  <c r="S97" i="2"/>
  <c r="T97" i="2"/>
  <c r="B98" i="2"/>
  <c r="C98" i="2"/>
  <c r="G98" i="2"/>
  <c r="H98" i="2"/>
  <c r="I98" i="2"/>
  <c r="K98" i="2"/>
  <c r="L98" i="2"/>
  <c r="M98" i="2"/>
  <c r="N98" i="2"/>
  <c r="O98" i="2"/>
  <c r="P98" i="2"/>
  <c r="Q98" i="2"/>
  <c r="R98" i="2"/>
  <c r="S98" i="2"/>
  <c r="T98" i="2"/>
  <c r="B99" i="2"/>
  <c r="C99" i="2"/>
  <c r="G99" i="2"/>
  <c r="H99" i="2"/>
  <c r="I99" i="2"/>
  <c r="K99" i="2"/>
  <c r="L99" i="2"/>
  <c r="M99" i="2"/>
  <c r="N99" i="2"/>
  <c r="O99" i="2"/>
  <c r="P99" i="2"/>
  <c r="Q99" i="2"/>
  <c r="R99" i="2"/>
  <c r="S99" i="2"/>
  <c r="T99" i="2"/>
  <c r="B100" i="2"/>
  <c r="C100" i="2"/>
  <c r="G100" i="2"/>
  <c r="H100" i="2"/>
  <c r="I100" i="2"/>
  <c r="K100" i="2"/>
  <c r="L100" i="2"/>
  <c r="M100" i="2"/>
  <c r="N100" i="2"/>
  <c r="O100" i="2"/>
  <c r="P100" i="2"/>
  <c r="Q100" i="2"/>
  <c r="R100" i="2"/>
  <c r="S100" i="2"/>
  <c r="T100" i="2"/>
  <c r="B101" i="2"/>
  <c r="C101" i="2"/>
  <c r="G101" i="2"/>
  <c r="H101" i="2"/>
  <c r="I101" i="2"/>
  <c r="K101" i="2"/>
  <c r="L101" i="2"/>
  <c r="M101" i="2"/>
  <c r="N101" i="2"/>
  <c r="O101" i="2"/>
  <c r="P101" i="2"/>
  <c r="Q101" i="2"/>
  <c r="R101" i="2"/>
  <c r="S101" i="2"/>
  <c r="T101" i="2"/>
  <c r="B102" i="2"/>
  <c r="C102" i="2"/>
  <c r="G102" i="2"/>
  <c r="H102" i="2"/>
  <c r="I102" i="2"/>
  <c r="K102" i="2"/>
  <c r="L102" i="2"/>
  <c r="M102" i="2"/>
  <c r="N102" i="2"/>
  <c r="O102" i="2"/>
  <c r="P102" i="2"/>
  <c r="Q102" i="2"/>
  <c r="R102" i="2"/>
  <c r="S102" i="2"/>
  <c r="T102" i="2"/>
  <c r="B103" i="2"/>
  <c r="C103" i="2"/>
  <c r="G103" i="2"/>
  <c r="H103" i="2"/>
  <c r="I103" i="2"/>
  <c r="K103" i="2"/>
  <c r="L103" i="2"/>
  <c r="M103" i="2"/>
  <c r="N103" i="2"/>
  <c r="O103" i="2"/>
  <c r="P103" i="2"/>
  <c r="Q103" i="2"/>
  <c r="R103" i="2"/>
  <c r="S103" i="2"/>
  <c r="T103" i="2"/>
  <c r="B104" i="2"/>
  <c r="C104" i="2"/>
  <c r="G104" i="2"/>
  <c r="H104" i="2"/>
  <c r="I104" i="2"/>
  <c r="K104" i="2"/>
  <c r="L104" i="2"/>
  <c r="M104" i="2"/>
  <c r="N104" i="2"/>
  <c r="O104" i="2"/>
  <c r="P104" i="2"/>
  <c r="Q104" i="2"/>
  <c r="R104" i="2"/>
  <c r="S104" i="2"/>
  <c r="T104" i="2"/>
  <c r="B105" i="2"/>
  <c r="C105" i="2"/>
  <c r="G105" i="2"/>
  <c r="H105" i="2"/>
  <c r="I105" i="2"/>
  <c r="K105" i="2"/>
  <c r="L105" i="2"/>
  <c r="M105" i="2"/>
  <c r="N105" i="2"/>
  <c r="O105" i="2"/>
  <c r="P105" i="2"/>
  <c r="Q105" i="2"/>
  <c r="R105" i="2"/>
  <c r="S105" i="2"/>
  <c r="T105" i="2"/>
  <c r="B106" i="2"/>
  <c r="C106" i="2"/>
  <c r="G106" i="2"/>
  <c r="H106" i="2"/>
  <c r="I106" i="2"/>
  <c r="K106" i="2"/>
  <c r="L106" i="2"/>
  <c r="M106" i="2"/>
  <c r="N106" i="2"/>
  <c r="O106" i="2"/>
  <c r="P106" i="2"/>
  <c r="Q106" i="2"/>
  <c r="R106" i="2"/>
  <c r="S106" i="2"/>
  <c r="T106" i="2"/>
  <c r="B107" i="2"/>
  <c r="C107" i="2"/>
  <c r="G107" i="2"/>
  <c r="H107" i="2"/>
  <c r="I107" i="2"/>
  <c r="K107" i="2"/>
  <c r="L107" i="2"/>
  <c r="M107" i="2"/>
  <c r="N107" i="2"/>
  <c r="O107" i="2"/>
  <c r="P107" i="2"/>
  <c r="Q107" i="2"/>
  <c r="R107" i="2"/>
  <c r="S107" i="2"/>
  <c r="T107" i="2"/>
  <c r="B108" i="2"/>
  <c r="C108" i="2"/>
  <c r="G108" i="2"/>
  <c r="H108" i="2"/>
  <c r="I108" i="2"/>
  <c r="K108" i="2"/>
  <c r="L108" i="2"/>
  <c r="M108" i="2"/>
  <c r="N108" i="2"/>
  <c r="O108" i="2"/>
  <c r="P108" i="2"/>
  <c r="Q108" i="2"/>
  <c r="R108" i="2"/>
  <c r="S108" i="2"/>
  <c r="T108" i="2"/>
  <c r="B109" i="2"/>
  <c r="C109" i="2"/>
  <c r="G109" i="2"/>
  <c r="H109" i="2"/>
  <c r="I109" i="2"/>
  <c r="K109" i="2"/>
  <c r="L109" i="2"/>
  <c r="M109" i="2"/>
  <c r="N109" i="2"/>
  <c r="O109" i="2"/>
  <c r="P109" i="2"/>
  <c r="Q109" i="2"/>
  <c r="R109" i="2"/>
  <c r="S109" i="2"/>
  <c r="T109" i="2"/>
  <c r="B110" i="2"/>
  <c r="C110" i="2"/>
  <c r="G110" i="2"/>
  <c r="H110" i="2"/>
  <c r="I110" i="2"/>
  <c r="K110" i="2"/>
  <c r="L110" i="2"/>
  <c r="M110" i="2"/>
  <c r="N110" i="2"/>
  <c r="O110" i="2"/>
  <c r="P110" i="2"/>
  <c r="Q110" i="2"/>
  <c r="R110" i="2"/>
  <c r="S110" i="2"/>
  <c r="T110" i="2"/>
  <c r="B111" i="2"/>
  <c r="C111" i="2"/>
  <c r="G111" i="2"/>
  <c r="H111" i="2"/>
  <c r="I111" i="2"/>
  <c r="K111" i="2"/>
  <c r="L111" i="2"/>
  <c r="M111" i="2"/>
  <c r="N111" i="2"/>
  <c r="O111" i="2"/>
  <c r="P111" i="2"/>
  <c r="Q111" i="2"/>
  <c r="R111" i="2"/>
  <c r="S111" i="2"/>
  <c r="T111" i="2"/>
  <c r="B112" i="2"/>
  <c r="C112" i="2"/>
  <c r="G112" i="2"/>
  <c r="H112" i="2"/>
  <c r="I112" i="2"/>
  <c r="K112" i="2"/>
  <c r="L112" i="2"/>
  <c r="M112" i="2"/>
  <c r="N112" i="2"/>
  <c r="O112" i="2"/>
  <c r="P112" i="2"/>
  <c r="Q112" i="2"/>
  <c r="R112" i="2"/>
  <c r="S112" i="2"/>
  <c r="T112" i="2"/>
  <c r="B113" i="2"/>
  <c r="C113" i="2"/>
  <c r="G113" i="2"/>
  <c r="H113" i="2"/>
  <c r="I113" i="2"/>
  <c r="K113" i="2"/>
  <c r="L113" i="2"/>
  <c r="M113" i="2"/>
  <c r="N113" i="2"/>
  <c r="O113" i="2"/>
  <c r="P113" i="2"/>
  <c r="Q113" i="2"/>
  <c r="R113" i="2"/>
  <c r="S113" i="2"/>
  <c r="T113" i="2"/>
  <c r="B114" i="2"/>
  <c r="C114" i="2"/>
  <c r="G114" i="2"/>
  <c r="H114" i="2"/>
  <c r="I114" i="2"/>
  <c r="K114" i="2"/>
  <c r="L114" i="2"/>
  <c r="M114" i="2"/>
  <c r="N114" i="2"/>
  <c r="O114" i="2"/>
  <c r="P114" i="2"/>
  <c r="Q114" i="2"/>
  <c r="R114" i="2"/>
  <c r="S114" i="2"/>
  <c r="T114" i="2"/>
  <c r="B115" i="2"/>
  <c r="C115" i="2"/>
  <c r="G115" i="2"/>
  <c r="H115" i="2"/>
  <c r="I115" i="2"/>
  <c r="K115" i="2"/>
  <c r="L115" i="2"/>
  <c r="M115" i="2"/>
  <c r="N115" i="2"/>
  <c r="O115" i="2"/>
  <c r="P115" i="2"/>
  <c r="Q115" i="2"/>
  <c r="R115" i="2"/>
  <c r="S115" i="2"/>
  <c r="T115" i="2"/>
  <c r="B116" i="2"/>
  <c r="C116" i="2"/>
  <c r="G116" i="2"/>
  <c r="H116" i="2"/>
  <c r="I116" i="2"/>
  <c r="K116" i="2"/>
  <c r="L116" i="2"/>
  <c r="M116" i="2"/>
  <c r="N116" i="2"/>
  <c r="O116" i="2"/>
  <c r="P116" i="2"/>
  <c r="Q116" i="2"/>
  <c r="R116" i="2"/>
  <c r="S116" i="2"/>
  <c r="T116" i="2"/>
  <c r="B117" i="2"/>
  <c r="C117" i="2"/>
  <c r="G117" i="2"/>
  <c r="H117" i="2"/>
  <c r="I117" i="2"/>
  <c r="K117" i="2"/>
  <c r="L117" i="2"/>
  <c r="M117" i="2"/>
  <c r="N117" i="2"/>
  <c r="O117" i="2"/>
  <c r="P117" i="2"/>
  <c r="Q117" i="2"/>
  <c r="R117" i="2"/>
  <c r="S117" i="2"/>
  <c r="T117" i="2"/>
  <c r="B118" i="2"/>
  <c r="C118" i="2"/>
  <c r="G118" i="2"/>
  <c r="H118" i="2"/>
  <c r="I118" i="2"/>
  <c r="K118" i="2"/>
  <c r="L118" i="2"/>
  <c r="M118" i="2"/>
  <c r="N118" i="2"/>
  <c r="O118" i="2"/>
  <c r="P118" i="2"/>
  <c r="Q118" i="2"/>
  <c r="R118" i="2"/>
  <c r="S118" i="2"/>
  <c r="T118" i="2"/>
  <c r="B119" i="2"/>
  <c r="C119" i="2"/>
  <c r="G119" i="2"/>
  <c r="H119" i="2"/>
  <c r="I119" i="2"/>
  <c r="K119" i="2"/>
  <c r="L119" i="2"/>
  <c r="M119" i="2"/>
  <c r="N119" i="2"/>
  <c r="O119" i="2"/>
  <c r="P119" i="2"/>
  <c r="Q119" i="2"/>
  <c r="R119" i="2"/>
  <c r="S119" i="2"/>
  <c r="T119" i="2"/>
  <c r="B120" i="2"/>
  <c r="C120" i="2"/>
  <c r="G120" i="2"/>
  <c r="H120" i="2"/>
  <c r="I120" i="2"/>
  <c r="K120" i="2"/>
  <c r="L120" i="2"/>
  <c r="M120" i="2"/>
  <c r="N120" i="2"/>
  <c r="O120" i="2"/>
  <c r="P120" i="2"/>
  <c r="Q120" i="2"/>
  <c r="R120" i="2"/>
  <c r="S120" i="2"/>
  <c r="T120" i="2"/>
  <c r="B121" i="2"/>
  <c r="C121" i="2"/>
  <c r="G121" i="2"/>
  <c r="H121" i="2"/>
  <c r="I121" i="2"/>
  <c r="K121" i="2"/>
  <c r="L121" i="2"/>
  <c r="M121" i="2"/>
  <c r="N121" i="2"/>
  <c r="O121" i="2"/>
  <c r="P121" i="2"/>
  <c r="Q121" i="2"/>
  <c r="R121" i="2"/>
  <c r="S121" i="2"/>
  <c r="T121" i="2"/>
  <c r="B122" i="2"/>
  <c r="C122" i="2"/>
  <c r="G122" i="2"/>
  <c r="H122" i="2"/>
  <c r="I122" i="2"/>
  <c r="K122" i="2"/>
  <c r="L122" i="2"/>
  <c r="M122" i="2"/>
  <c r="N122" i="2"/>
  <c r="O122" i="2"/>
  <c r="P122" i="2"/>
  <c r="Q122" i="2"/>
  <c r="R122" i="2"/>
  <c r="S122" i="2"/>
  <c r="T122" i="2"/>
  <c r="B123" i="2"/>
  <c r="C123" i="2"/>
  <c r="G123" i="2"/>
  <c r="H123" i="2"/>
  <c r="I123" i="2"/>
  <c r="K123" i="2"/>
  <c r="L123" i="2"/>
  <c r="M123" i="2"/>
  <c r="N123" i="2"/>
  <c r="O123" i="2"/>
  <c r="P123" i="2"/>
  <c r="Q123" i="2"/>
  <c r="R123" i="2"/>
  <c r="S123" i="2"/>
  <c r="T123" i="2"/>
  <c r="B124" i="2"/>
  <c r="C124" i="2"/>
  <c r="G124" i="2"/>
  <c r="H124" i="2"/>
  <c r="I124" i="2"/>
  <c r="K124" i="2"/>
  <c r="L124" i="2"/>
  <c r="M124" i="2"/>
  <c r="N124" i="2"/>
  <c r="O124" i="2"/>
  <c r="P124" i="2"/>
  <c r="Q124" i="2"/>
  <c r="R124" i="2"/>
  <c r="S124" i="2"/>
  <c r="T124" i="2"/>
  <c r="B125" i="2"/>
  <c r="C125" i="2"/>
  <c r="G125" i="2"/>
  <c r="H125" i="2"/>
  <c r="I125" i="2"/>
  <c r="K125" i="2"/>
  <c r="L125" i="2"/>
  <c r="M125" i="2"/>
  <c r="N125" i="2"/>
  <c r="O125" i="2"/>
  <c r="P125" i="2"/>
  <c r="Q125" i="2"/>
  <c r="R125" i="2"/>
  <c r="S125" i="2"/>
  <c r="T125" i="2"/>
  <c r="B126" i="2"/>
  <c r="C126" i="2"/>
  <c r="G126" i="2"/>
  <c r="H126" i="2"/>
  <c r="I126" i="2"/>
  <c r="K126" i="2"/>
  <c r="L126" i="2"/>
  <c r="M126" i="2"/>
  <c r="N126" i="2"/>
  <c r="O126" i="2"/>
  <c r="P126" i="2"/>
  <c r="Q126" i="2"/>
  <c r="R126" i="2"/>
  <c r="S126" i="2"/>
  <c r="T126" i="2"/>
  <c r="B127" i="2"/>
  <c r="C127" i="2"/>
  <c r="G127" i="2"/>
  <c r="H127" i="2"/>
  <c r="I127" i="2"/>
  <c r="K127" i="2"/>
  <c r="L127" i="2"/>
  <c r="M127" i="2"/>
  <c r="N127" i="2"/>
  <c r="O127" i="2"/>
  <c r="P127" i="2"/>
  <c r="Q127" i="2"/>
  <c r="R127" i="2"/>
  <c r="S127" i="2"/>
  <c r="T127" i="2"/>
  <c r="B128" i="2"/>
  <c r="C128" i="2"/>
  <c r="G128" i="2"/>
  <c r="H128" i="2"/>
  <c r="I128" i="2"/>
  <c r="K128" i="2"/>
  <c r="L128" i="2"/>
  <c r="M128" i="2"/>
  <c r="N128" i="2"/>
  <c r="O128" i="2"/>
  <c r="P128" i="2"/>
  <c r="Q128" i="2"/>
  <c r="R128" i="2"/>
  <c r="S128" i="2"/>
  <c r="T128" i="2"/>
  <c r="B129" i="2"/>
  <c r="C129" i="2"/>
  <c r="G129" i="2"/>
  <c r="H129" i="2"/>
  <c r="I129" i="2"/>
  <c r="K129" i="2"/>
  <c r="L129" i="2"/>
  <c r="M129" i="2"/>
  <c r="N129" i="2"/>
  <c r="O129" i="2"/>
  <c r="P129" i="2"/>
  <c r="Q129" i="2"/>
  <c r="R129" i="2"/>
  <c r="S129" i="2"/>
  <c r="T129" i="2"/>
  <c r="B130" i="2"/>
  <c r="C130" i="2"/>
  <c r="G130" i="2"/>
  <c r="H130" i="2"/>
  <c r="I130" i="2"/>
  <c r="K130" i="2"/>
  <c r="L130" i="2"/>
  <c r="M130" i="2"/>
  <c r="N130" i="2"/>
  <c r="O130" i="2"/>
  <c r="P130" i="2"/>
  <c r="Q130" i="2"/>
  <c r="R130" i="2"/>
  <c r="S130" i="2"/>
  <c r="T130" i="2"/>
  <c r="B131" i="2"/>
  <c r="C131" i="2"/>
  <c r="G131" i="2"/>
  <c r="H131" i="2"/>
  <c r="I131" i="2"/>
  <c r="K131" i="2"/>
  <c r="L131" i="2"/>
  <c r="M131" i="2"/>
  <c r="N131" i="2"/>
  <c r="O131" i="2"/>
  <c r="P131" i="2"/>
  <c r="Q131" i="2"/>
  <c r="R131" i="2"/>
  <c r="S131" i="2"/>
  <c r="T131" i="2"/>
  <c r="B132" i="2"/>
  <c r="C132" i="2"/>
  <c r="G132" i="2"/>
  <c r="H132" i="2"/>
  <c r="I132" i="2"/>
  <c r="K132" i="2"/>
  <c r="L132" i="2"/>
  <c r="M132" i="2"/>
  <c r="N132" i="2"/>
  <c r="O132" i="2"/>
  <c r="P132" i="2"/>
  <c r="Q132" i="2"/>
  <c r="R132" i="2"/>
  <c r="S132" i="2"/>
  <c r="T132" i="2"/>
  <c r="B133" i="2"/>
  <c r="C133" i="2"/>
  <c r="G133" i="2"/>
  <c r="H133" i="2"/>
  <c r="I133" i="2"/>
  <c r="K133" i="2"/>
  <c r="L133" i="2"/>
  <c r="M133" i="2"/>
  <c r="N133" i="2"/>
  <c r="O133" i="2"/>
  <c r="P133" i="2"/>
  <c r="Q133" i="2"/>
  <c r="R133" i="2"/>
  <c r="S133" i="2"/>
  <c r="T133" i="2"/>
  <c r="B134" i="2"/>
  <c r="C134" i="2"/>
  <c r="G134" i="2"/>
  <c r="H134" i="2"/>
  <c r="I134" i="2"/>
  <c r="K134" i="2"/>
  <c r="L134" i="2"/>
  <c r="M134" i="2"/>
  <c r="N134" i="2"/>
  <c r="O134" i="2"/>
  <c r="P134" i="2"/>
  <c r="Q134" i="2"/>
  <c r="R134" i="2"/>
  <c r="S134" i="2"/>
  <c r="T134" i="2"/>
  <c r="B135" i="2"/>
  <c r="C135" i="2"/>
  <c r="G135" i="2"/>
  <c r="H135" i="2"/>
  <c r="I135" i="2"/>
  <c r="K135" i="2"/>
  <c r="L135" i="2"/>
  <c r="M135" i="2"/>
  <c r="N135" i="2"/>
  <c r="O135" i="2"/>
  <c r="P135" i="2"/>
  <c r="Q135" i="2"/>
  <c r="R135" i="2"/>
  <c r="S135" i="2"/>
  <c r="T135" i="2"/>
  <c r="B136" i="2"/>
  <c r="C136" i="2"/>
  <c r="G136" i="2"/>
  <c r="H136" i="2"/>
  <c r="I136" i="2"/>
  <c r="K136" i="2"/>
  <c r="L136" i="2"/>
  <c r="M136" i="2"/>
  <c r="N136" i="2"/>
  <c r="O136" i="2"/>
  <c r="P136" i="2"/>
  <c r="Q136" i="2"/>
  <c r="R136" i="2"/>
  <c r="S136" i="2"/>
  <c r="T136" i="2"/>
  <c r="B137" i="2"/>
  <c r="C137" i="2"/>
  <c r="G137" i="2"/>
  <c r="H137" i="2"/>
  <c r="I137" i="2"/>
  <c r="K137" i="2"/>
  <c r="L137" i="2"/>
  <c r="M137" i="2"/>
  <c r="N137" i="2"/>
  <c r="O137" i="2"/>
  <c r="P137" i="2"/>
  <c r="Q137" i="2"/>
  <c r="R137" i="2"/>
  <c r="S137" i="2"/>
  <c r="T137" i="2"/>
  <c r="B138" i="2"/>
  <c r="C138" i="2"/>
  <c r="G138" i="2"/>
  <c r="H138" i="2"/>
  <c r="I138" i="2"/>
  <c r="K138" i="2"/>
  <c r="L138" i="2"/>
  <c r="M138" i="2"/>
  <c r="N138" i="2"/>
  <c r="O138" i="2"/>
  <c r="P138" i="2"/>
  <c r="Q138" i="2"/>
  <c r="R138" i="2"/>
  <c r="S138" i="2"/>
  <c r="T138" i="2"/>
  <c r="B139" i="2"/>
  <c r="C139" i="2"/>
  <c r="G139" i="2"/>
  <c r="H139" i="2"/>
  <c r="I139" i="2"/>
  <c r="K139" i="2"/>
  <c r="L139" i="2"/>
  <c r="M139" i="2"/>
  <c r="N139" i="2"/>
  <c r="O139" i="2"/>
  <c r="P139" i="2"/>
  <c r="Q139" i="2"/>
  <c r="R139" i="2"/>
  <c r="S139" i="2"/>
  <c r="T139" i="2"/>
  <c r="B140" i="2"/>
  <c r="C140" i="2"/>
  <c r="G140" i="2"/>
  <c r="H140" i="2"/>
  <c r="I140" i="2"/>
  <c r="K140" i="2"/>
  <c r="L140" i="2"/>
  <c r="M140" i="2"/>
  <c r="N140" i="2"/>
  <c r="O140" i="2"/>
  <c r="P140" i="2"/>
  <c r="Q140" i="2"/>
  <c r="R140" i="2"/>
  <c r="S140" i="2"/>
  <c r="T140" i="2"/>
  <c r="B141" i="2"/>
  <c r="C141" i="2"/>
  <c r="G141" i="2"/>
  <c r="H141" i="2"/>
  <c r="I141" i="2"/>
  <c r="K141" i="2"/>
  <c r="L141" i="2"/>
  <c r="M141" i="2"/>
  <c r="N141" i="2"/>
  <c r="O141" i="2"/>
  <c r="P141" i="2"/>
  <c r="Q141" i="2"/>
  <c r="R141" i="2"/>
  <c r="S141" i="2"/>
  <c r="T141" i="2"/>
  <c r="B142" i="2"/>
  <c r="C142" i="2"/>
  <c r="G142" i="2"/>
  <c r="H142" i="2"/>
  <c r="I142" i="2"/>
  <c r="K142" i="2"/>
  <c r="L142" i="2"/>
  <c r="M142" i="2"/>
  <c r="N142" i="2"/>
  <c r="O142" i="2"/>
  <c r="P142" i="2"/>
  <c r="Q142" i="2"/>
  <c r="R142" i="2"/>
  <c r="S142" i="2"/>
  <c r="T142" i="2"/>
  <c r="B143" i="2"/>
  <c r="C143" i="2"/>
  <c r="G143" i="2"/>
  <c r="H143" i="2"/>
  <c r="I143" i="2"/>
  <c r="K143" i="2"/>
  <c r="L143" i="2"/>
  <c r="M143" i="2"/>
  <c r="N143" i="2"/>
  <c r="O143" i="2"/>
  <c r="P143" i="2"/>
  <c r="Q143" i="2"/>
  <c r="R143" i="2"/>
  <c r="S143" i="2"/>
  <c r="T143" i="2"/>
  <c r="B144" i="2"/>
  <c r="C144" i="2"/>
  <c r="G144" i="2"/>
  <c r="H144" i="2"/>
  <c r="I144" i="2"/>
  <c r="K144" i="2"/>
  <c r="L144" i="2"/>
  <c r="M144" i="2"/>
  <c r="N144" i="2"/>
  <c r="O144" i="2"/>
  <c r="P144" i="2"/>
  <c r="Q144" i="2"/>
  <c r="R144" i="2"/>
  <c r="S144" i="2"/>
  <c r="T144" i="2"/>
  <c r="B145" i="2"/>
  <c r="C145" i="2"/>
  <c r="G145" i="2"/>
  <c r="H145" i="2"/>
  <c r="I145" i="2"/>
  <c r="K145" i="2"/>
  <c r="L145" i="2"/>
  <c r="M145" i="2"/>
  <c r="N145" i="2"/>
  <c r="O145" i="2"/>
  <c r="P145" i="2"/>
  <c r="Q145" i="2"/>
  <c r="R145" i="2"/>
  <c r="S145" i="2"/>
  <c r="T145" i="2"/>
  <c r="B146" i="2"/>
  <c r="C146" i="2"/>
  <c r="G146" i="2"/>
  <c r="H146" i="2"/>
  <c r="I146" i="2"/>
  <c r="K146" i="2"/>
  <c r="L146" i="2"/>
  <c r="M146" i="2"/>
  <c r="N146" i="2"/>
  <c r="O146" i="2"/>
  <c r="P146" i="2"/>
  <c r="Q146" i="2"/>
  <c r="R146" i="2"/>
  <c r="S146" i="2"/>
  <c r="T146" i="2"/>
  <c r="B147" i="2"/>
  <c r="C147" i="2"/>
  <c r="G147" i="2"/>
  <c r="H147" i="2"/>
  <c r="I147" i="2"/>
  <c r="K147" i="2"/>
  <c r="L147" i="2"/>
  <c r="M147" i="2"/>
  <c r="N147" i="2"/>
  <c r="O147" i="2"/>
  <c r="P147" i="2"/>
  <c r="Q147" i="2"/>
  <c r="R147" i="2"/>
  <c r="S147" i="2"/>
  <c r="T147" i="2"/>
  <c r="B148" i="2"/>
  <c r="C148" i="2"/>
  <c r="G148" i="2"/>
  <c r="H148" i="2"/>
  <c r="I148" i="2"/>
  <c r="K148" i="2"/>
  <c r="L148" i="2"/>
  <c r="M148" i="2"/>
  <c r="N148" i="2"/>
  <c r="O148" i="2"/>
  <c r="P148" i="2"/>
  <c r="Q148" i="2"/>
  <c r="R148" i="2"/>
  <c r="S148" i="2"/>
  <c r="T148" i="2"/>
  <c r="B149" i="2"/>
  <c r="C149" i="2"/>
  <c r="G149" i="2"/>
  <c r="H149" i="2"/>
  <c r="I149" i="2"/>
  <c r="K149" i="2"/>
  <c r="L149" i="2"/>
  <c r="M149" i="2"/>
  <c r="N149" i="2"/>
  <c r="O149" i="2"/>
  <c r="P149" i="2"/>
  <c r="Q149" i="2"/>
  <c r="R149" i="2"/>
  <c r="S149" i="2"/>
  <c r="T149" i="2"/>
  <c r="B150" i="2"/>
  <c r="C150" i="2"/>
  <c r="G150" i="2"/>
  <c r="H150" i="2"/>
  <c r="I150" i="2"/>
  <c r="K150" i="2"/>
  <c r="L150" i="2"/>
  <c r="M150" i="2"/>
  <c r="N150" i="2"/>
  <c r="O150" i="2"/>
  <c r="P150" i="2"/>
  <c r="Q150" i="2"/>
  <c r="R150" i="2"/>
  <c r="S150" i="2"/>
  <c r="T150" i="2"/>
  <c r="B151" i="2"/>
  <c r="C151" i="2"/>
  <c r="G151" i="2"/>
  <c r="H151" i="2"/>
  <c r="I151" i="2"/>
  <c r="K151" i="2"/>
  <c r="L151" i="2"/>
  <c r="M151" i="2"/>
  <c r="N151" i="2"/>
  <c r="O151" i="2"/>
  <c r="P151" i="2"/>
  <c r="Q151" i="2"/>
  <c r="R151" i="2"/>
  <c r="S151" i="2"/>
  <c r="T151" i="2"/>
  <c r="B152" i="2"/>
  <c r="C152" i="2"/>
  <c r="G152" i="2"/>
  <c r="H152" i="2"/>
  <c r="I152" i="2"/>
  <c r="K152" i="2"/>
  <c r="L152" i="2"/>
  <c r="M152" i="2"/>
  <c r="N152" i="2"/>
  <c r="O152" i="2"/>
  <c r="P152" i="2"/>
  <c r="Q152" i="2"/>
  <c r="R152" i="2"/>
  <c r="S152" i="2"/>
  <c r="T152" i="2"/>
  <c r="B153" i="2"/>
  <c r="C153" i="2"/>
  <c r="G153" i="2"/>
  <c r="H153" i="2"/>
  <c r="I153" i="2"/>
  <c r="K153" i="2"/>
  <c r="L153" i="2"/>
  <c r="M153" i="2"/>
  <c r="N153" i="2"/>
  <c r="O153" i="2"/>
  <c r="P153" i="2"/>
  <c r="Q153" i="2"/>
  <c r="R153" i="2"/>
  <c r="S153" i="2"/>
  <c r="T153" i="2"/>
  <c r="B154" i="2"/>
  <c r="C154" i="2"/>
  <c r="G154" i="2"/>
  <c r="H154" i="2"/>
  <c r="I154" i="2"/>
  <c r="K154" i="2"/>
  <c r="L154" i="2"/>
  <c r="M154" i="2"/>
  <c r="N154" i="2"/>
  <c r="O154" i="2"/>
  <c r="P154" i="2"/>
  <c r="Q154" i="2"/>
  <c r="R154" i="2"/>
  <c r="S154" i="2"/>
  <c r="T154" i="2"/>
  <c r="B155" i="2"/>
  <c r="C155" i="2"/>
  <c r="G155" i="2"/>
  <c r="H155" i="2"/>
  <c r="I155" i="2"/>
  <c r="K155" i="2"/>
  <c r="L155" i="2"/>
  <c r="M155" i="2"/>
  <c r="N155" i="2"/>
  <c r="O155" i="2"/>
  <c r="P155" i="2"/>
  <c r="Q155" i="2"/>
  <c r="R155" i="2"/>
  <c r="S155" i="2"/>
  <c r="T155" i="2"/>
  <c r="B156" i="2"/>
  <c r="C156" i="2"/>
  <c r="G156" i="2"/>
  <c r="H156" i="2"/>
  <c r="I156" i="2"/>
  <c r="K156" i="2"/>
  <c r="L156" i="2"/>
  <c r="M156" i="2"/>
  <c r="N156" i="2"/>
  <c r="O156" i="2"/>
  <c r="P156" i="2"/>
  <c r="Q156" i="2"/>
  <c r="R156" i="2"/>
  <c r="S156" i="2"/>
  <c r="T156" i="2"/>
  <c r="B157" i="2"/>
  <c r="C157" i="2"/>
  <c r="G157" i="2"/>
  <c r="H157" i="2"/>
  <c r="I157" i="2"/>
  <c r="K157" i="2"/>
  <c r="L157" i="2"/>
  <c r="M157" i="2"/>
  <c r="N157" i="2"/>
  <c r="O157" i="2"/>
  <c r="P157" i="2"/>
  <c r="Q157" i="2"/>
  <c r="R157" i="2"/>
  <c r="S157" i="2"/>
  <c r="T157" i="2"/>
  <c r="B158" i="2"/>
  <c r="C158" i="2"/>
  <c r="G158" i="2"/>
  <c r="H158" i="2"/>
  <c r="I158" i="2"/>
  <c r="K158" i="2"/>
  <c r="L158" i="2"/>
  <c r="M158" i="2"/>
  <c r="N158" i="2"/>
  <c r="O158" i="2"/>
  <c r="P158" i="2"/>
  <c r="Q158" i="2"/>
  <c r="R158" i="2"/>
  <c r="S158" i="2"/>
  <c r="T158" i="2"/>
  <c r="B159" i="2"/>
  <c r="C159" i="2"/>
  <c r="G159" i="2"/>
  <c r="H159" i="2"/>
  <c r="I159" i="2"/>
  <c r="K159" i="2"/>
  <c r="L159" i="2"/>
  <c r="M159" i="2"/>
  <c r="N159" i="2"/>
  <c r="O159" i="2"/>
  <c r="P159" i="2"/>
  <c r="Q159" i="2"/>
  <c r="R159" i="2"/>
  <c r="S159" i="2"/>
  <c r="T159" i="2"/>
  <c r="B160" i="2"/>
  <c r="C160" i="2"/>
  <c r="G160" i="2"/>
  <c r="H160" i="2"/>
  <c r="I160" i="2"/>
  <c r="K160" i="2"/>
  <c r="L160" i="2"/>
  <c r="M160" i="2"/>
  <c r="N160" i="2"/>
  <c r="O160" i="2"/>
  <c r="P160" i="2"/>
  <c r="Q160" i="2"/>
  <c r="R160" i="2"/>
  <c r="S160" i="2"/>
  <c r="T160" i="2"/>
  <c r="B161" i="2"/>
  <c r="C161" i="2"/>
  <c r="G161" i="2"/>
  <c r="H161" i="2"/>
  <c r="I161" i="2"/>
  <c r="K161" i="2"/>
  <c r="L161" i="2"/>
  <c r="M161" i="2"/>
  <c r="N161" i="2"/>
  <c r="O161" i="2"/>
  <c r="P161" i="2"/>
  <c r="Q161" i="2"/>
  <c r="R161" i="2"/>
  <c r="S161" i="2"/>
  <c r="T161" i="2"/>
  <c r="B162" i="2"/>
  <c r="C162" i="2"/>
  <c r="G162" i="2"/>
  <c r="H162" i="2"/>
  <c r="I162" i="2"/>
  <c r="K162" i="2"/>
  <c r="L162" i="2"/>
  <c r="M162" i="2"/>
  <c r="N162" i="2"/>
  <c r="O162" i="2"/>
  <c r="P162" i="2"/>
  <c r="Q162" i="2"/>
  <c r="R162" i="2"/>
  <c r="S162" i="2"/>
  <c r="T162" i="2"/>
  <c r="B163" i="2"/>
  <c r="C163" i="2"/>
  <c r="G163" i="2"/>
  <c r="H163" i="2"/>
  <c r="I163" i="2"/>
  <c r="K163" i="2"/>
  <c r="L163" i="2"/>
  <c r="M163" i="2"/>
  <c r="N163" i="2"/>
  <c r="O163" i="2"/>
  <c r="P163" i="2"/>
  <c r="Q163" i="2"/>
  <c r="R163" i="2"/>
  <c r="S163" i="2"/>
  <c r="T163" i="2"/>
  <c r="B164" i="2"/>
  <c r="C164" i="2"/>
  <c r="G164" i="2"/>
  <c r="H164" i="2"/>
  <c r="I164" i="2"/>
  <c r="K164" i="2"/>
  <c r="L164" i="2"/>
  <c r="M164" i="2"/>
  <c r="N164" i="2"/>
  <c r="O164" i="2"/>
  <c r="P164" i="2"/>
  <c r="Q164" i="2"/>
  <c r="R164" i="2"/>
  <c r="S164" i="2"/>
  <c r="T164" i="2"/>
  <c r="B165" i="2"/>
  <c r="C165" i="2"/>
  <c r="G165" i="2"/>
  <c r="H165" i="2"/>
  <c r="I165" i="2"/>
  <c r="K165" i="2"/>
  <c r="L165" i="2"/>
  <c r="M165" i="2"/>
  <c r="N165" i="2"/>
  <c r="O165" i="2"/>
  <c r="P165" i="2"/>
  <c r="Q165" i="2"/>
  <c r="R165" i="2"/>
  <c r="S165" i="2"/>
  <c r="T165" i="2"/>
  <c r="B166" i="2"/>
  <c r="C166" i="2"/>
  <c r="G166" i="2"/>
  <c r="H166" i="2"/>
  <c r="I166" i="2"/>
  <c r="K166" i="2"/>
  <c r="L166" i="2"/>
  <c r="M166" i="2"/>
  <c r="N166" i="2"/>
  <c r="O166" i="2"/>
  <c r="P166" i="2"/>
  <c r="Q166" i="2"/>
  <c r="R166" i="2"/>
  <c r="S166" i="2"/>
  <c r="T166" i="2"/>
  <c r="B167" i="2"/>
  <c r="C167" i="2"/>
  <c r="G167" i="2"/>
  <c r="H167" i="2"/>
  <c r="I167" i="2"/>
  <c r="K167" i="2"/>
  <c r="L167" i="2"/>
  <c r="M167" i="2"/>
  <c r="N167" i="2"/>
  <c r="O167" i="2"/>
  <c r="P167" i="2"/>
  <c r="Q167" i="2"/>
  <c r="R167" i="2"/>
  <c r="S167" i="2"/>
  <c r="T167" i="2"/>
  <c r="B168" i="2"/>
  <c r="C168" i="2"/>
  <c r="G168" i="2"/>
  <c r="H168" i="2"/>
  <c r="I168" i="2"/>
  <c r="K168" i="2"/>
  <c r="L168" i="2"/>
  <c r="M168" i="2"/>
  <c r="N168" i="2"/>
  <c r="O168" i="2"/>
  <c r="P168" i="2"/>
  <c r="Q168" i="2"/>
  <c r="R168" i="2"/>
  <c r="S168" i="2"/>
  <c r="T168" i="2"/>
  <c r="B169" i="2"/>
  <c r="C169" i="2"/>
  <c r="G169" i="2"/>
  <c r="H169" i="2"/>
  <c r="I169" i="2"/>
  <c r="K169" i="2"/>
  <c r="L169" i="2"/>
  <c r="M169" i="2"/>
  <c r="N169" i="2"/>
  <c r="O169" i="2"/>
  <c r="P169" i="2"/>
  <c r="Q169" i="2"/>
  <c r="R169" i="2"/>
  <c r="S169" i="2"/>
  <c r="T169" i="2"/>
  <c r="B170" i="2"/>
  <c r="C170" i="2"/>
  <c r="G170" i="2"/>
  <c r="H170" i="2"/>
  <c r="I170" i="2"/>
  <c r="K170" i="2"/>
  <c r="L170" i="2"/>
  <c r="M170" i="2"/>
  <c r="N170" i="2"/>
  <c r="O170" i="2"/>
  <c r="P170" i="2"/>
  <c r="Q170" i="2"/>
  <c r="R170" i="2"/>
  <c r="S170" i="2"/>
  <c r="T170" i="2"/>
  <c r="B171" i="2"/>
  <c r="C171" i="2"/>
  <c r="G171" i="2"/>
  <c r="H171" i="2"/>
  <c r="I171" i="2"/>
  <c r="K171" i="2"/>
  <c r="L171" i="2"/>
  <c r="M171" i="2"/>
  <c r="N171" i="2"/>
  <c r="O171" i="2"/>
  <c r="P171" i="2"/>
  <c r="Q171" i="2"/>
  <c r="R171" i="2"/>
  <c r="S171" i="2"/>
  <c r="T171" i="2"/>
  <c r="B172" i="2"/>
  <c r="C172" i="2"/>
  <c r="G172" i="2"/>
  <c r="H172" i="2"/>
  <c r="I172" i="2"/>
  <c r="K172" i="2"/>
  <c r="L172" i="2"/>
  <c r="M172" i="2"/>
  <c r="N172" i="2"/>
  <c r="O172" i="2"/>
  <c r="P172" i="2"/>
  <c r="Q172" i="2"/>
  <c r="R172" i="2"/>
  <c r="S172" i="2"/>
  <c r="T172" i="2"/>
  <c r="B173" i="2"/>
  <c r="C173" i="2"/>
  <c r="G173" i="2"/>
  <c r="H173" i="2"/>
  <c r="I173" i="2"/>
  <c r="K173" i="2"/>
  <c r="L173" i="2"/>
  <c r="M173" i="2"/>
  <c r="N173" i="2"/>
  <c r="O173" i="2"/>
  <c r="P173" i="2"/>
  <c r="Q173" i="2"/>
  <c r="R173" i="2"/>
  <c r="S173" i="2"/>
  <c r="T173" i="2"/>
  <c r="B174" i="2"/>
  <c r="C174" i="2"/>
  <c r="G174" i="2"/>
  <c r="H174" i="2"/>
  <c r="I174" i="2"/>
  <c r="K174" i="2"/>
  <c r="L174" i="2"/>
  <c r="M174" i="2"/>
  <c r="N174" i="2"/>
  <c r="O174" i="2"/>
  <c r="P174" i="2"/>
  <c r="Q174" i="2"/>
  <c r="R174" i="2"/>
  <c r="S174" i="2"/>
  <c r="T174" i="2"/>
  <c r="B175" i="2"/>
  <c r="C175" i="2"/>
  <c r="G175" i="2"/>
  <c r="H175" i="2"/>
  <c r="I175" i="2"/>
  <c r="K175" i="2"/>
  <c r="L175" i="2"/>
  <c r="M175" i="2"/>
  <c r="N175" i="2"/>
  <c r="O175" i="2"/>
  <c r="P175" i="2"/>
  <c r="Q175" i="2"/>
  <c r="R175" i="2"/>
  <c r="S175" i="2"/>
  <c r="T175" i="2"/>
  <c r="B176" i="2"/>
  <c r="C176" i="2"/>
  <c r="G176" i="2"/>
  <c r="H176" i="2"/>
  <c r="I176" i="2"/>
  <c r="K176" i="2"/>
  <c r="L176" i="2"/>
  <c r="M176" i="2"/>
  <c r="N176" i="2"/>
  <c r="O176" i="2"/>
  <c r="P176" i="2"/>
  <c r="Q176" i="2"/>
  <c r="R176" i="2"/>
  <c r="S176" i="2"/>
  <c r="T176" i="2"/>
  <c r="B177" i="2"/>
  <c r="C177" i="2"/>
  <c r="G177" i="2"/>
  <c r="H177" i="2"/>
  <c r="I177" i="2"/>
  <c r="K177" i="2"/>
  <c r="L177" i="2"/>
  <c r="M177" i="2"/>
  <c r="N177" i="2"/>
  <c r="O177" i="2"/>
  <c r="P177" i="2"/>
  <c r="Q177" i="2"/>
  <c r="R177" i="2"/>
  <c r="S177" i="2"/>
  <c r="T177" i="2"/>
  <c r="B178" i="2"/>
  <c r="C178" i="2"/>
  <c r="G178" i="2"/>
  <c r="H178" i="2"/>
  <c r="I178" i="2"/>
  <c r="K178" i="2"/>
  <c r="L178" i="2"/>
  <c r="M178" i="2"/>
  <c r="N178" i="2"/>
  <c r="O178" i="2"/>
  <c r="P178" i="2"/>
  <c r="Q178" i="2"/>
  <c r="R178" i="2"/>
  <c r="S178" i="2"/>
  <c r="T178" i="2"/>
  <c r="B179" i="2"/>
  <c r="C179" i="2"/>
  <c r="G179" i="2"/>
  <c r="H179" i="2"/>
  <c r="I179" i="2"/>
  <c r="K179" i="2"/>
  <c r="L179" i="2"/>
  <c r="M179" i="2"/>
  <c r="N179" i="2"/>
  <c r="O179" i="2"/>
  <c r="P179" i="2"/>
  <c r="Q179" i="2"/>
  <c r="R179" i="2"/>
  <c r="S179" i="2"/>
  <c r="T179" i="2"/>
  <c r="B180" i="2"/>
  <c r="C180" i="2"/>
  <c r="G180" i="2"/>
  <c r="H180" i="2"/>
  <c r="I180" i="2"/>
  <c r="K180" i="2"/>
  <c r="L180" i="2"/>
  <c r="M180" i="2"/>
  <c r="N180" i="2"/>
  <c r="O180" i="2"/>
  <c r="P180" i="2"/>
  <c r="Q180" i="2"/>
  <c r="R180" i="2"/>
  <c r="S180" i="2"/>
  <c r="T180" i="2"/>
  <c r="B181" i="2"/>
  <c r="C181" i="2"/>
  <c r="G181" i="2"/>
  <c r="H181" i="2"/>
  <c r="I181" i="2"/>
  <c r="K181" i="2"/>
  <c r="L181" i="2"/>
  <c r="M181" i="2"/>
  <c r="N181" i="2"/>
  <c r="O181" i="2"/>
  <c r="P181" i="2"/>
  <c r="Q181" i="2"/>
  <c r="R181" i="2"/>
  <c r="S181" i="2"/>
  <c r="T181" i="2"/>
  <c r="B182" i="2"/>
  <c r="C182" i="2"/>
  <c r="G182" i="2"/>
  <c r="H182" i="2"/>
  <c r="I182" i="2"/>
  <c r="K182" i="2"/>
  <c r="L182" i="2"/>
  <c r="M182" i="2"/>
  <c r="N182" i="2"/>
  <c r="O182" i="2"/>
  <c r="P182" i="2"/>
  <c r="Q182" i="2"/>
  <c r="R182" i="2"/>
  <c r="S182" i="2"/>
  <c r="T182" i="2"/>
  <c r="B183" i="2"/>
  <c r="C183" i="2"/>
  <c r="G183" i="2"/>
  <c r="H183" i="2"/>
  <c r="I183" i="2"/>
  <c r="K183" i="2"/>
  <c r="L183" i="2"/>
  <c r="M183" i="2"/>
  <c r="N183" i="2"/>
  <c r="O183" i="2"/>
  <c r="P183" i="2"/>
  <c r="Q183" i="2"/>
  <c r="R183" i="2"/>
  <c r="S183" i="2"/>
  <c r="T183" i="2"/>
  <c r="B184" i="2"/>
  <c r="C184" i="2"/>
  <c r="G184" i="2"/>
  <c r="H184" i="2"/>
  <c r="I184" i="2"/>
  <c r="K184" i="2"/>
  <c r="L184" i="2"/>
  <c r="M184" i="2"/>
  <c r="N184" i="2"/>
  <c r="O184" i="2"/>
  <c r="P184" i="2"/>
  <c r="Q184" i="2"/>
  <c r="R184" i="2"/>
  <c r="S184" i="2"/>
  <c r="T184" i="2"/>
  <c r="B185" i="2"/>
  <c r="C185" i="2"/>
  <c r="G185" i="2"/>
  <c r="H185" i="2"/>
  <c r="I185" i="2"/>
  <c r="K185" i="2"/>
  <c r="L185" i="2"/>
  <c r="M185" i="2"/>
  <c r="N185" i="2"/>
  <c r="O185" i="2"/>
  <c r="P185" i="2"/>
  <c r="Q185" i="2"/>
  <c r="R185" i="2"/>
  <c r="S185" i="2"/>
  <c r="T185" i="2"/>
  <c r="B186" i="2"/>
  <c r="C186" i="2"/>
  <c r="G186" i="2"/>
  <c r="H186" i="2"/>
  <c r="I186" i="2"/>
  <c r="K186" i="2"/>
  <c r="L186" i="2"/>
  <c r="M186" i="2"/>
  <c r="N186" i="2"/>
  <c r="O186" i="2"/>
  <c r="P186" i="2"/>
  <c r="Q186" i="2"/>
  <c r="R186" i="2"/>
  <c r="S186" i="2"/>
  <c r="T186" i="2"/>
  <c r="B187" i="2"/>
  <c r="C187" i="2"/>
  <c r="G187" i="2"/>
  <c r="H187" i="2"/>
  <c r="I187" i="2"/>
  <c r="K187" i="2"/>
  <c r="L187" i="2"/>
  <c r="M187" i="2"/>
  <c r="N187" i="2"/>
  <c r="O187" i="2"/>
  <c r="P187" i="2"/>
  <c r="Q187" i="2"/>
  <c r="R187" i="2"/>
  <c r="S187" i="2"/>
  <c r="T187" i="2"/>
  <c r="B188" i="2"/>
  <c r="C188" i="2"/>
  <c r="G188" i="2"/>
  <c r="H188" i="2"/>
  <c r="I188" i="2"/>
  <c r="K188" i="2"/>
  <c r="L188" i="2"/>
  <c r="M188" i="2"/>
  <c r="N188" i="2"/>
  <c r="O188" i="2"/>
  <c r="P188" i="2"/>
  <c r="Q188" i="2"/>
  <c r="R188" i="2"/>
  <c r="S188" i="2"/>
  <c r="T188" i="2"/>
  <c r="B189" i="2"/>
  <c r="C189" i="2"/>
  <c r="G189" i="2"/>
  <c r="H189" i="2"/>
  <c r="I189" i="2"/>
  <c r="K189" i="2"/>
  <c r="L189" i="2"/>
  <c r="M189" i="2"/>
  <c r="N189" i="2"/>
  <c r="O189" i="2"/>
  <c r="P189" i="2"/>
  <c r="Q189" i="2"/>
  <c r="R189" i="2"/>
  <c r="S189" i="2"/>
  <c r="T189" i="2"/>
  <c r="B190" i="2"/>
  <c r="C190" i="2"/>
  <c r="G190" i="2"/>
  <c r="H190" i="2"/>
  <c r="I190" i="2"/>
  <c r="K190" i="2"/>
  <c r="L190" i="2"/>
  <c r="M190" i="2"/>
  <c r="N190" i="2"/>
  <c r="O190" i="2"/>
  <c r="P190" i="2"/>
  <c r="Q190" i="2"/>
  <c r="R190" i="2"/>
  <c r="S190" i="2"/>
  <c r="T190" i="2"/>
  <c r="B191" i="2"/>
  <c r="C191" i="2"/>
  <c r="G191" i="2"/>
  <c r="H191" i="2"/>
  <c r="I191" i="2"/>
  <c r="K191" i="2"/>
  <c r="L191" i="2"/>
  <c r="M191" i="2"/>
  <c r="N191" i="2"/>
  <c r="O191" i="2"/>
  <c r="P191" i="2"/>
  <c r="Q191" i="2"/>
  <c r="R191" i="2"/>
  <c r="S191" i="2"/>
  <c r="T191" i="2"/>
  <c r="B192" i="2"/>
  <c r="C192" i="2"/>
  <c r="G192" i="2"/>
  <c r="H192" i="2"/>
  <c r="I192" i="2"/>
  <c r="K192" i="2"/>
  <c r="L192" i="2"/>
  <c r="M192" i="2"/>
  <c r="N192" i="2"/>
  <c r="O192" i="2"/>
  <c r="P192" i="2"/>
  <c r="Q192" i="2"/>
  <c r="R192" i="2"/>
  <c r="S192" i="2"/>
  <c r="T192" i="2"/>
  <c r="B193" i="2"/>
  <c r="C193" i="2"/>
  <c r="G193" i="2"/>
  <c r="H193" i="2"/>
  <c r="I193" i="2"/>
  <c r="K193" i="2"/>
  <c r="L193" i="2"/>
  <c r="M193" i="2"/>
  <c r="N193" i="2"/>
  <c r="O193" i="2"/>
  <c r="P193" i="2"/>
  <c r="Q193" i="2"/>
  <c r="R193" i="2"/>
  <c r="S193" i="2"/>
  <c r="T193" i="2"/>
  <c r="B194" i="2"/>
  <c r="C194" i="2"/>
  <c r="G194" i="2"/>
  <c r="H194" i="2"/>
  <c r="I194" i="2"/>
  <c r="K194" i="2"/>
  <c r="L194" i="2"/>
  <c r="M194" i="2"/>
  <c r="N194" i="2"/>
  <c r="O194" i="2"/>
  <c r="P194" i="2"/>
  <c r="Q194" i="2"/>
  <c r="R194" i="2"/>
  <c r="S194" i="2"/>
  <c r="T194" i="2"/>
  <c r="B195" i="2"/>
  <c r="C195" i="2"/>
  <c r="G195" i="2"/>
  <c r="H195" i="2"/>
  <c r="I195" i="2"/>
  <c r="K195" i="2"/>
  <c r="L195" i="2"/>
  <c r="M195" i="2"/>
  <c r="N195" i="2"/>
  <c r="O195" i="2"/>
  <c r="P195" i="2"/>
  <c r="Q195" i="2"/>
  <c r="R195" i="2"/>
  <c r="S195" i="2"/>
  <c r="T195" i="2"/>
  <c r="B196" i="2"/>
  <c r="C196" i="2"/>
  <c r="G196" i="2"/>
  <c r="H196" i="2"/>
  <c r="I196" i="2"/>
  <c r="K196" i="2"/>
  <c r="L196" i="2"/>
  <c r="M196" i="2"/>
  <c r="N196" i="2"/>
  <c r="O196" i="2"/>
  <c r="P196" i="2"/>
  <c r="Q196" i="2"/>
  <c r="R196" i="2"/>
  <c r="S196" i="2"/>
  <c r="T196" i="2"/>
  <c r="B197" i="2"/>
  <c r="C197" i="2"/>
  <c r="G197" i="2"/>
  <c r="H197" i="2"/>
  <c r="I197" i="2"/>
  <c r="K197" i="2"/>
  <c r="L197" i="2"/>
  <c r="M197" i="2"/>
  <c r="N197" i="2"/>
  <c r="O197" i="2"/>
  <c r="P197" i="2"/>
  <c r="Q197" i="2"/>
  <c r="R197" i="2"/>
  <c r="S197" i="2"/>
  <c r="T197" i="2"/>
  <c r="B198" i="2"/>
  <c r="C198" i="2"/>
  <c r="G198" i="2"/>
  <c r="H198" i="2"/>
  <c r="I198" i="2"/>
  <c r="K198" i="2"/>
  <c r="L198" i="2"/>
  <c r="M198" i="2"/>
  <c r="N198" i="2"/>
  <c r="O198" i="2"/>
  <c r="P198" i="2"/>
  <c r="Q198" i="2"/>
  <c r="R198" i="2"/>
  <c r="S198" i="2"/>
  <c r="T198" i="2"/>
  <c r="B199" i="2"/>
  <c r="C199" i="2"/>
  <c r="G199" i="2"/>
  <c r="H199" i="2"/>
  <c r="I199" i="2"/>
  <c r="K199" i="2"/>
  <c r="L199" i="2"/>
  <c r="M199" i="2"/>
  <c r="N199" i="2"/>
  <c r="O199" i="2"/>
  <c r="P199" i="2"/>
  <c r="Q199" i="2"/>
  <c r="R199" i="2"/>
  <c r="S199" i="2"/>
  <c r="T199" i="2"/>
  <c r="B200" i="2"/>
  <c r="C200" i="2"/>
  <c r="G200" i="2"/>
  <c r="H200" i="2"/>
  <c r="I200" i="2"/>
  <c r="K200" i="2"/>
  <c r="L200" i="2"/>
  <c r="M200" i="2"/>
  <c r="N200" i="2"/>
  <c r="O200" i="2"/>
  <c r="P200" i="2"/>
  <c r="Q200" i="2"/>
  <c r="R200" i="2"/>
  <c r="S200" i="2"/>
  <c r="T200" i="2"/>
  <c r="B201" i="2"/>
  <c r="C201" i="2"/>
  <c r="G201" i="2"/>
  <c r="H201" i="2"/>
  <c r="I201" i="2"/>
  <c r="K201" i="2"/>
  <c r="L201" i="2"/>
  <c r="M201" i="2"/>
  <c r="N201" i="2"/>
  <c r="O201" i="2"/>
  <c r="P201" i="2"/>
  <c r="Q201" i="2"/>
  <c r="R201" i="2"/>
  <c r="S201" i="2"/>
  <c r="T201" i="2"/>
  <c r="B202" i="2"/>
  <c r="C202" i="2"/>
  <c r="G202" i="2"/>
  <c r="H202" i="2"/>
  <c r="I202" i="2"/>
  <c r="K202" i="2"/>
  <c r="L202" i="2"/>
  <c r="M202" i="2"/>
  <c r="N202" i="2"/>
  <c r="O202" i="2"/>
  <c r="P202" i="2"/>
  <c r="Q202" i="2"/>
  <c r="R202" i="2"/>
  <c r="S202" i="2"/>
  <c r="T202" i="2"/>
  <c r="B203" i="2"/>
  <c r="C203" i="2"/>
  <c r="G203" i="2"/>
  <c r="H203" i="2"/>
  <c r="I203" i="2"/>
  <c r="K203" i="2"/>
  <c r="L203" i="2"/>
  <c r="M203" i="2"/>
  <c r="N203" i="2"/>
  <c r="O203" i="2"/>
  <c r="P203" i="2"/>
  <c r="Q203" i="2"/>
  <c r="R203" i="2"/>
  <c r="S203" i="2"/>
  <c r="T203" i="2"/>
  <c r="B204" i="2"/>
  <c r="C204" i="2"/>
  <c r="G204" i="2"/>
  <c r="H204" i="2"/>
  <c r="I204" i="2"/>
  <c r="K204" i="2"/>
  <c r="L204" i="2"/>
  <c r="M204" i="2"/>
  <c r="N204" i="2"/>
  <c r="O204" i="2"/>
  <c r="P204" i="2"/>
  <c r="Q204" i="2"/>
  <c r="R204" i="2"/>
  <c r="S204" i="2"/>
  <c r="T204" i="2"/>
  <c r="B205" i="2"/>
  <c r="C205" i="2"/>
  <c r="G205" i="2"/>
  <c r="H205" i="2"/>
  <c r="I205" i="2"/>
  <c r="K205" i="2"/>
  <c r="L205" i="2"/>
  <c r="M205" i="2"/>
  <c r="N205" i="2"/>
  <c r="O205" i="2"/>
  <c r="P205" i="2"/>
  <c r="Q205" i="2"/>
  <c r="R205" i="2"/>
  <c r="S205" i="2"/>
  <c r="T205" i="2"/>
  <c r="B206" i="2"/>
  <c r="C206" i="2"/>
  <c r="G206" i="2"/>
  <c r="H206" i="2"/>
  <c r="I206" i="2"/>
  <c r="K206" i="2"/>
  <c r="L206" i="2"/>
  <c r="M206" i="2"/>
  <c r="N206" i="2"/>
  <c r="O206" i="2"/>
  <c r="P206" i="2"/>
  <c r="Q206" i="2"/>
  <c r="R206" i="2"/>
  <c r="S206" i="2"/>
  <c r="T206" i="2"/>
  <c r="B207" i="2"/>
  <c r="C207" i="2"/>
  <c r="G207" i="2"/>
  <c r="H207" i="2"/>
  <c r="I207" i="2"/>
  <c r="K207" i="2"/>
  <c r="L207" i="2"/>
  <c r="M207" i="2"/>
  <c r="N207" i="2"/>
  <c r="O207" i="2"/>
  <c r="P207" i="2"/>
  <c r="Q207" i="2"/>
  <c r="R207" i="2"/>
  <c r="S207" i="2"/>
  <c r="T207" i="2"/>
  <c r="B208" i="2"/>
  <c r="C208" i="2"/>
  <c r="G208" i="2"/>
  <c r="H208" i="2"/>
  <c r="I208" i="2"/>
  <c r="K208" i="2"/>
  <c r="L208" i="2"/>
  <c r="M208" i="2"/>
  <c r="N208" i="2"/>
  <c r="O208" i="2"/>
  <c r="P208" i="2"/>
  <c r="Q208" i="2"/>
  <c r="R208" i="2"/>
  <c r="S208" i="2"/>
  <c r="T208" i="2"/>
  <c r="B209" i="2"/>
  <c r="C209" i="2"/>
  <c r="G209" i="2"/>
  <c r="H209" i="2"/>
  <c r="I209" i="2"/>
  <c r="K209" i="2"/>
  <c r="L209" i="2"/>
  <c r="M209" i="2"/>
  <c r="N209" i="2"/>
  <c r="O209" i="2"/>
  <c r="P209" i="2"/>
  <c r="Q209" i="2"/>
  <c r="R209" i="2"/>
  <c r="S209" i="2"/>
  <c r="T209" i="2"/>
  <c r="B210" i="2"/>
  <c r="C210" i="2"/>
  <c r="G210" i="2"/>
  <c r="H210" i="2"/>
  <c r="I210" i="2"/>
  <c r="K210" i="2"/>
  <c r="L210" i="2"/>
  <c r="M210" i="2"/>
  <c r="N210" i="2"/>
  <c r="O210" i="2"/>
  <c r="P210" i="2"/>
  <c r="Q210" i="2"/>
  <c r="R210" i="2"/>
  <c r="S210" i="2"/>
  <c r="T210" i="2"/>
  <c r="B211" i="2"/>
  <c r="C211" i="2"/>
  <c r="G211" i="2"/>
  <c r="H211" i="2"/>
  <c r="I211" i="2"/>
  <c r="K211" i="2"/>
  <c r="L211" i="2"/>
  <c r="M211" i="2"/>
  <c r="N211" i="2"/>
  <c r="O211" i="2"/>
  <c r="P211" i="2"/>
  <c r="Q211" i="2"/>
  <c r="R211" i="2"/>
  <c r="S211" i="2"/>
  <c r="T211" i="2"/>
  <c r="B212" i="2"/>
  <c r="C212" i="2"/>
  <c r="G212" i="2"/>
  <c r="H212" i="2"/>
  <c r="I212" i="2"/>
  <c r="K212" i="2"/>
  <c r="L212" i="2"/>
  <c r="M212" i="2"/>
  <c r="N212" i="2"/>
  <c r="O212" i="2"/>
  <c r="P212" i="2"/>
  <c r="Q212" i="2"/>
  <c r="R212" i="2"/>
  <c r="S212" i="2"/>
  <c r="T212" i="2"/>
  <c r="B213" i="2"/>
  <c r="C213" i="2"/>
  <c r="G213" i="2"/>
  <c r="H213" i="2"/>
  <c r="I213" i="2"/>
  <c r="K213" i="2"/>
  <c r="L213" i="2"/>
  <c r="M213" i="2"/>
  <c r="N213" i="2"/>
  <c r="O213" i="2"/>
  <c r="P213" i="2"/>
  <c r="Q213" i="2"/>
  <c r="R213" i="2"/>
  <c r="S213" i="2"/>
  <c r="T213" i="2"/>
  <c r="B214" i="2"/>
  <c r="C214" i="2"/>
  <c r="G214" i="2"/>
  <c r="H214" i="2"/>
  <c r="I214" i="2"/>
  <c r="K214" i="2"/>
  <c r="L214" i="2"/>
  <c r="M214" i="2"/>
  <c r="N214" i="2"/>
  <c r="O214" i="2"/>
  <c r="P214" i="2"/>
  <c r="Q214" i="2"/>
  <c r="R214" i="2"/>
  <c r="S214" i="2"/>
  <c r="T214" i="2"/>
  <c r="B215" i="2"/>
  <c r="C215" i="2"/>
  <c r="G215" i="2"/>
  <c r="H215" i="2"/>
  <c r="I215" i="2"/>
  <c r="K215" i="2"/>
  <c r="L215" i="2"/>
  <c r="M215" i="2"/>
  <c r="N215" i="2"/>
  <c r="O215" i="2"/>
  <c r="P215" i="2"/>
  <c r="Q215" i="2"/>
  <c r="R215" i="2"/>
  <c r="S215" i="2"/>
  <c r="T215" i="2"/>
  <c r="B216" i="2"/>
  <c r="C216" i="2"/>
  <c r="G216" i="2"/>
  <c r="H216" i="2"/>
  <c r="I216" i="2"/>
  <c r="K216" i="2"/>
  <c r="L216" i="2"/>
  <c r="M216" i="2"/>
  <c r="N216" i="2"/>
  <c r="O216" i="2"/>
  <c r="P216" i="2"/>
  <c r="Q216" i="2"/>
  <c r="R216" i="2"/>
  <c r="S216" i="2"/>
  <c r="T216" i="2"/>
  <c r="B217" i="2"/>
  <c r="C217" i="2"/>
  <c r="G217" i="2"/>
  <c r="H217" i="2"/>
  <c r="I217" i="2"/>
  <c r="K217" i="2"/>
  <c r="L217" i="2"/>
  <c r="M217" i="2"/>
  <c r="N217" i="2"/>
  <c r="O217" i="2"/>
  <c r="P217" i="2"/>
  <c r="Q217" i="2"/>
  <c r="R217" i="2"/>
  <c r="S217" i="2"/>
  <c r="T217" i="2"/>
  <c r="B218" i="2"/>
  <c r="C218" i="2"/>
  <c r="G218" i="2"/>
  <c r="H218" i="2"/>
  <c r="I218" i="2"/>
  <c r="K218" i="2"/>
  <c r="L218" i="2"/>
  <c r="M218" i="2"/>
  <c r="N218" i="2"/>
  <c r="O218" i="2"/>
  <c r="P218" i="2"/>
  <c r="Q218" i="2"/>
  <c r="R218" i="2"/>
  <c r="S218" i="2"/>
  <c r="T218" i="2"/>
  <c r="B219" i="2"/>
  <c r="C219" i="2"/>
  <c r="G219" i="2"/>
  <c r="H219" i="2"/>
  <c r="I219" i="2"/>
  <c r="K219" i="2"/>
  <c r="L219" i="2"/>
  <c r="M219" i="2"/>
  <c r="N219" i="2"/>
  <c r="O219" i="2"/>
  <c r="P219" i="2"/>
  <c r="Q219" i="2"/>
  <c r="R219" i="2"/>
  <c r="S219" i="2"/>
  <c r="T219" i="2"/>
  <c r="B220" i="2"/>
  <c r="C220" i="2"/>
  <c r="G220" i="2"/>
  <c r="H220" i="2"/>
  <c r="I220" i="2"/>
  <c r="K220" i="2"/>
  <c r="L220" i="2"/>
  <c r="M220" i="2"/>
  <c r="N220" i="2"/>
  <c r="O220" i="2"/>
  <c r="P220" i="2"/>
  <c r="Q220" i="2"/>
  <c r="R220" i="2"/>
  <c r="S220" i="2"/>
  <c r="T220" i="2"/>
  <c r="B221" i="2"/>
  <c r="C221" i="2"/>
  <c r="G221" i="2"/>
  <c r="H221" i="2"/>
  <c r="I221" i="2"/>
  <c r="K221" i="2"/>
  <c r="L221" i="2"/>
  <c r="M221" i="2"/>
  <c r="N221" i="2"/>
  <c r="O221" i="2"/>
  <c r="P221" i="2"/>
  <c r="Q221" i="2"/>
  <c r="R221" i="2"/>
  <c r="S221" i="2"/>
  <c r="T221" i="2"/>
  <c r="B222" i="2"/>
  <c r="C222" i="2"/>
  <c r="G222" i="2"/>
  <c r="H222" i="2"/>
  <c r="I222" i="2"/>
  <c r="K222" i="2"/>
  <c r="L222" i="2"/>
  <c r="M222" i="2"/>
  <c r="N222" i="2"/>
  <c r="O222" i="2"/>
  <c r="P222" i="2"/>
  <c r="Q222" i="2"/>
  <c r="R222" i="2"/>
  <c r="S222" i="2"/>
  <c r="T222" i="2"/>
  <c r="B223" i="2"/>
  <c r="C223" i="2"/>
  <c r="G223" i="2"/>
  <c r="H223" i="2"/>
  <c r="I223" i="2"/>
  <c r="K223" i="2"/>
  <c r="L223" i="2"/>
  <c r="M223" i="2"/>
  <c r="N223" i="2"/>
  <c r="O223" i="2"/>
  <c r="P223" i="2"/>
  <c r="Q223" i="2"/>
  <c r="R223" i="2"/>
  <c r="S223" i="2"/>
  <c r="T223" i="2"/>
  <c r="B224" i="2"/>
  <c r="C224" i="2"/>
  <c r="G224" i="2"/>
  <c r="H224" i="2"/>
  <c r="I224" i="2"/>
  <c r="K224" i="2"/>
  <c r="L224" i="2"/>
  <c r="M224" i="2"/>
  <c r="N224" i="2"/>
  <c r="O224" i="2"/>
  <c r="P224" i="2"/>
  <c r="Q224" i="2"/>
  <c r="R224" i="2"/>
  <c r="S224" i="2"/>
  <c r="T224" i="2"/>
  <c r="B225" i="2"/>
  <c r="C225" i="2"/>
  <c r="G225" i="2"/>
  <c r="H225" i="2"/>
  <c r="I225" i="2"/>
  <c r="K225" i="2"/>
  <c r="L225" i="2"/>
  <c r="M225" i="2"/>
  <c r="N225" i="2"/>
  <c r="O225" i="2"/>
  <c r="P225" i="2"/>
  <c r="Q225" i="2"/>
  <c r="R225" i="2"/>
  <c r="S225" i="2"/>
  <c r="T225" i="2"/>
  <c r="B226" i="2"/>
  <c r="C226" i="2"/>
  <c r="G226" i="2"/>
  <c r="H226" i="2"/>
  <c r="I226" i="2"/>
  <c r="K226" i="2"/>
  <c r="L226" i="2"/>
  <c r="M226" i="2"/>
  <c r="N226" i="2"/>
  <c r="O226" i="2"/>
  <c r="P226" i="2"/>
  <c r="Q226" i="2"/>
  <c r="R226" i="2"/>
  <c r="S226" i="2"/>
  <c r="T226" i="2"/>
  <c r="B227" i="2"/>
  <c r="C227" i="2"/>
  <c r="G227" i="2"/>
  <c r="H227" i="2"/>
  <c r="I227" i="2"/>
  <c r="K227" i="2"/>
  <c r="L227" i="2"/>
  <c r="M227" i="2"/>
  <c r="N227" i="2"/>
  <c r="O227" i="2"/>
  <c r="P227" i="2"/>
  <c r="Q227" i="2"/>
  <c r="R227" i="2"/>
  <c r="S227" i="2"/>
  <c r="T227" i="2"/>
  <c r="B228" i="2"/>
  <c r="C228" i="2"/>
  <c r="G228" i="2"/>
  <c r="H228" i="2"/>
  <c r="I228" i="2"/>
  <c r="K228" i="2"/>
  <c r="L228" i="2"/>
  <c r="M228" i="2"/>
  <c r="N228" i="2"/>
  <c r="O228" i="2"/>
  <c r="P228" i="2"/>
  <c r="Q228" i="2"/>
  <c r="R228" i="2"/>
  <c r="S228" i="2"/>
  <c r="T228" i="2"/>
  <c r="B229" i="2"/>
  <c r="C229" i="2"/>
  <c r="G229" i="2"/>
  <c r="H229" i="2"/>
  <c r="I229" i="2"/>
  <c r="K229" i="2"/>
  <c r="L229" i="2"/>
  <c r="M229" i="2"/>
  <c r="N229" i="2"/>
  <c r="O229" i="2"/>
  <c r="P229" i="2"/>
  <c r="Q229" i="2"/>
  <c r="R229" i="2"/>
  <c r="S229" i="2"/>
  <c r="T229" i="2"/>
  <c r="B230" i="2"/>
  <c r="C230" i="2"/>
  <c r="G230" i="2"/>
  <c r="H230" i="2"/>
  <c r="I230" i="2"/>
  <c r="K230" i="2"/>
  <c r="L230" i="2"/>
  <c r="M230" i="2"/>
  <c r="N230" i="2"/>
  <c r="O230" i="2"/>
  <c r="P230" i="2"/>
  <c r="Q230" i="2"/>
  <c r="R230" i="2"/>
  <c r="S230" i="2"/>
  <c r="T230" i="2"/>
  <c r="B231" i="2"/>
  <c r="C231" i="2"/>
  <c r="G231" i="2"/>
  <c r="H231" i="2"/>
  <c r="I231" i="2"/>
  <c r="K231" i="2"/>
  <c r="L231" i="2"/>
  <c r="M231" i="2"/>
  <c r="N231" i="2"/>
  <c r="O231" i="2"/>
  <c r="P231" i="2"/>
  <c r="Q231" i="2"/>
  <c r="R231" i="2"/>
  <c r="S231" i="2"/>
  <c r="T231" i="2"/>
  <c r="B232" i="2"/>
  <c r="C232" i="2"/>
  <c r="G232" i="2"/>
  <c r="H232" i="2"/>
  <c r="I232" i="2"/>
  <c r="K232" i="2"/>
  <c r="L232" i="2"/>
  <c r="M232" i="2"/>
  <c r="N232" i="2"/>
  <c r="O232" i="2"/>
  <c r="P232" i="2"/>
  <c r="Q232" i="2"/>
  <c r="R232" i="2"/>
  <c r="S232" i="2"/>
  <c r="T232" i="2"/>
  <c r="B233" i="2"/>
  <c r="C233" i="2"/>
  <c r="G233" i="2"/>
  <c r="H233" i="2"/>
  <c r="I233" i="2"/>
  <c r="K233" i="2"/>
  <c r="L233" i="2"/>
  <c r="M233" i="2"/>
  <c r="N233" i="2"/>
  <c r="O233" i="2"/>
  <c r="P233" i="2"/>
  <c r="Q233" i="2"/>
  <c r="R233" i="2"/>
  <c r="S233" i="2"/>
  <c r="T233" i="2"/>
  <c r="B234" i="2"/>
  <c r="C234" i="2"/>
  <c r="G234" i="2"/>
  <c r="H234" i="2"/>
  <c r="I234" i="2"/>
  <c r="K234" i="2"/>
  <c r="L234" i="2"/>
  <c r="M234" i="2"/>
  <c r="N234" i="2"/>
  <c r="O234" i="2"/>
  <c r="P234" i="2"/>
  <c r="Q234" i="2"/>
  <c r="R234" i="2"/>
  <c r="S234" i="2"/>
  <c r="T234" i="2"/>
  <c r="B235" i="2"/>
  <c r="C235" i="2"/>
  <c r="G235" i="2"/>
  <c r="H235" i="2"/>
  <c r="I235" i="2"/>
  <c r="K235" i="2"/>
  <c r="L235" i="2"/>
  <c r="M235" i="2"/>
  <c r="N235" i="2"/>
  <c r="O235" i="2"/>
  <c r="P235" i="2"/>
  <c r="Q235" i="2"/>
  <c r="R235" i="2"/>
  <c r="S235" i="2"/>
  <c r="T235" i="2"/>
  <c r="B236" i="2"/>
  <c r="C236" i="2"/>
  <c r="G236" i="2"/>
  <c r="H236" i="2"/>
  <c r="I236" i="2"/>
  <c r="K236" i="2"/>
  <c r="L236" i="2"/>
  <c r="M236" i="2"/>
  <c r="N236" i="2"/>
  <c r="O236" i="2"/>
  <c r="P236" i="2"/>
  <c r="Q236" i="2"/>
  <c r="R236" i="2"/>
  <c r="S236" i="2"/>
  <c r="T236" i="2"/>
  <c r="B237" i="2"/>
  <c r="C237" i="2"/>
  <c r="G237" i="2"/>
  <c r="H237" i="2"/>
  <c r="I237" i="2"/>
  <c r="K237" i="2"/>
  <c r="L237" i="2"/>
  <c r="M237" i="2"/>
  <c r="N237" i="2"/>
  <c r="O237" i="2"/>
  <c r="P237" i="2"/>
  <c r="Q237" i="2"/>
  <c r="R237" i="2"/>
  <c r="S237" i="2"/>
  <c r="T237" i="2"/>
  <c r="B238" i="2"/>
  <c r="C238" i="2"/>
  <c r="G238" i="2"/>
  <c r="H238" i="2"/>
  <c r="I238" i="2"/>
  <c r="K238" i="2"/>
  <c r="L238" i="2"/>
  <c r="M238" i="2"/>
  <c r="N238" i="2"/>
  <c r="O238" i="2"/>
  <c r="P238" i="2"/>
  <c r="Q238" i="2"/>
  <c r="R238" i="2"/>
  <c r="S238" i="2"/>
  <c r="T238" i="2"/>
  <c r="B239" i="2"/>
  <c r="C239" i="2"/>
  <c r="G239" i="2"/>
  <c r="H239" i="2"/>
  <c r="I239" i="2"/>
  <c r="K239" i="2"/>
  <c r="L239" i="2"/>
  <c r="M239" i="2"/>
  <c r="N239" i="2"/>
  <c r="O239" i="2"/>
  <c r="P239" i="2"/>
  <c r="Q239" i="2"/>
  <c r="R239" i="2"/>
  <c r="S239" i="2"/>
  <c r="T239" i="2"/>
  <c r="B240" i="2"/>
  <c r="C240" i="2"/>
  <c r="G240" i="2"/>
  <c r="H240" i="2"/>
  <c r="I240" i="2"/>
  <c r="K240" i="2"/>
  <c r="L240" i="2"/>
  <c r="M240" i="2"/>
  <c r="N240" i="2"/>
  <c r="O240" i="2"/>
  <c r="P240" i="2"/>
  <c r="Q240" i="2"/>
  <c r="R240" i="2"/>
  <c r="S240" i="2"/>
  <c r="T240" i="2"/>
  <c r="B241" i="2"/>
  <c r="C241" i="2"/>
  <c r="G241" i="2"/>
  <c r="H241" i="2"/>
  <c r="I241" i="2"/>
  <c r="K241" i="2"/>
  <c r="L241" i="2"/>
  <c r="M241" i="2"/>
  <c r="N241" i="2"/>
  <c r="O241" i="2"/>
  <c r="P241" i="2"/>
  <c r="Q241" i="2"/>
  <c r="R241" i="2"/>
  <c r="S241" i="2"/>
  <c r="T241" i="2"/>
  <c r="B242" i="2"/>
  <c r="C242" i="2"/>
  <c r="G242" i="2"/>
  <c r="H242" i="2"/>
  <c r="I242" i="2"/>
  <c r="K242" i="2"/>
  <c r="L242" i="2"/>
  <c r="M242" i="2"/>
  <c r="N242" i="2"/>
  <c r="O242" i="2"/>
  <c r="P242" i="2"/>
  <c r="Q242" i="2"/>
  <c r="R242" i="2"/>
  <c r="S242" i="2"/>
  <c r="T242" i="2"/>
  <c r="B243" i="2"/>
  <c r="C243" i="2"/>
  <c r="G243" i="2"/>
  <c r="H243" i="2"/>
  <c r="I243" i="2"/>
  <c r="K243" i="2"/>
  <c r="L243" i="2"/>
  <c r="M243" i="2"/>
  <c r="N243" i="2"/>
  <c r="O243" i="2"/>
  <c r="P243" i="2"/>
  <c r="Q243" i="2"/>
  <c r="R243" i="2"/>
  <c r="S243" i="2"/>
  <c r="T243" i="2"/>
  <c r="B244" i="2"/>
  <c r="C244" i="2"/>
  <c r="G244" i="2"/>
  <c r="H244" i="2"/>
  <c r="I244" i="2"/>
  <c r="K244" i="2"/>
  <c r="L244" i="2"/>
  <c r="M244" i="2"/>
  <c r="N244" i="2"/>
  <c r="O244" i="2"/>
  <c r="P244" i="2"/>
  <c r="Q244" i="2"/>
  <c r="R244" i="2"/>
  <c r="S244" i="2"/>
  <c r="T244" i="2"/>
  <c r="B245" i="2"/>
  <c r="C245" i="2"/>
  <c r="G245" i="2"/>
  <c r="H245" i="2"/>
  <c r="I245" i="2"/>
  <c r="K245" i="2"/>
  <c r="L245" i="2"/>
  <c r="M245" i="2"/>
  <c r="N245" i="2"/>
  <c r="O245" i="2"/>
  <c r="P245" i="2"/>
  <c r="Q245" i="2"/>
  <c r="R245" i="2"/>
  <c r="S245" i="2"/>
  <c r="T245" i="2"/>
  <c r="B246" i="2"/>
  <c r="C246" i="2"/>
  <c r="G246" i="2"/>
  <c r="H246" i="2"/>
  <c r="I246" i="2"/>
  <c r="K246" i="2"/>
  <c r="L246" i="2"/>
  <c r="M246" i="2"/>
  <c r="N246" i="2"/>
  <c r="O246" i="2"/>
  <c r="P246" i="2"/>
  <c r="Q246" i="2"/>
  <c r="R246" i="2"/>
  <c r="S246" i="2"/>
  <c r="T246" i="2"/>
  <c r="B247" i="2"/>
  <c r="C247" i="2"/>
  <c r="G247" i="2"/>
  <c r="H247" i="2"/>
  <c r="I247" i="2"/>
  <c r="K247" i="2"/>
  <c r="L247" i="2"/>
  <c r="M247" i="2"/>
  <c r="N247" i="2"/>
  <c r="O247" i="2"/>
  <c r="P247" i="2"/>
  <c r="Q247" i="2"/>
  <c r="R247" i="2"/>
  <c r="S247" i="2"/>
  <c r="T247" i="2"/>
  <c r="B248" i="2"/>
  <c r="C248" i="2"/>
  <c r="G248" i="2"/>
  <c r="H248" i="2"/>
  <c r="I248" i="2"/>
  <c r="K248" i="2"/>
  <c r="L248" i="2"/>
  <c r="M248" i="2"/>
  <c r="N248" i="2"/>
  <c r="O248" i="2"/>
  <c r="P248" i="2"/>
  <c r="Q248" i="2"/>
  <c r="R248" i="2"/>
  <c r="S248" i="2"/>
  <c r="T248" i="2"/>
  <c r="B249" i="2"/>
  <c r="C249" i="2"/>
  <c r="G249" i="2"/>
  <c r="H249" i="2"/>
  <c r="I249" i="2"/>
  <c r="K249" i="2"/>
  <c r="L249" i="2"/>
  <c r="M249" i="2"/>
  <c r="N249" i="2"/>
  <c r="O249" i="2"/>
  <c r="P249" i="2"/>
  <c r="Q249" i="2"/>
  <c r="R249" i="2"/>
  <c r="S249" i="2"/>
  <c r="T249" i="2"/>
  <c r="B250" i="2"/>
  <c r="C250" i="2"/>
  <c r="G250" i="2"/>
  <c r="H250" i="2"/>
  <c r="I250" i="2"/>
  <c r="K250" i="2"/>
  <c r="L250" i="2"/>
  <c r="M250" i="2"/>
  <c r="N250" i="2"/>
  <c r="O250" i="2"/>
  <c r="P250" i="2"/>
  <c r="Q250" i="2"/>
  <c r="R250" i="2"/>
  <c r="S250" i="2"/>
  <c r="T250" i="2"/>
  <c r="B251" i="2"/>
  <c r="C251" i="2"/>
  <c r="G251" i="2"/>
  <c r="H251" i="2"/>
  <c r="I251" i="2"/>
  <c r="K251" i="2"/>
  <c r="L251" i="2"/>
  <c r="M251" i="2"/>
  <c r="N251" i="2"/>
  <c r="O251" i="2"/>
  <c r="P251" i="2"/>
  <c r="Q251" i="2"/>
  <c r="R251" i="2"/>
  <c r="S251" i="2"/>
  <c r="T251" i="2"/>
  <c r="B252" i="2"/>
  <c r="C252" i="2"/>
  <c r="G252" i="2"/>
  <c r="H252" i="2"/>
  <c r="I252" i="2"/>
  <c r="K252" i="2"/>
  <c r="L252" i="2"/>
  <c r="M252" i="2"/>
  <c r="N252" i="2"/>
  <c r="O252" i="2"/>
  <c r="P252" i="2"/>
  <c r="Q252" i="2"/>
  <c r="R252" i="2"/>
  <c r="S252" i="2"/>
  <c r="T252" i="2"/>
  <c r="B253" i="2"/>
  <c r="C253" i="2"/>
  <c r="G253" i="2"/>
  <c r="H253" i="2"/>
  <c r="I253" i="2"/>
  <c r="K253" i="2"/>
  <c r="L253" i="2"/>
  <c r="M253" i="2"/>
  <c r="N253" i="2"/>
  <c r="O253" i="2"/>
  <c r="P253" i="2"/>
  <c r="Q253" i="2"/>
  <c r="R253" i="2"/>
  <c r="S253" i="2"/>
  <c r="T253" i="2"/>
  <c r="B254" i="2"/>
  <c r="C254" i="2"/>
  <c r="G254" i="2"/>
  <c r="H254" i="2"/>
  <c r="I254" i="2"/>
  <c r="K254" i="2"/>
  <c r="L254" i="2"/>
  <c r="M254" i="2"/>
  <c r="N254" i="2"/>
  <c r="O254" i="2"/>
  <c r="P254" i="2"/>
  <c r="Q254" i="2"/>
  <c r="R254" i="2"/>
  <c r="S254" i="2"/>
  <c r="T254" i="2"/>
  <c r="B255" i="2"/>
  <c r="C255" i="2"/>
  <c r="G255" i="2"/>
  <c r="H255" i="2"/>
  <c r="I255" i="2"/>
  <c r="K255" i="2"/>
  <c r="L255" i="2"/>
  <c r="M255" i="2"/>
  <c r="N255" i="2"/>
  <c r="O255" i="2"/>
  <c r="P255" i="2"/>
  <c r="Q255" i="2"/>
  <c r="R255" i="2"/>
  <c r="S255" i="2"/>
  <c r="T255" i="2"/>
  <c r="B256" i="2"/>
  <c r="C256" i="2"/>
  <c r="G256" i="2"/>
  <c r="H256" i="2"/>
  <c r="I256" i="2"/>
  <c r="K256" i="2"/>
  <c r="L256" i="2"/>
  <c r="M256" i="2"/>
  <c r="N256" i="2"/>
  <c r="O256" i="2"/>
  <c r="P256" i="2"/>
  <c r="Q256" i="2"/>
  <c r="R256" i="2"/>
  <c r="S256" i="2"/>
  <c r="T256" i="2"/>
  <c r="B257" i="2"/>
  <c r="C257" i="2"/>
  <c r="G257" i="2"/>
  <c r="H257" i="2"/>
  <c r="I257" i="2"/>
  <c r="K257" i="2"/>
  <c r="L257" i="2"/>
  <c r="M257" i="2"/>
  <c r="N257" i="2"/>
  <c r="O257" i="2"/>
  <c r="P257" i="2"/>
  <c r="Q257" i="2"/>
  <c r="R257" i="2"/>
  <c r="S257" i="2"/>
  <c r="T257" i="2"/>
  <c r="B258" i="2"/>
  <c r="C258" i="2"/>
  <c r="G258" i="2"/>
  <c r="H258" i="2"/>
  <c r="I258" i="2"/>
  <c r="K258" i="2"/>
  <c r="L258" i="2"/>
  <c r="M258" i="2"/>
  <c r="N258" i="2"/>
  <c r="O258" i="2"/>
  <c r="P258" i="2"/>
  <c r="Q258" i="2"/>
  <c r="R258" i="2"/>
  <c r="S258" i="2"/>
  <c r="T258" i="2"/>
  <c r="B259" i="2"/>
  <c r="C259" i="2"/>
  <c r="G259" i="2"/>
  <c r="H259" i="2"/>
  <c r="I259" i="2"/>
  <c r="K259" i="2"/>
  <c r="L259" i="2"/>
  <c r="M259" i="2"/>
  <c r="N259" i="2"/>
  <c r="O259" i="2"/>
  <c r="P259" i="2"/>
  <c r="Q259" i="2"/>
  <c r="R259" i="2"/>
  <c r="S259" i="2"/>
  <c r="T259" i="2"/>
  <c r="B260" i="2"/>
  <c r="C260" i="2"/>
  <c r="G260" i="2"/>
  <c r="H260" i="2"/>
  <c r="I260" i="2"/>
  <c r="K260" i="2"/>
  <c r="L260" i="2"/>
  <c r="M260" i="2"/>
  <c r="N260" i="2"/>
  <c r="O260" i="2"/>
  <c r="P260" i="2"/>
  <c r="Q260" i="2"/>
  <c r="R260" i="2"/>
  <c r="S260" i="2"/>
  <c r="T260" i="2"/>
  <c r="B261" i="2"/>
  <c r="C261" i="2"/>
  <c r="G261" i="2"/>
  <c r="H261" i="2"/>
  <c r="I261" i="2"/>
  <c r="K261" i="2"/>
  <c r="L261" i="2"/>
  <c r="M261" i="2"/>
  <c r="N261" i="2"/>
  <c r="O261" i="2"/>
  <c r="P261" i="2"/>
  <c r="Q261" i="2"/>
  <c r="R261" i="2"/>
  <c r="S261" i="2"/>
  <c r="T261" i="2"/>
  <c r="B262" i="2"/>
  <c r="C262" i="2"/>
  <c r="G262" i="2"/>
  <c r="H262" i="2"/>
  <c r="I262" i="2"/>
  <c r="K262" i="2"/>
  <c r="L262" i="2"/>
  <c r="M262" i="2"/>
  <c r="N262" i="2"/>
  <c r="O262" i="2"/>
  <c r="P262" i="2"/>
  <c r="Q262" i="2"/>
  <c r="R262" i="2"/>
  <c r="S262" i="2"/>
  <c r="T262" i="2"/>
  <c r="B263" i="2"/>
  <c r="C263" i="2"/>
  <c r="G263" i="2"/>
  <c r="H263" i="2"/>
  <c r="I263" i="2"/>
  <c r="K263" i="2"/>
  <c r="L263" i="2"/>
  <c r="M263" i="2"/>
  <c r="N263" i="2"/>
  <c r="O263" i="2"/>
  <c r="P263" i="2"/>
  <c r="Q263" i="2"/>
  <c r="R263" i="2"/>
  <c r="S263" i="2"/>
  <c r="T263" i="2"/>
  <c r="B264" i="2"/>
  <c r="C264" i="2"/>
  <c r="G264" i="2"/>
  <c r="H264" i="2"/>
  <c r="I264" i="2"/>
  <c r="K264" i="2"/>
  <c r="L264" i="2"/>
  <c r="M264" i="2"/>
  <c r="N264" i="2"/>
  <c r="O264" i="2"/>
  <c r="P264" i="2"/>
  <c r="Q264" i="2"/>
  <c r="R264" i="2"/>
  <c r="S264" i="2"/>
  <c r="T264" i="2"/>
  <c r="B265" i="2"/>
  <c r="C265" i="2"/>
  <c r="G265" i="2"/>
  <c r="H265" i="2"/>
  <c r="I265" i="2"/>
  <c r="K265" i="2"/>
  <c r="L265" i="2"/>
  <c r="M265" i="2"/>
  <c r="N265" i="2"/>
  <c r="O265" i="2"/>
  <c r="P265" i="2"/>
  <c r="Q265" i="2"/>
  <c r="R265" i="2"/>
  <c r="S265" i="2"/>
  <c r="T265" i="2"/>
  <c r="B266" i="2"/>
  <c r="C266" i="2"/>
  <c r="G266" i="2"/>
  <c r="H266" i="2"/>
  <c r="I266" i="2"/>
  <c r="K266" i="2"/>
  <c r="L266" i="2"/>
  <c r="M266" i="2"/>
  <c r="N266" i="2"/>
  <c r="O266" i="2"/>
  <c r="P266" i="2"/>
  <c r="Q266" i="2"/>
  <c r="R266" i="2"/>
  <c r="S266" i="2"/>
  <c r="T266" i="2"/>
  <c r="B267" i="2"/>
  <c r="C267" i="2"/>
  <c r="G267" i="2"/>
  <c r="H267" i="2"/>
  <c r="I267" i="2"/>
  <c r="K267" i="2"/>
  <c r="L267" i="2"/>
  <c r="M267" i="2"/>
  <c r="N267" i="2"/>
  <c r="O267" i="2"/>
  <c r="P267" i="2"/>
  <c r="Q267" i="2"/>
  <c r="R267" i="2"/>
  <c r="S267" i="2"/>
  <c r="T267" i="2"/>
  <c r="B268" i="2"/>
  <c r="C268" i="2"/>
  <c r="G268" i="2"/>
  <c r="H268" i="2"/>
  <c r="I268" i="2"/>
  <c r="K268" i="2"/>
  <c r="L268" i="2"/>
  <c r="M268" i="2"/>
  <c r="N268" i="2"/>
  <c r="O268" i="2"/>
  <c r="P268" i="2"/>
  <c r="Q268" i="2"/>
  <c r="R268" i="2"/>
  <c r="S268" i="2"/>
  <c r="T268" i="2"/>
  <c r="B269" i="2"/>
  <c r="C269" i="2"/>
  <c r="G269" i="2"/>
  <c r="H269" i="2"/>
  <c r="I269" i="2"/>
  <c r="K269" i="2"/>
  <c r="L269" i="2"/>
  <c r="M269" i="2"/>
  <c r="N269" i="2"/>
  <c r="O269" i="2"/>
  <c r="P269" i="2"/>
  <c r="Q269" i="2"/>
  <c r="R269" i="2"/>
  <c r="S269" i="2"/>
  <c r="T269" i="2"/>
  <c r="B270" i="2"/>
  <c r="C270" i="2"/>
  <c r="G270" i="2"/>
  <c r="H270" i="2"/>
  <c r="I270" i="2"/>
  <c r="K270" i="2"/>
  <c r="L270" i="2"/>
  <c r="M270" i="2"/>
  <c r="N270" i="2"/>
  <c r="O270" i="2"/>
  <c r="P270" i="2"/>
  <c r="Q270" i="2"/>
  <c r="R270" i="2"/>
  <c r="S270" i="2"/>
  <c r="T270" i="2"/>
  <c r="B271" i="2"/>
  <c r="C271" i="2"/>
  <c r="G271" i="2"/>
  <c r="H271" i="2"/>
  <c r="I271" i="2"/>
  <c r="K271" i="2"/>
  <c r="L271" i="2"/>
  <c r="M271" i="2"/>
  <c r="N271" i="2"/>
  <c r="O271" i="2"/>
  <c r="P271" i="2"/>
  <c r="Q271" i="2"/>
  <c r="R271" i="2"/>
  <c r="S271" i="2"/>
  <c r="T271" i="2"/>
  <c r="B272" i="2"/>
  <c r="C272" i="2"/>
  <c r="G272" i="2"/>
  <c r="H272" i="2"/>
  <c r="I272" i="2"/>
  <c r="K272" i="2"/>
  <c r="L272" i="2"/>
  <c r="M272" i="2"/>
  <c r="N272" i="2"/>
  <c r="O272" i="2"/>
  <c r="P272" i="2"/>
  <c r="Q272" i="2"/>
  <c r="R272" i="2"/>
  <c r="S272" i="2"/>
  <c r="T272" i="2"/>
  <c r="B273" i="2"/>
  <c r="C273" i="2"/>
  <c r="G273" i="2"/>
  <c r="H273" i="2"/>
  <c r="I273" i="2"/>
  <c r="K273" i="2"/>
  <c r="L273" i="2"/>
  <c r="M273" i="2"/>
  <c r="N273" i="2"/>
  <c r="O273" i="2"/>
  <c r="P273" i="2"/>
  <c r="Q273" i="2"/>
  <c r="R273" i="2"/>
  <c r="S273" i="2"/>
  <c r="T273" i="2"/>
  <c r="B274" i="2"/>
  <c r="C274" i="2"/>
  <c r="G274" i="2"/>
  <c r="H274" i="2"/>
  <c r="I274" i="2"/>
  <c r="K274" i="2"/>
  <c r="L274" i="2"/>
  <c r="M274" i="2"/>
  <c r="N274" i="2"/>
  <c r="O274" i="2"/>
  <c r="P274" i="2"/>
  <c r="Q274" i="2"/>
  <c r="R274" i="2"/>
  <c r="S274" i="2"/>
  <c r="T274" i="2"/>
  <c r="B275" i="2"/>
  <c r="C275" i="2"/>
  <c r="G275" i="2"/>
  <c r="H275" i="2"/>
  <c r="I275" i="2"/>
  <c r="K275" i="2"/>
  <c r="L275" i="2"/>
  <c r="M275" i="2"/>
  <c r="N275" i="2"/>
  <c r="O275" i="2"/>
  <c r="P275" i="2"/>
  <c r="Q275" i="2"/>
  <c r="R275" i="2"/>
  <c r="S275" i="2"/>
  <c r="T275" i="2"/>
  <c r="B276" i="2"/>
  <c r="C276" i="2"/>
  <c r="G276" i="2"/>
  <c r="H276" i="2"/>
  <c r="I276" i="2"/>
  <c r="K276" i="2"/>
  <c r="L276" i="2"/>
  <c r="M276" i="2"/>
  <c r="N276" i="2"/>
  <c r="O276" i="2"/>
  <c r="P276" i="2"/>
  <c r="Q276" i="2"/>
  <c r="R276" i="2"/>
  <c r="S276" i="2"/>
  <c r="T276" i="2"/>
  <c r="B277" i="2"/>
  <c r="C277" i="2"/>
  <c r="G277" i="2"/>
  <c r="H277" i="2"/>
  <c r="I277" i="2"/>
  <c r="K277" i="2"/>
  <c r="L277" i="2"/>
  <c r="M277" i="2"/>
  <c r="N277" i="2"/>
  <c r="O277" i="2"/>
  <c r="P277" i="2"/>
  <c r="Q277" i="2"/>
  <c r="R277" i="2"/>
  <c r="S277" i="2"/>
  <c r="T277" i="2"/>
  <c r="B278" i="2"/>
  <c r="C278" i="2"/>
  <c r="G278" i="2"/>
  <c r="H278" i="2"/>
  <c r="I278" i="2"/>
  <c r="K278" i="2"/>
  <c r="L278" i="2"/>
  <c r="M278" i="2"/>
  <c r="N278" i="2"/>
  <c r="O278" i="2"/>
  <c r="P278" i="2"/>
  <c r="Q278" i="2"/>
  <c r="R278" i="2"/>
  <c r="S278" i="2"/>
  <c r="T278" i="2"/>
  <c r="B279" i="2"/>
  <c r="C279" i="2"/>
  <c r="G279" i="2"/>
  <c r="H279" i="2"/>
  <c r="I279" i="2"/>
  <c r="K279" i="2"/>
  <c r="L279" i="2"/>
  <c r="M279" i="2"/>
  <c r="N279" i="2"/>
  <c r="O279" i="2"/>
  <c r="P279" i="2"/>
  <c r="Q279" i="2"/>
  <c r="R279" i="2"/>
  <c r="S279" i="2"/>
  <c r="T279" i="2"/>
  <c r="B280" i="2"/>
  <c r="C280" i="2"/>
  <c r="G280" i="2"/>
  <c r="H280" i="2"/>
  <c r="I280" i="2"/>
  <c r="K280" i="2"/>
  <c r="L280" i="2"/>
  <c r="M280" i="2"/>
  <c r="N280" i="2"/>
  <c r="O280" i="2"/>
  <c r="P280" i="2"/>
  <c r="Q280" i="2"/>
  <c r="R280" i="2"/>
  <c r="S280" i="2"/>
  <c r="T280" i="2"/>
  <c r="B281" i="2"/>
  <c r="C281" i="2"/>
  <c r="G281" i="2"/>
  <c r="H281" i="2"/>
  <c r="I281" i="2"/>
  <c r="K281" i="2"/>
  <c r="L281" i="2"/>
  <c r="M281" i="2"/>
  <c r="N281" i="2"/>
  <c r="O281" i="2"/>
  <c r="P281" i="2"/>
  <c r="Q281" i="2"/>
  <c r="R281" i="2"/>
  <c r="S281" i="2"/>
  <c r="T281" i="2"/>
  <c r="B282" i="2"/>
  <c r="C282" i="2"/>
  <c r="G282" i="2"/>
  <c r="H282" i="2"/>
  <c r="I282" i="2"/>
  <c r="K282" i="2"/>
  <c r="L282" i="2"/>
  <c r="M282" i="2"/>
  <c r="N282" i="2"/>
  <c r="O282" i="2"/>
  <c r="P282" i="2"/>
  <c r="Q282" i="2"/>
  <c r="R282" i="2"/>
  <c r="S282" i="2"/>
  <c r="T282" i="2"/>
  <c r="B283" i="2"/>
  <c r="C283" i="2"/>
  <c r="G283" i="2"/>
  <c r="H283" i="2"/>
  <c r="I283" i="2"/>
  <c r="K283" i="2"/>
  <c r="L283" i="2"/>
  <c r="M283" i="2"/>
  <c r="N283" i="2"/>
  <c r="O283" i="2"/>
  <c r="P283" i="2"/>
  <c r="Q283" i="2"/>
  <c r="R283" i="2"/>
  <c r="S283" i="2"/>
  <c r="T283" i="2"/>
  <c r="B284" i="2"/>
  <c r="C284" i="2"/>
  <c r="G284" i="2"/>
  <c r="H284" i="2"/>
  <c r="I284" i="2"/>
  <c r="K284" i="2"/>
  <c r="L284" i="2"/>
  <c r="M284" i="2"/>
  <c r="N284" i="2"/>
  <c r="O284" i="2"/>
  <c r="P284" i="2"/>
  <c r="Q284" i="2"/>
  <c r="R284" i="2"/>
  <c r="S284" i="2"/>
  <c r="T284" i="2"/>
  <c r="B285" i="2"/>
  <c r="C285" i="2"/>
  <c r="G285" i="2"/>
  <c r="H285" i="2"/>
  <c r="I285" i="2"/>
  <c r="K285" i="2"/>
  <c r="L285" i="2"/>
  <c r="M285" i="2"/>
  <c r="N285" i="2"/>
  <c r="O285" i="2"/>
  <c r="P285" i="2"/>
  <c r="Q285" i="2"/>
  <c r="R285" i="2"/>
  <c r="S285" i="2"/>
  <c r="T285" i="2"/>
  <c r="B286" i="2"/>
  <c r="C286" i="2"/>
  <c r="G286" i="2"/>
  <c r="H286" i="2"/>
  <c r="I286" i="2"/>
  <c r="K286" i="2"/>
  <c r="L286" i="2"/>
  <c r="M286" i="2"/>
  <c r="N286" i="2"/>
  <c r="O286" i="2"/>
  <c r="P286" i="2"/>
  <c r="Q286" i="2"/>
  <c r="R286" i="2"/>
  <c r="S286" i="2"/>
  <c r="T286" i="2"/>
  <c r="B287" i="2"/>
  <c r="C287" i="2"/>
  <c r="G287" i="2"/>
  <c r="H287" i="2"/>
  <c r="I287" i="2"/>
  <c r="K287" i="2"/>
  <c r="L287" i="2"/>
  <c r="M287" i="2"/>
  <c r="N287" i="2"/>
  <c r="O287" i="2"/>
  <c r="P287" i="2"/>
  <c r="Q287" i="2"/>
  <c r="R287" i="2"/>
  <c r="S287" i="2"/>
  <c r="T287" i="2"/>
  <c r="B288" i="2"/>
  <c r="C288" i="2"/>
  <c r="G288" i="2"/>
  <c r="H288" i="2"/>
  <c r="I288" i="2"/>
  <c r="K288" i="2"/>
  <c r="L288" i="2"/>
  <c r="M288" i="2"/>
  <c r="N288" i="2"/>
  <c r="O288" i="2"/>
  <c r="P288" i="2"/>
  <c r="Q288" i="2"/>
  <c r="R288" i="2"/>
  <c r="S288" i="2"/>
  <c r="T288" i="2"/>
  <c r="B289" i="2"/>
  <c r="C289" i="2"/>
  <c r="G289" i="2"/>
  <c r="H289" i="2"/>
  <c r="I289" i="2"/>
  <c r="K289" i="2"/>
  <c r="L289" i="2"/>
  <c r="M289" i="2"/>
  <c r="N289" i="2"/>
  <c r="O289" i="2"/>
  <c r="P289" i="2"/>
  <c r="Q289" i="2"/>
  <c r="R289" i="2"/>
  <c r="S289" i="2"/>
  <c r="T289" i="2"/>
  <c r="B290" i="2"/>
  <c r="C290" i="2"/>
  <c r="G290" i="2"/>
  <c r="H290" i="2"/>
  <c r="I290" i="2"/>
  <c r="K290" i="2"/>
  <c r="L290" i="2"/>
  <c r="M290" i="2"/>
  <c r="N290" i="2"/>
  <c r="O290" i="2"/>
  <c r="P290" i="2"/>
  <c r="Q290" i="2"/>
  <c r="R290" i="2"/>
  <c r="S290" i="2"/>
  <c r="T290" i="2"/>
  <c r="B291" i="2"/>
  <c r="C291" i="2"/>
  <c r="G291" i="2"/>
  <c r="H291" i="2"/>
  <c r="I291" i="2"/>
  <c r="K291" i="2"/>
  <c r="L291" i="2"/>
  <c r="M291" i="2"/>
  <c r="N291" i="2"/>
  <c r="O291" i="2"/>
  <c r="P291" i="2"/>
  <c r="Q291" i="2"/>
  <c r="R291" i="2"/>
  <c r="S291" i="2"/>
  <c r="T291" i="2"/>
  <c r="B292" i="2"/>
  <c r="C292" i="2"/>
  <c r="G292" i="2"/>
  <c r="H292" i="2"/>
  <c r="I292" i="2"/>
  <c r="K292" i="2"/>
  <c r="L292" i="2"/>
  <c r="M292" i="2"/>
  <c r="N292" i="2"/>
  <c r="O292" i="2"/>
  <c r="P292" i="2"/>
  <c r="Q292" i="2"/>
  <c r="R292" i="2"/>
  <c r="S292" i="2"/>
  <c r="T292" i="2"/>
  <c r="B293" i="2"/>
  <c r="C293" i="2"/>
  <c r="G293" i="2"/>
  <c r="H293" i="2"/>
  <c r="I293" i="2"/>
  <c r="K293" i="2"/>
  <c r="L293" i="2"/>
  <c r="M293" i="2"/>
  <c r="N293" i="2"/>
  <c r="O293" i="2"/>
  <c r="P293" i="2"/>
  <c r="Q293" i="2"/>
  <c r="R293" i="2"/>
  <c r="S293" i="2"/>
  <c r="T293" i="2"/>
  <c r="B294" i="2"/>
  <c r="C294" i="2"/>
  <c r="G294" i="2"/>
  <c r="H294" i="2"/>
  <c r="I294" i="2"/>
  <c r="K294" i="2"/>
  <c r="L294" i="2"/>
  <c r="M294" i="2"/>
  <c r="N294" i="2"/>
  <c r="O294" i="2"/>
  <c r="P294" i="2"/>
  <c r="Q294" i="2"/>
  <c r="R294" i="2"/>
  <c r="S294" i="2"/>
  <c r="T294" i="2"/>
  <c r="B295" i="2"/>
  <c r="C295" i="2"/>
  <c r="G295" i="2"/>
  <c r="H295" i="2"/>
  <c r="I295" i="2"/>
  <c r="K295" i="2"/>
  <c r="L295" i="2"/>
  <c r="M295" i="2"/>
  <c r="N295" i="2"/>
  <c r="O295" i="2"/>
  <c r="P295" i="2"/>
  <c r="Q295" i="2"/>
  <c r="R295" i="2"/>
  <c r="S295" i="2"/>
  <c r="T295" i="2"/>
  <c r="B296" i="2"/>
  <c r="C296" i="2"/>
  <c r="G296" i="2"/>
  <c r="H296" i="2"/>
  <c r="I296" i="2"/>
  <c r="K296" i="2"/>
  <c r="L296" i="2"/>
  <c r="M296" i="2"/>
  <c r="N296" i="2"/>
  <c r="O296" i="2"/>
  <c r="P296" i="2"/>
  <c r="Q296" i="2"/>
  <c r="R296" i="2"/>
  <c r="S296" i="2"/>
  <c r="T296" i="2"/>
  <c r="B297" i="2"/>
  <c r="C297" i="2"/>
  <c r="G297" i="2"/>
  <c r="H297" i="2"/>
  <c r="I297" i="2"/>
  <c r="K297" i="2"/>
  <c r="L297" i="2"/>
  <c r="M297" i="2"/>
  <c r="N297" i="2"/>
  <c r="O297" i="2"/>
  <c r="P297" i="2"/>
  <c r="Q297" i="2"/>
  <c r="R297" i="2"/>
  <c r="S297" i="2"/>
  <c r="T297" i="2"/>
  <c r="B298" i="2"/>
  <c r="C298" i="2"/>
  <c r="G298" i="2"/>
  <c r="H298" i="2"/>
  <c r="I298" i="2"/>
  <c r="K298" i="2"/>
  <c r="L298" i="2"/>
  <c r="M298" i="2"/>
  <c r="N298" i="2"/>
  <c r="O298" i="2"/>
  <c r="P298" i="2"/>
  <c r="Q298" i="2"/>
  <c r="R298" i="2"/>
  <c r="S298" i="2"/>
  <c r="T298" i="2"/>
  <c r="B299" i="2"/>
  <c r="C299" i="2"/>
  <c r="G299" i="2"/>
  <c r="H299" i="2"/>
  <c r="I299" i="2"/>
  <c r="K299" i="2"/>
  <c r="L299" i="2"/>
  <c r="M299" i="2"/>
  <c r="N299" i="2"/>
  <c r="O299" i="2"/>
  <c r="P299" i="2"/>
  <c r="Q299" i="2"/>
  <c r="R299" i="2"/>
  <c r="S299" i="2"/>
  <c r="T299" i="2"/>
  <c r="B300" i="2"/>
  <c r="C300" i="2"/>
  <c r="G300" i="2"/>
  <c r="H300" i="2"/>
  <c r="I300" i="2"/>
  <c r="K300" i="2"/>
  <c r="L300" i="2"/>
  <c r="M300" i="2"/>
  <c r="N300" i="2"/>
  <c r="O300" i="2"/>
  <c r="P300" i="2"/>
  <c r="Q300" i="2"/>
  <c r="R300" i="2"/>
  <c r="S300" i="2"/>
  <c r="T300" i="2"/>
  <c r="B301" i="2"/>
  <c r="C301" i="2"/>
  <c r="G301" i="2"/>
  <c r="H301" i="2"/>
  <c r="I301" i="2"/>
  <c r="K301" i="2"/>
  <c r="L301" i="2"/>
  <c r="M301" i="2"/>
  <c r="N301" i="2"/>
  <c r="O301" i="2"/>
  <c r="P301" i="2"/>
  <c r="Q301" i="2"/>
  <c r="R301" i="2"/>
  <c r="S301" i="2"/>
  <c r="T301" i="2"/>
  <c r="B302" i="2"/>
  <c r="C302" i="2"/>
  <c r="G302" i="2"/>
  <c r="H302" i="2"/>
  <c r="I302" i="2"/>
  <c r="K302" i="2"/>
  <c r="L302" i="2"/>
  <c r="M302" i="2"/>
  <c r="N302" i="2"/>
  <c r="O302" i="2"/>
  <c r="P302" i="2"/>
  <c r="Q302" i="2"/>
  <c r="R302" i="2"/>
  <c r="S302" i="2"/>
  <c r="T302" i="2"/>
  <c r="B303" i="2"/>
  <c r="C303" i="2"/>
  <c r="G303" i="2"/>
  <c r="H303" i="2"/>
  <c r="I303" i="2"/>
  <c r="K303" i="2"/>
  <c r="L303" i="2"/>
  <c r="M303" i="2"/>
  <c r="N303" i="2"/>
  <c r="O303" i="2"/>
  <c r="P303" i="2"/>
  <c r="Q303" i="2"/>
  <c r="R303" i="2"/>
  <c r="S303" i="2"/>
  <c r="T303" i="2"/>
  <c r="B304" i="2"/>
  <c r="C304" i="2"/>
  <c r="G304" i="2"/>
  <c r="H304" i="2"/>
  <c r="I304" i="2"/>
  <c r="K304" i="2"/>
  <c r="L304" i="2"/>
  <c r="M304" i="2"/>
  <c r="N304" i="2"/>
  <c r="O304" i="2"/>
  <c r="P304" i="2"/>
  <c r="Q304" i="2"/>
  <c r="R304" i="2"/>
  <c r="S304" i="2"/>
  <c r="T304" i="2"/>
  <c r="B305" i="2"/>
  <c r="C305" i="2"/>
  <c r="G305" i="2"/>
  <c r="H305" i="2"/>
  <c r="I305" i="2"/>
  <c r="K305" i="2"/>
  <c r="L305" i="2"/>
  <c r="M305" i="2"/>
  <c r="N305" i="2"/>
  <c r="O305" i="2"/>
  <c r="P305" i="2"/>
  <c r="Q305" i="2"/>
  <c r="R305" i="2"/>
  <c r="S305" i="2"/>
  <c r="T305" i="2"/>
  <c r="B306" i="2"/>
  <c r="C306" i="2"/>
  <c r="G306" i="2"/>
  <c r="H306" i="2"/>
  <c r="I306" i="2"/>
  <c r="K306" i="2"/>
  <c r="L306" i="2"/>
  <c r="M306" i="2"/>
  <c r="N306" i="2"/>
  <c r="O306" i="2"/>
  <c r="P306" i="2"/>
  <c r="Q306" i="2"/>
  <c r="R306" i="2"/>
  <c r="S306" i="2"/>
  <c r="T306" i="2"/>
  <c r="B307" i="2"/>
  <c r="C307" i="2"/>
  <c r="G307" i="2"/>
  <c r="H307" i="2"/>
  <c r="I307" i="2"/>
  <c r="K307" i="2"/>
  <c r="L307" i="2"/>
  <c r="M307" i="2"/>
  <c r="N307" i="2"/>
  <c r="O307" i="2"/>
  <c r="P307" i="2"/>
  <c r="Q307" i="2"/>
  <c r="R307" i="2"/>
  <c r="S307" i="2"/>
  <c r="T307" i="2"/>
  <c r="B308" i="2"/>
  <c r="C308" i="2"/>
  <c r="G308" i="2"/>
  <c r="H308" i="2"/>
  <c r="I308" i="2"/>
  <c r="K308" i="2"/>
  <c r="L308" i="2"/>
  <c r="M308" i="2"/>
  <c r="N308" i="2"/>
  <c r="O308" i="2"/>
  <c r="P308" i="2"/>
  <c r="Q308" i="2"/>
  <c r="R308" i="2"/>
  <c r="S308" i="2"/>
  <c r="T308" i="2"/>
  <c r="B309" i="2"/>
  <c r="C309" i="2"/>
  <c r="G309" i="2"/>
  <c r="H309" i="2"/>
  <c r="I309" i="2"/>
  <c r="K309" i="2"/>
  <c r="L309" i="2"/>
  <c r="M309" i="2"/>
  <c r="N309" i="2"/>
  <c r="O309" i="2"/>
  <c r="P309" i="2"/>
  <c r="Q309" i="2"/>
  <c r="R309" i="2"/>
  <c r="S309" i="2"/>
  <c r="T309" i="2"/>
  <c r="B310" i="2"/>
  <c r="C310" i="2"/>
  <c r="G310" i="2"/>
  <c r="H310" i="2"/>
  <c r="I310" i="2"/>
  <c r="K310" i="2"/>
  <c r="L310" i="2"/>
  <c r="M310" i="2"/>
  <c r="N310" i="2"/>
  <c r="O310" i="2"/>
  <c r="P310" i="2"/>
  <c r="Q310" i="2"/>
  <c r="R310" i="2"/>
  <c r="S310" i="2"/>
  <c r="T310" i="2"/>
  <c r="B311" i="2"/>
  <c r="C311" i="2"/>
  <c r="G311" i="2"/>
  <c r="H311" i="2"/>
  <c r="I311" i="2"/>
  <c r="K311" i="2"/>
  <c r="L311" i="2"/>
  <c r="M311" i="2"/>
  <c r="N311" i="2"/>
  <c r="O311" i="2"/>
  <c r="P311" i="2"/>
  <c r="Q311" i="2"/>
  <c r="R311" i="2"/>
  <c r="S311" i="2"/>
  <c r="T311" i="2"/>
  <c r="B312" i="2"/>
  <c r="C312" i="2"/>
  <c r="G312" i="2"/>
  <c r="H312" i="2"/>
  <c r="I312" i="2"/>
  <c r="K312" i="2"/>
  <c r="L312" i="2"/>
  <c r="M312" i="2"/>
  <c r="N312" i="2"/>
  <c r="O312" i="2"/>
  <c r="P312" i="2"/>
  <c r="Q312" i="2"/>
  <c r="R312" i="2"/>
  <c r="S312" i="2"/>
  <c r="T312" i="2"/>
  <c r="B313" i="2"/>
  <c r="C313" i="2"/>
  <c r="G313" i="2"/>
  <c r="H313" i="2"/>
  <c r="I313" i="2"/>
  <c r="K313" i="2"/>
  <c r="L313" i="2"/>
  <c r="M313" i="2"/>
  <c r="N313" i="2"/>
  <c r="O313" i="2"/>
  <c r="P313" i="2"/>
  <c r="Q313" i="2"/>
  <c r="R313" i="2"/>
  <c r="S313" i="2"/>
  <c r="T313" i="2"/>
  <c r="B314" i="2"/>
  <c r="C314" i="2"/>
  <c r="G314" i="2"/>
  <c r="H314" i="2"/>
  <c r="I314" i="2"/>
  <c r="K314" i="2"/>
  <c r="L314" i="2"/>
  <c r="M314" i="2"/>
  <c r="N314" i="2"/>
  <c r="O314" i="2"/>
  <c r="P314" i="2"/>
  <c r="Q314" i="2"/>
  <c r="R314" i="2"/>
  <c r="S314" i="2"/>
  <c r="T314" i="2"/>
  <c r="B315" i="2"/>
  <c r="C315" i="2"/>
  <c r="G315" i="2"/>
  <c r="H315" i="2"/>
  <c r="I315" i="2"/>
  <c r="K315" i="2"/>
  <c r="L315" i="2"/>
  <c r="M315" i="2"/>
  <c r="N315" i="2"/>
  <c r="O315" i="2"/>
  <c r="P315" i="2"/>
  <c r="Q315" i="2"/>
  <c r="R315" i="2"/>
  <c r="S315" i="2"/>
  <c r="T315" i="2"/>
  <c r="B316" i="2"/>
  <c r="C316" i="2"/>
  <c r="G316" i="2"/>
  <c r="H316" i="2"/>
  <c r="I316" i="2"/>
  <c r="K316" i="2"/>
  <c r="L316" i="2"/>
  <c r="M316" i="2"/>
  <c r="N316" i="2"/>
  <c r="O316" i="2"/>
  <c r="P316" i="2"/>
  <c r="Q316" i="2"/>
  <c r="R316" i="2"/>
  <c r="S316" i="2"/>
  <c r="T316" i="2"/>
  <c r="B317" i="2"/>
  <c r="C317" i="2"/>
  <c r="G317" i="2"/>
  <c r="H317" i="2"/>
  <c r="I317" i="2"/>
  <c r="K317" i="2"/>
  <c r="L317" i="2"/>
  <c r="M317" i="2"/>
  <c r="N317" i="2"/>
  <c r="O317" i="2"/>
  <c r="P317" i="2"/>
  <c r="Q317" i="2"/>
  <c r="R317" i="2"/>
  <c r="S317" i="2"/>
  <c r="T317" i="2"/>
  <c r="B318" i="2"/>
  <c r="C318" i="2"/>
  <c r="G318" i="2"/>
  <c r="H318" i="2"/>
  <c r="I318" i="2"/>
  <c r="K318" i="2"/>
  <c r="L318" i="2"/>
  <c r="M318" i="2"/>
  <c r="N318" i="2"/>
  <c r="O318" i="2"/>
  <c r="P318" i="2"/>
  <c r="Q318" i="2"/>
  <c r="R318" i="2"/>
  <c r="S318" i="2"/>
  <c r="T318" i="2"/>
  <c r="B319" i="2"/>
  <c r="C319" i="2"/>
  <c r="G319" i="2"/>
  <c r="H319" i="2"/>
  <c r="I319" i="2"/>
  <c r="K319" i="2"/>
  <c r="L319" i="2"/>
  <c r="M319" i="2"/>
  <c r="N319" i="2"/>
  <c r="O319" i="2"/>
  <c r="P319" i="2"/>
  <c r="Q319" i="2"/>
  <c r="R319" i="2"/>
  <c r="S319" i="2"/>
  <c r="T319" i="2"/>
  <c r="B320" i="2"/>
  <c r="C320" i="2"/>
  <c r="G320" i="2"/>
  <c r="H320" i="2"/>
  <c r="I320" i="2"/>
  <c r="K320" i="2"/>
  <c r="L320" i="2"/>
  <c r="M320" i="2"/>
  <c r="N320" i="2"/>
  <c r="O320" i="2"/>
  <c r="P320" i="2"/>
  <c r="Q320" i="2"/>
  <c r="R320" i="2"/>
  <c r="S320" i="2"/>
  <c r="T320" i="2"/>
  <c r="B321" i="2"/>
  <c r="C321" i="2"/>
  <c r="G321" i="2"/>
  <c r="H321" i="2"/>
  <c r="I321" i="2"/>
  <c r="K321" i="2"/>
  <c r="L321" i="2"/>
  <c r="M321" i="2"/>
  <c r="N321" i="2"/>
  <c r="O321" i="2"/>
  <c r="P321" i="2"/>
  <c r="Q321" i="2"/>
  <c r="R321" i="2"/>
  <c r="S321" i="2"/>
  <c r="T321" i="2"/>
  <c r="B322" i="2"/>
  <c r="C322" i="2"/>
  <c r="G322" i="2"/>
  <c r="H322" i="2"/>
  <c r="I322" i="2"/>
  <c r="K322" i="2"/>
  <c r="L322" i="2"/>
  <c r="M322" i="2"/>
  <c r="N322" i="2"/>
  <c r="O322" i="2"/>
  <c r="P322" i="2"/>
  <c r="Q322" i="2"/>
  <c r="R322" i="2"/>
  <c r="S322" i="2"/>
  <c r="T322" i="2"/>
  <c r="B323" i="2"/>
  <c r="C323" i="2"/>
  <c r="G323" i="2"/>
  <c r="H323" i="2"/>
  <c r="I323" i="2"/>
  <c r="K323" i="2"/>
  <c r="L323" i="2"/>
  <c r="M323" i="2"/>
  <c r="N323" i="2"/>
  <c r="O323" i="2"/>
  <c r="P323" i="2"/>
  <c r="Q323" i="2"/>
  <c r="R323" i="2"/>
  <c r="S323" i="2"/>
  <c r="T323" i="2"/>
  <c r="B324" i="2"/>
  <c r="C324" i="2"/>
  <c r="G324" i="2"/>
  <c r="H324" i="2"/>
  <c r="I324" i="2"/>
  <c r="K324" i="2"/>
  <c r="L324" i="2"/>
  <c r="M324" i="2"/>
  <c r="N324" i="2"/>
  <c r="O324" i="2"/>
  <c r="P324" i="2"/>
  <c r="Q324" i="2"/>
  <c r="R324" i="2"/>
  <c r="S324" i="2"/>
  <c r="T324" i="2"/>
  <c r="B325" i="2"/>
  <c r="C325" i="2"/>
  <c r="G325" i="2"/>
  <c r="H325" i="2"/>
  <c r="I325" i="2"/>
  <c r="K325" i="2"/>
  <c r="L325" i="2"/>
  <c r="M325" i="2"/>
  <c r="N325" i="2"/>
  <c r="O325" i="2"/>
  <c r="P325" i="2"/>
  <c r="Q325" i="2"/>
  <c r="R325" i="2"/>
  <c r="S325" i="2"/>
  <c r="T325" i="2"/>
  <c r="B326" i="2"/>
  <c r="C326" i="2"/>
  <c r="G326" i="2"/>
  <c r="H326" i="2"/>
  <c r="I326" i="2"/>
  <c r="K326" i="2"/>
  <c r="L326" i="2"/>
  <c r="M326" i="2"/>
  <c r="N326" i="2"/>
  <c r="O326" i="2"/>
  <c r="P326" i="2"/>
  <c r="Q326" i="2"/>
  <c r="R326" i="2"/>
  <c r="S326" i="2"/>
  <c r="T326" i="2"/>
  <c r="B327" i="2"/>
  <c r="C327" i="2"/>
  <c r="G327" i="2"/>
  <c r="H327" i="2"/>
  <c r="I327" i="2"/>
  <c r="K327" i="2"/>
  <c r="L327" i="2"/>
  <c r="M327" i="2"/>
  <c r="N327" i="2"/>
  <c r="O327" i="2"/>
  <c r="P327" i="2"/>
  <c r="Q327" i="2"/>
  <c r="R327" i="2"/>
  <c r="S327" i="2"/>
  <c r="T327" i="2"/>
  <c r="B328" i="2"/>
  <c r="C328" i="2"/>
  <c r="G328" i="2"/>
  <c r="H328" i="2"/>
  <c r="I328" i="2"/>
  <c r="K328" i="2"/>
  <c r="L328" i="2"/>
  <c r="M328" i="2"/>
  <c r="N328" i="2"/>
  <c r="O328" i="2"/>
  <c r="P328" i="2"/>
  <c r="Q328" i="2"/>
  <c r="R328" i="2"/>
  <c r="S328" i="2"/>
  <c r="T328" i="2"/>
  <c r="B329" i="2"/>
  <c r="C329" i="2"/>
  <c r="G329" i="2"/>
  <c r="H329" i="2"/>
  <c r="I329" i="2"/>
  <c r="K329" i="2"/>
  <c r="L329" i="2"/>
  <c r="M329" i="2"/>
  <c r="N329" i="2"/>
  <c r="O329" i="2"/>
  <c r="P329" i="2"/>
  <c r="Q329" i="2"/>
  <c r="R329" i="2"/>
  <c r="S329" i="2"/>
  <c r="T329" i="2"/>
  <c r="B330" i="2"/>
  <c r="C330" i="2"/>
  <c r="G330" i="2"/>
  <c r="H330" i="2"/>
  <c r="I330" i="2"/>
  <c r="K330" i="2"/>
  <c r="L330" i="2"/>
  <c r="M330" i="2"/>
  <c r="N330" i="2"/>
  <c r="O330" i="2"/>
  <c r="P330" i="2"/>
  <c r="Q330" i="2"/>
  <c r="R330" i="2"/>
  <c r="S330" i="2"/>
  <c r="T330" i="2"/>
  <c r="B331" i="2"/>
  <c r="C331" i="2"/>
  <c r="G331" i="2"/>
  <c r="H331" i="2"/>
  <c r="I331" i="2"/>
  <c r="K331" i="2"/>
  <c r="L331" i="2"/>
  <c r="M331" i="2"/>
  <c r="N331" i="2"/>
  <c r="O331" i="2"/>
  <c r="P331" i="2"/>
  <c r="Q331" i="2"/>
  <c r="R331" i="2"/>
  <c r="S331" i="2"/>
  <c r="T331" i="2"/>
  <c r="B332" i="2"/>
  <c r="C332" i="2"/>
  <c r="G332" i="2"/>
  <c r="H332" i="2"/>
  <c r="I332" i="2"/>
  <c r="K332" i="2"/>
  <c r="L332" i="2"/>
  <c r="M332" i="2"/>
  <c r="N332" i="2"/>
  <c r="O332" i="2"/>
  <c r="P332" i="2"/>
  <c r="Q332" i="2"/>
  <c r="R332" i="2"/>
  <c r="S332" i="2"/>
  <c r="T332" i="2"/>
  <c r="B333" i="2"/>
  <c r="C333" i="2"/>
  <c r="G333" i="2"/>
  <c r="H333" i="2"/>
  <c r="I333" i="2"/>
  <c r="K333" i="2"/>
  <c r="L333" i="2"/>
  <c r="M333" i="2"/>
  <c r="N333" i="2"/>
  <c r="O333" i="2"/>
  <c r="P333" i="2"/>
  <c r="Q333" i="2"/>
  <c r="R333" i="2"/>
  <c r="S333" i="2"/>
  <c r="T333" i="2"/>
  <c r="B334" i="2"/>
  <c r="C334" i="2"/>
  <c r="G334" i="2"/>
  <c r="H334" i="2"/>
  <c r="I334" i="2"/>
  <c r="K334" i="2"/>
  <c r="L334" i="2"/>
  <c r="M334" i="2"/>
  <c r="N334" i="2"/>
  <c r="O334" i="2"/>
  <c r="P334" i="2"/>
  <c r="Q334" i="2"/>
  <c r="R334" i="2"/>
  <c r="S334" i="2"/>
  <c r="T334" i="2"/>
  <c r="B335" i="2"/>
  <c r="C335" i="2"/>
  <c r="G335" i="2"/>
  <c r="H335" i="2"/>
  <c r="I335" i="2"/>
  <c r="K335" i="2"/>
  <c r="L335" i="2"/>
  <c r="M335" i="2"/>
  <c r="N335" i="2"/>
  <c r="O335" i="2"/>
  <c r="P335" i="2"/>
  <c r="Q335" i="2"/>
  <c r="R335" i="2"/>
  <c r="S335" i="2"/>
  <c r="T335" i="2"/>
  <c r="B336" i="2"/>
  <c r="C336" i="2"/>
  <c r="G336" i="2"/>
  <c r="H336" i="2"/>
  <c r="I336" i="2"/>
  <c r="K336" i="2"/>
  <c r="L336" i="2"/>
  <c r="M336" i="2"/>
  <c r="N336" i="2"/>
  <c r="O336" i="2"/>
  <c r="P336" i="2"/>
  <c r="Q336" i="2"/>
  <c r="R336" i="2"/>
  <c r="S336" i="2"/>
  <c r="T336" i="2"/>
  <c r="B337" i="2"/>
  <c r="C337" i="2"/>
  <c r="G337" i="2"/>
  <c r="H337" i="2"/>
  <c r="I337" i="2"/>
  <c r="K337" i="2"/>
  <c r="L337" i="2"/>
  <c r="M337" i="2"/>
  <c r="N337" i="2"/>
  <c r="O337" i="2"/>
  <c r="P337" i="2"/>
  <c r="Q337" i="2"/>
  <c r="R337" i="2"/>
  <c r="S337" i="2"/>
  <c r="T337" i="2"/>
  <c r="B338" i="2"/>
  <c r="C338" i="2"/>
  <c r="G338" i="2"/>
  <c r="H338" i="2"/>
  <c r="I338" i="2"/>
  <c r="K338" i="2"/>
  <c r="L338" i="2"/>
  <c r="M338" i="2"/>
  <c r="N338" i="2"/>
  <c r="O338" i="2"/>
  <c r="P338" i="2"/>
  <c r="Q338" i="2"/>
  <c r="R338" i="2"/>
  <c r="S338" i="2"/>
  <c r="T338" i="2"/>
  <c r="B339" i="2"/>
  <c r="C339" i="2"/>
  <c r="G339" i="2"/>
  <c r="H339" i="2"/>
  <c r="I339" i="2"/>
  <c r="K339" i="2"/>
  <c r="L339" i="2"/>
  <c r="M339" i="2"/>
  <c r="N339" i="2"/>
  <c r="O339" i="2"/>
  <c r="P339" i="2"/>
  <c r="Q339" i="2"/>
  <c r="R339" i="2"/>
  <c r="S339" i="2"/>
  <c r="T339" i="2"/>
  <c r="B340" i="2"/>
  <c r="C340" i="2"/>
  <c r="G340" i="2"/>
  <c r="H340" i="2"/>
  <c r="I340" i="2"/>
  <c r="K340" i="2"/>
  <c r="L340" i="2"/>
  <c r="M340" i="2"/>
  <c r="N340" i="2"/>
  <c r="O340" i="2"/>
  <c r="P340" i="2"/>
  <c r="Q340" i="2"/>
  <c r="R340" i="2"/>
  <c r="S340" i="2"/>
  <c r="T340" i="2"/>
  <c r="B341" i="2"/>
  <c r="C341" i="2"/>
  <c r="G341" i="2"/>
  <c r="H341" i="2"/>
  <c r="I341" i="2"/>
  <c r="K341" i="2"/>
  <c r="L341" i="2"/>
  <c r="M341" i="2"/>
  <c r="N341" i="2"/>
  <c r="O341" i="2"/>
  <c r="P341" i="2"/>
  <c r="Q341" i="2"/>
  <c r="R341" i="2"/>
  <c r="S341" i="2"/>
  <c r="T341" i="2"/>
  <c r="B342" i="2"/>
  <c r="C342" i="2"/>
  <c r="G342" i="2"/>
  <c r="H342" i="2"/>
  <c r="I342" i="2"/>
  <c r="K342" i="2"/>
  <c r="L342" i="2"/>
  <c r="M342" i="2"/>
  <c r="N342" i="2"/>
  <c r="O342" i="2"/>
  <c r="P342" i="2"/>
  <c r="Q342" i="2"/>
  <c r="R342" i="2"/>
  <c r="S342" i="2"/>
  <c r="T342" i="2"/>
  <c r="B343" i="2"/>
  <c r="C343" i="2"/>
  <c r="G343" i="2"/>
  <c r="H343" i="2"/>
  <c r="I343" i="2"/>
  <c r="K343" i="2"/>
  <c r="L343" i="2"/>
  <c r="M343" i="2"/>
  <c r="N343" i="2"/>
  <c r="O343" i="2"/>
  <c r="P343" i="2"/>
  <c r="Q343" i="2"/>
  <c r="R343" i="2"/>
  <c r="S343" i="2"/>
  <c r="T343" i="2"/>
  <c r="B344" i="2"/>
  <c r="C344" i="2"/>
  <c r="G344" i="2"/>
  <c r="H344" i="2"/>
  <c r="I344" i="2"/>
  <c r="K344" i="2"/>
  <c r="L344" i="2"/>
  <c r="M344" i="2"/>
  <c r="N344" i="2"/>
  <c r="O344" i="2"/>
  <c r="P344" i="2"/>
  <c r="Q344" i="2"/>
  <c r="R344" i="2"/>
  <c r="S344" i="2"/>
  <c r="T344" i="2"/>
  <c r="B345" i="2"/>
  <c r="C345" i="2"/>
  <c r="G345" i="2"/>
  <c r="H345" i="2"/>
  <c r="I345" i="2"/>
  <c r="K345" i="2"/>
  <c r="L345" i="2"/>
  <c r="M345" i="2"/>
  <c r="N345" i="2"/>
  <c r="O345" i="2"/>
  <c r="P345" i="2"/>
  <c r="Q345" i="2"/>
  <c r="R345" i="2"/>
  <c r="S345" i="2"/>
  <c r="T345" i="2"/>
  <c r="B346" i="2"/>
  <c r="C346" i="2"/>
  <c r="G346" i="2"/>
  <c r="H346" i="2"/>
  <c r="I346" i="2"/>
  <c r="K346" i="2"/>
  <c r="L346" i="2"/>
  <c r="M346" i="2"/>
  <c r="N346" i="2"/>
  <c r="O346" i="2"/>
  <c r="P346" i="2"/>
  <c r="Q346" i="2"/>
  <c r="R346" i="2"/>
  <c r="S346" i="2"/>
  <c r="T346" i="2"/>
  <c r="B347" i="2"/>
  <c r="C347" i="2"/>
  <c r="G347" i="2"/>
  <c r="H347" i="2"/>
  <c r="I347" i="2"/>
  <c r="K347" i="2"/>
  <c r="L347" i="2"/>
  <c r="M347" i="2"/>
  <c r="N347" i="2"/>
  <c r="O347" i="2"/>
  <c r="P347" i="2"/>
  <c r="Q347" i="2"/>
  <c r="R347" i="2"/>
  <c r="S347" i="2"/>
  <c r="T347" i="2"/>
  <c r="B348" i="2"/>
  <c r="C348" i="2"/>
  <c r="G348" i="2"/>
  <c r="H348" i="2"/>
  <c r="I348" i="2"/>
  <c r="K348" i="2"/>
  <c r="L348" i="2"/>
  <c r="M348" i="2"/>
  <c r="N348" i="2"/>
  <c r="O348" i="2"/>
  <c r="P348" i="2"/>
  <c r="Q348" i="2"/>
  <c r="R348" i="2"/>
  <c r="S348" i="2"/>
  <c r="T348" i="2"/>
  <c r="B349" i="2"/>
  <c r="C349" i="2"/>
  <c r="G349" i="2"/>
  <c r="H349" i="2"/>
  <c r="I349" i="2"/>
  <c r="K349" i="2"/>
  <c r="L349" i="2"/>
  <c r="M349" i="2"/>
  <c r="N349" i="2"/>
  <c r="O349" i="2"/>
  <c r="P349" i="2"/>
  <c r="Q349" i="2"/>
  <c r="R349" i="2"/>
  <c r="S349" i="2"/>
  <c r="T349" i="2"/>
  <c r="B350" i="2"/>
  <c r="C350" i="2"/>
  <c r="G350" i="2"/>
  <c r="H350" i="2"/>
  <c r="I350" i="2"/>
  <c r="K350" i="2"/>
  <c r="L350" i="2"/>
  <c r="M350" i="2"/>
  <c r="N350" i="2"/>
  <c r="O350" i="2"/>
  <c r="P350" i="2"/>
  <c r="Q350" i="2"/>
  <c r="R350" i="2"/>
  <c r="S350" i="2"/>
  <c r="T350" i="2"/>
  <c r="B351" i="2"/>
  <c r="C351" i="2"/>
  <c r="G351" i="2"/>
  <c r="H351" i="2"/>
  <c r="I351" i="2"/>
  <c r="K351" i="2"/>
  <c r="L351" i="2"/>
  <c r="M351" i="2"/>
  <c r="N351" i="2"/>
  <c r="O351" i="2"/>
  <c r="P351" i="2"/>
  <c r="Q351" i="2"/>
  <c r="R351" i="2"/>
  <c r="S351" i="2"/>
  <c r="T351" i="2"/>
  <c r="B352" i="2"/>
  <c r="C352" i="2"/>
  <c r="G352" i="2"/>
  <c r="H352" i="2"/>
  <c r="I352" i="2"/>
  <c r="K352" i="2"/>
  <c r="L352" i="2"/>
  <c r="M352" i="2"/>
  <c r="N352" i="2"/>
  <c r="O352" i="2"/>
  <c r="P352" i="2"/>
  <c r="Q352" i="2"/>
  <c r="R352" i="2"/>
  <c r="S352" i="2"/>
  <c r="T352" i="2"/>
  <c r="B353" i="2"/>
  <c r="C353" i="2"/>
  <c r="G353" i="2"/>
  <c r="H353" i="2"/>
  <c r="I353" i="2"/>
  <c r="K353" i="2"/>
  <c r="L353" i="2"/>
  <c r="M353" i="2"/>
  <c r="N353" i="2"/>
  <c r="O353" i="2"/>
  <c r="P353" i="2"/>
  <c r="Q353" i="2"/>
  <c r="R353" i="2"/>
  <c r="S353" i="2"/>
  <c r="T353" i="2"/>
  <c r="B354" i="2"/>
  <c r="C354" i="2"/>
  <c r="G354" i="2"/>
  <c r="H354" i="2"/>
  <c r="I354" i="2"/>
  <c r="K354" i="2"/>
  <c r="L354" i="2"/>
  <c r="M354" i="2"/>
  <c r="N354" i="2"/>
  <c r="O354" i="2"/>
  <c r="P354" i="2"/>
  <c r="Q354" i="2"/>
  <c r="R354" i="2"/>
  <c r="S354" i="2"/>
  <c r="T354" i="2"/>
  <c r="B355" i="2"/>
  <c r="C355" i="2"/>
  <c r="G355" i="2"/>
  <c r="H355" i="2"/>
  <c r="I355" i="2"/>
  <c r="K355" i="2"/>
  <c r="L355" i="2"/>
  <c r="M355" i="2"/>
  <c r="N355" i="2"/>
  <c r="O355" i="2"/>
  <c r="P355" i="2"/>
  <c r="Q355" i="2"/>
  <c r="R355" i="2"/>
  <c r="S355" i="2"/>
  <c r="T355" i="2"/>
  <c r="B356" i="2"/>
  <c r="C356" i="2"/>
  <c r="G356" i="2"/>
  <c r="H356" i="2"/>
  <c r="I356" i="2"/>
  <c r="K356" i="2"/>
  <c r="L356" i="2"/>
  <c r="M356" i="2"/>
  <c r="N356" i="2"/>
  <c r="O356" i="2"/>
  <c r="P356" i="2"/>
  <c r="Q356" i="2"/>
  <c r="R356" i="2"/>
  <c r="S356" i="2"/>
  <c r="T356" i="2"/>
  <c r="B357" i="2"/>
  <c r="C357" i="2"/>
  <c r="G357" i="2"/>
  <c r="H357" i="2"/>
  <c r="I357" i="2"/>
  <c r="K357" i="2"/>
  <c r="L357" i="2"/>
  <c r="M357" i="2"/>
  <c r="N357" i="2"/>
  <c r="O357" i="2"/>
  <c r="P357" i="2"/>
  <c r="Q357" i="2"/>
  <c r="R357" i="2"/>
  <c r="S357" i="2"/>
  <c r="T357" i="2"/>
  <c r="B358" i="2"/>
  <c r="C358" i="2"/>
  <c r="G358" i="2"/>
  <c r="H358" i="2"/>
  <c r="I358" i="2"/>
  <c r="K358" i="2"/>
  <c r="L358" i="2"/>
  <c r="M358" i="2"/>
  <c r="N358" i="2"/>
  <c r="O358" i="2"/>
  <c r="P358" i="2"/>
  <c r="Q358" i="2"/>
  <c r="R358" i="2"/>
  <c r="S358" i="2"/>
  <c r="T358" i="2"/>
  <c r="B359" i="2"/>
  <c r="C359" i="2"/>
  <c r="G359" i="2"/>
  <c r="H359" i="2"/>
  <c r="I359" i="2"/>
  <c r="K359" i="2"/>
  <c r="L359" i="2"/>
  <c r="M359" i="2"/>
  <c r="N359" i="2"/>
  <c r="O359" i="2"/>
  <c r="P359" i="2"/>
  <c r="Q359" i="2"/>
  <c r="R359" i="2"/>
  <c r="S359" i="2"/>
  <c r="T359" i="2"/>
  <c r="B360" i="2"/>
  <c r="C360" i="2"/>
  <c r="G360" i="2"/>
  <c r="H360" i="2"/>
  <c r="I360" i="2"/>
  <c r="K360" i="2"/>
  <c r="L360" i="2"/>
  <c r="M360" i="2"/>
  <c r="N360" i="2"/>
  <c r="O360" i="2"/>
  <c r="P360" i="2"/>
  <c r="Q360" i="2"/>
  <c r="R360" i="2"/>
  <c r="S360" i="2"/>
  <c r="T360" i="2"/>
  <c r="B361" i="2"/>
  <c r="C361" i="2"/>
  <c r="G361" i="2"/>
  <c r="H361" i="2"/>
  <c r="I361" i="2"/>
  <c r="K361" i="2"/>
  <c r="L361" i="2"/>
  <c r="M361" i="2"/>
  <c r="N361" i="2"/>
  <c r="O361" i="2"/>
  <c r="P361" i="2"/>
  <c r="Q361" i="2"/>
  <c r="R361" i="2"/>
  <c r="S361" i="2"/>
  <c r="T361" i="2"/>
  <c r="B362" i="2"/>
  <c r="C362" i="2"/>
  <c r="G362" i="2"/>
  <c r="H362" i="2"/>
  <c r="I362" i="2"/>
  <c r="K362" i="2"/>
  <c r="L362" i="2"/>
  <c r="M362" i="2"/>
  <c r="N362" i="2"/>
  <c r="O362" i="2"/>
  <c r="P362" i="2"/>
  <c r="Q362" i="2"/>
  <c r="R362" i="2"/>
  <c r="S362" i="2"/>
  <c r="T362" i="2"/>
  <c r="B363" i="2"/>
  <c r="C363" i="2"/>
  <c r="G363" i="2"/>
  <c r="H363" i="2"/>
  <c r="I363" i="2"/>
  <c r="K363" i="2"/>
  <c r="L363" i="2"/>
  <c r="M363" i="2"/>
  <c r="N363" i="2"/>
  <c r="O363" i="2"/>
  <c r="P363" i="2"/>
  <c r="Q363" i="2"/>
  <c r="R363" i="2"/>
  <c r="S363" i="2"/>
  <c r="T363" i="2"/>
  <c r="B364" i="2"/>
  <c r="C364" i="2"/>
  <c r="G364" i="2"/>
  <c r="H364" i="2"/>
  <c r="I364" i="2"/>
  <c r="K364" i="2"/>
  <c r="L364" i="2"/>
  <c r="M364" i="2"/>
  <c r="N364" i="2"/>
  <c r="O364" i="2"/>
  <c r="P364" i="2"/>
  <c r="Q364" i="2"/>
  <c r="R364" i="2"/>
  <c r="S364" i="2"/>
  <c r="T364" i="2"/>
  <c r="B365" i="2"/>
  <c r="C365" i="2"/>
  <c r="G365" i="2"/>
  <c r="H365" i="2"/>
  <c r="I365" i="2"/>
  <c r="K365" i="2"/>
  <c r="L365" i="2"/>
  <c r="M365" i="2"/>
  <c r="N365" i="2"/>
  <c r="O365" i="2"/>
  <c r="P365" i="2"/>
  <c r="Q365" i="2"/>
  <c r="R365" i="2"/>
  <c r="S365" i="2"/>
  <c r="T365" i="2"/>
  <c r="B366" i="2"/>
  <c r="C366" i="2"/>
  <c r="G366" i="2"/>
  <c r="H366" i="2"/>
  <c r="I366" i="2"/>
  <c r="K366" i="2"/>
  <c r="L366" i="2"/>
  <c r="M366" i="2"/>
  <c r="N366" i="2"/>
  <c r="O366" i="2"/>
  <c r="P366" i="2"/>
  <c r="Q366" i="2"/>
  <c r="R366" i="2"/>
  <c r="S366" i="2"/>
  <c r="T366" i="2"/>
  <c r="B367" i="2"/>
  <c r="C367" i="2"/>
  <c r="G367" i="2"/>
  <c r="H367" i="2"/>
  <c r="I367" i="2"/>
  <c r="K367" i="2"/>
  <c r="L367" i="2"/>
  <c r="M367" i="2"/>
  <c r="N367" i="2"/>
  <c r="O367" i="2"/>
  <c r="P367" i="2"/>
  <c r="Q367" i="2"/>
  <c r="R367" i="2"/>
  <c r="S367" i="2"/>
  <c r="T367" i="2"/>
  <c r="B368" i="2"/>
  <c r="C368" i="2"/>
  <c r="G368" i="2"/>
  <c r="H368" i="2"/>
  <c r="I368" i="2"/>
  <c r="K368" i="2"/>
  <c r="L368" i="2"/>
  <c r="M368" i="2"/>
  <c r="N368" i="2"/>
  <c r="O368" i="2"/>
  <c r="P368" i="2"/>
  <c r="Q368" i="2"/>
  <c r="R368" i="2"/>
  <c r="S368" i="2"/>
  <c r="T368" i="2"/>
  <c r="B369" i="2"/>
  <c r="C369" i="2"/>
  <c r="G369" i="2"/>
  <c r="H369" i="2"/>
  <c r="I369" i="2"/>
  <c r="K369" i="2"/>
  <c r="L369" i="2"/>
  <c r="M369" i="2"/>
  <c r="N369" i="2"/>
  <c r="O369" i="2"/>
  <c r="P369" i="2"/>
  <c r="Q369" i="2"/>
  <c r="R369" i="2"/>
  <c r="S369" i="2"/>
  <c r="T369" i="2"/>
  <c r="B370" i="2"/>
  <c r="C370" i="2"/>
  <c r="G370" i="2"/>
  <c r="H370" i="2"/>
  <c r="I370" i="2"/>
  <c r="K370" i="2"/>
  <c r="L370" i="2"/>
  <c r="M370" i="2"/>
  <c r="N370" i="2"/>
  <c r="O370" i="2"/>
  <c r="P370" i="2"/>
  <c r="Q370" i="2"/>
  <c r="R370" i="2"/>
  <c r="S370" i="2"/>
  <c r="T370" i="2"/>
  <c r="B371" i="2"/>
  <c r="C371" i="2"/>
  <c r="G371" i="2"/>
  <c r="H371" i="2"/>
  <c r="I371" i="2"/>
  <c r="K371" i="2"/>
  <c r="L371" i="2"/>
  <c r="M371" i="2"/>
  <c r="N371" i="2"/>
  <c r="O371" i="2"/>
  <c r="P371" i="2"/>
  <c r="Q371" i="2"/>
  <c r="R371" i="2"/>
  <c r="S371" i="2"/>
  <c r="T371" i="2"/>
  <c r="B372" i="2"/>
  <c r="C372" i="2"/>
  <c r="G372" i="2"/>
  <c r="H372" i="2"/>
  <c r="I372" i="2"/>
  <c r="K372" i="2"/>
  <c r="L372" i="2"/>
  <c r="M372" i="2"/>
  <c r="N372" i="2"/>
  <c r="O372" i="2"/>
  <c r="P372" i="2"/>
  <c r="Q372" i="2"/>
  <c r="R372" i="2"/>
  <c r="S372" i="2"/>
  <c r="T372" i="2"/>
  <c r="B373" i="2"/>
  <c r="C373" i="2"/>
  <c r="G373" i="2"/>
  <c r="H373" i="2"/>
  <c r="I373" i="2"/>
  <c r="K373" i="2"/>
  <c r="L373" i="2"/>
  <c r="M373" i="2"/>
  <c r="N373" i="2"/>
  <c r="O373" i="2"/>
  <c r="P373" i="2"/>
  <c r="Q373" i="2"/>
  <c r="R373" i="2"/>
  <c r="S373" i="2"/>
  <c r="T373" i="2"/>
  <c r="B374" i="2"/>
  <c r="C374" i="2"/>
  <c r="G374" i="2"/>
  <c r="H374" i="2"/>
  <c r="I374" i="2"/>
  <c r="K374" i="2"/>
  <c r="L374" i="2"/>
  <c r="M374" i="2"/>
  <c r="N374" i="2"/>
  <c r="O374" i="2"/>
  <c r="P374" i="2"/>
  <c r="Q374" i="2"/>
  <c r="R374" i="2"/>
  <c r="S374" i="2"/>
  <c r="T374" i="2"/>
  <c r="B375" i="2"/>
  <c r="C375" i="2"/>
  <c r="G375" i="2"/>
  <c r="H375" i="2"/>
  <c r="I375" i="2"/>
  <c r="K375" i="2"/>
  <c r="L375" i="2"/>
  <c r="M375" i="2"/>
  <c r="N375" i="2"/>
  <c r="O375" i="2"/>
  <c r="P375" i="2"/>
  <c r="Q375" i="2"/>
  <c r="R375" i="2"/>
  <c r="S375" i="2"/>
  <c r="T375" i="2"/>
  <c r="B376" i="2"/>
  <c r="C376" i="2"/>
  <c r="G376" i="2"/>
  <c r="H376" i="2"/>
  <c r="I376" i="2"/>
  <c r="K376" i="2"/>
  <c r="L376" i="2"/>
  <c r="M376" i="2"/>
  <c r="N376" i="2"/>
  <c r="O376" i="2"/>
  <c r="P376" i="2"/>
  <c r="Q376" i="2"/>
  <c r="R376" i="2"/>
  <c r="S376" i="2"/>
  <c r="T376" i="2"/>
  <c r="B377" i="2"/>
  <c r="C377" i="2"/>
  <c r="G377" i="2"/>
  <c r="H377" i="2"/>
  <c r="I377" i="2"/>
  <c r="K377" i="2"/>
  <c r="L377" i="2"/>
  <c r="M377" i="2"/>
  <c r="N377" i="2"/>
  <c r="O377" i="2"/>
  <c r="P377" i="2"/>
  <c r="Q377" i="2"/>
  <c r="R377" i="2"/>
  <c r="S377" i="2"/>
  <c r="T377" i="2"/>
  <c r="B378" i="2"/>
  <c r="C378" i="2"/>
  <c r="G378" i="2"/>
  <c r="H378" i="2"/>
  <c r="I378" i="2"/>
  <c r="K378" i="2"/>
  <c r="L378" i="2"/>
  <c r="M378" i="2"/>
  <c r="N378" i="2"/>
  <c r="O378" i="2"/>
  <c r="P378" i="2"/>
  <c r="Q378" i="2"/>
  <c r="R378" i="2"/>
  <c r="S378" i="2"/>
  <c r="T378" i="2"/>
  <c r="B379" i="2"/>
  <c r="C379" i="2"/>
  <c r="G379" i="2"/>
  <c r="H379" i="2"/>
  <c r="I379" i="2"/>
  <c r="K379" i="2"/>
  <c r="L379" i="2"/>
  <c r="M379" i="2"/>
  <c r="N379" i="2"/>
  <c r="O379" i="2"/>
  <c r="P379" i="2"/>
  <c r="Q379" i="2"/>
  <c r="R379" i="2"/>
  <c r="S379" i="2"/>
  <c r="T379" i="2"/>
  <c r="B380" i="2"/>
  <c r="C380" i="2"/>
  <c r="G380" i="2"/>
  <c r="H380" i="2"/>
  <c r="I380" i="2"/>
  <c r="K380" i="2"/>
  <c r="L380" i="2"/>
  <c r="M380" i="2"/>
  <c r="N380" i="2"/>
  <c r="O380" i="2"/>
  <c r="P380" i="2"/>
  <c r="Q380" i="2"/>
  <c r="R380" i="2"/>
  <c r="S380" i="2"/>
  <c r="T380" i="2"/>
  <c r="B381" i="2"/>
  <c r="C381" i="2"/>
  <c r="G381" i="2"/>
  <c r="H381" i="2"/>
  <c r="I381" i="2"/>
  <c r="K381" i="2"/>
  <c r="L381" i="2"/>
  <c r="M381" i="2"/>
  <c r="N381" i="2"/>
  <c r="O381" i="2"/>
  <c r="P381" i="2"/>
  <c r="Q381" i="2"/>
  <c r="R381" i="2"/>
  <c r="S381" i="2"/>
  <c r="T381" i="2"/>
  <c r="B382" i="2"/>
  <c r="C382" i="2"/>
  <c r="G382" i="2"/>
  <c r="H382" i="2"/>
  <c r="I382" i="2"/>
  <c r="K382" i="2"/>
  <c r="L382" i="2"/>
  <c r="M382" i="2"/>
  <c r="N382" i="2"/>
  <c r="O382" i="2"/>
  <c r="P382" i="2"/>
  <c r="Q382" i="2"/>
  <c r="R382" i="2"/>
  <c r="S382" i="2"/>
  <c r="T382" i="2"/>
  <c r="B383" i="2"/>
  <c r="C383" i="2"/>
  <c r="G383" i="2"/>
  <c r="H383" i="2"/>
  <c r="I383" i="2"/>
  <c r="K383" i="2"/>
  <c r="L383" i="2"/>
  <c r="M383" i="2"/>
  <c r="N383" i="2"/>
  <c r="O383" i="2"/>
  <c r="P383" i="2"/>
  <c r="Q383" i="2"/>
  <c r="R383" i="2"/>
  <c r="S383" i="2"/>
  <c r="T383" i="2"/>
  <c r="B384" i="2"/>
  <c r="C384" i="2"/>
  <c r="G384" i="2"/>
  <c r="H384" i="2"/>
  <c r="I384" i="2"/>
  <c r="K384" i="2"/>
  <c r="L384" i="2"/>
  <c r="M384" i="2"/>
  <c r="N384" i="2"/>
  <c r="O384" i="2"/>
  <c r="P384" i="2"/>
  <c r="Q384" i="2"/>
  <c r="R384" i="2"/>
  <c r="S384" i="2"/>
  <c r="T384" i="2"/>
  <c r="B385" i="2"/>
  <c r="C385" i="2"/>
  <c r="G385" i="2"/>
  <c r="H385" i="2"/>
  <c r="I385" i="2"/>
  <c r="K385" i="2"/>
  <c r="L385" i="2"/>
  <c r="M385" i="2"/>
  <c r="N385" i="2"/>
  <c r="O385" i="2"/>
  <c r="P385" i="2"/>
  <c r="Q385" i="2"/>
  <c r="R385" i="2"/>
  <c r="S385" i="2"/>
  <c r="T385" i="2"/>
  <c r="B386" i="2"/>
  <c r="C386" i="2"/>
  <c r="G386" i="2"/>
  <c r="H386" i="2"/>
  <c r="I386" i="2"/>
  <c r="K386" i="2"/>
  <c r="L386" i="2"/>
  <c r="M386" i="2"/>
  <c r="N386" i="2"/>
  <c r="O386" i="2"/>
  <c r="P386" i="2"/>
  <c r="Q386" i="2"/>
  <c r="R386" i="2"/>
  <c r="S386" i="2"/>
  <c r="T386" i="2"/>
  <c r="B387" i="2"/>
  <c r="C387" i="2"/>
  <c r="G387" i="2"/>
  <c r="H387" i="2"/>
  <c r="I387" i="2"/>
  <c r="K387" i="2"/>
  <c r="L387" i="2"/>
  <c r="M387" i="2"/>
  <c r="N387" i="2"/>
  <c r="O387" i="2"/>
  <c r="P387" i="2"/>
  <c r="Q387" i="2"/>
  <c r="R387" i="2"/>
  <c r="S387" i="2"/>
  <c r="T387" i="2"/>
  <c r="B388" i="2"/>
  <c r="C388" i="2"/>
  <c r="G388" i="2"/>
  <c r="H388" i="2"/>
  <c r="I388" i="2"/>
  <c r="K388" i="2"/>
  <c r="L388" i="2"/>
  <c r="M388" i="2"/>
  <c r="N388" i="2"/>
  <c r="O388" i="2"/>
  <c r="P388" i="2"/>
  <c r="Q388" i="2"/>
  <c r="R388" i="2"/>
  <c r="S388" i="2"/>
  <c r="T388" i="2"/>
  <c r="B389" i="2"/>
  <c r="C389" i="2"/>
  <c r="G389" i="2"/>
  <c r="H389" i="2"/>
  <c r="I389" i="2"/>
  <c r="K389" i="2"/>
  <c r="L389" i="2"/>
  <c r="M389" i="2"/>
  <c r="N389" i="2"/>
  <c r="O389" i="2"/>
  <c r="P389" i="2"/>
  <c r="Q389" i="2"/>
  <c r="R389" i="2"/>
  <c r="S389" i="2"/>
  <c r="T389" i="2"/>
  <c r="B390" i="2"/>
  <c r="C390" i="2"/>
  <c r="G390" i="2"/>
  <c r="H390" i="2"/>
  <c r="I390" i="2"/>
  <c r="K390" i="2"/>
  <c r="L390" i="2"/>
  <c r="M390" i="2"/>
  <c r="N390" i="2"/>
  <c r="O390" i="2"/>
  <c r="P390" i="2"/>
  <c r="Q390" i="2"/>
  <c r="R390" i="2"/>
  <c r="S390" i="2"/>
  <c r="T390" i="2"/>
  <c r="B391" i="2"/>
  <c r="C391" i="2"/>
  <c r="G391" i="2"/>
  <c r="H391" i="2"/>
  <c r="I391" i="2"/>
  <c r="K391" i="2"/>
  <c r="L391" i="2"/>
  <c r="M391" i="2"/>
  <c r="N391" i="2"/>
  <c r="O391" i="2"/>
  <c r="P391" i="2"/>
  <c r="Q391" i="2"/>
  <c r="R391" i="2"/>
  <c r="S391" i="2"/>
  <c r="T391" i="2"/>
  <c r="B392" i="2"/>
  <c r="C392" i="2"/>
  <c r="G392" i="2"/>
  <c r="H392" i="2"/>
  <c r="I392" i="2"/>
  <c r="K392" i="2"/>
  <c r="L392" i="2"/>
  <c r="M392" i="2"/>
  <c r="N392" i="2"/>
  <c r="O392" i="2"/>
  <c r="P392" i="2"/>
  <c r="Q392" i="2"/>
  <c r="R392" i="2"/>
  <c r="S392" i="2"/>
  <c r="T392" i="2"/>
  <c r="B393" i="2"/>
  <c r="C393" i="2"/>
  <c r="G393" i="2"/>
  <c r="H393" i="2"/>
  <c r="I393" i="2"/>
  <c r="K393" i="2"/>
  <c r="L393" i="2"/>
  <c r="M393" i="2"/>
  <c r="N393" i="2"/>
  <c r="O393" i="2"/>
  <c r="P393" i="2"/>
  <c r="Q393" i="2"/>
  <c r="R393" i="2"/>
  <c r="S393" i="2"/>
  <c r="T393" i="2"/>
  <c r="B394" i="2"/>
  <c r="C394" i="2"/>
  <c r="G394" i="2"/>
  <c r="H394" i="2"/>
  <c r="I394" i="2"/>
  <c r="K394" i="2"/>
  <c r="L394" i="2"/>
  <c r="M394" i="2"/>
  <c r="N394" i="2"/>
  <c r="O394" i="2"/>
  <c r="P394" i="2"/>
  <c r="Q394" i="2"/>
  <c r="R394" i="2"/>
  <c r="S394" i="2"/>
  <c r="T394" i="2"/>
  <c r="B395" i="2"/>
  <c r="C395" i="2"/>
  <c r="G395" i="2"/>
  <c r="H395" i="2"/>
  <c r="I395" i="2"/>
  <c r="K395" i="2"/>
  <c r="L395" i="2"/>
  <c r="M395" i="2"/>
  <c r="N395" i="2"/>
  <c r="O395" i="2"/>
  <c r="P395" i="2"/>
  <c r="Q395" i="2"/>
  <c r="R395" i="2"/>
  <c r="S395" i="2"/>
  <c r="T395" i="2"/>
  <c r="B396" i="2"/>
  <c r="C396" i="2"/>
  <c r="G396" i="2"/>
  <c r="H396" i="2"/>
  <c r="I396" i="2"/>
  <c r="K396" i="2"/>
  <c r="L396" i="2"/>
  <c r="M396" i="2"/>
  <c r="N396" i="2"/>
  <c r="O396" i="2"/>
  <c r="P396" i="2"/>
  <c r="Q396" i="2"/>
  <c r="R396" i="2"/>
  <c r="S396" i="2"/>
  <c r="T396" i="2"/>
  <c r="B397" i="2"/>
  <c r="C397" i="2"/>
  <c r="G397" i="2"/>
  <c r="H397" i="2"/>
  <c r="I397" i="2"/>
  <c r="K397" i="2"/>
  <c r="L397" i="2"/>
  <c r="M397" i="2"/>
  <c r="N397" i="2"/>
  <c r="O397" i="2"/>
  <c r="P397" i="2"/>
  <c r="Q397" i="2"/>
  <c r="R397" i="2"/>
  <c r="S397" i="2"/>
  <c r="T397" i="2"/>
  <c r="B398" i="2"/>
  <c r="C398" i="2"/>
  <c r="G398" i="2"/>
  <c r="H398" i="2"/>
  <c r="I398" i="2"/>
  <c r="K398" i="2"/>
  <c r="L398" i="2"/>
  <c r="M398" i="2"/>
  <c r="N398" i="2"/>
  <c r="O398" i="2"/>
  <c r="P398" i="2"/>
  <c r="Q398" i="2"/>
  <c r="R398" i="2"/>
  <c r="S398" i="2"/>
  <c r="T398" i="2"/>
  <c r="B399" i="2"/>
  <c r="C399" i="2"/>
  <c r="G399" i="2"/>
  <c r="H399" i="2"/>
  <c r="I399" i="2"/>
  <c r="K399" i="2"/>
  <c r="L399" i="2"/>
  <c r="M399" i="2"/>
  <c r="N399" i="2"/>
  <c r="O399" i="2"/>
  <c r="P399" i="2"/>
  <c r="Q399" i="2"/>
  <c r="R399" i="2"/>
  <c r="S399" i="2"/>
  <c r="T399" i="2"/>
  <c r="B400" i="2"/>
  <c r="C400" i="2"/>
  <c r="G400" i="2"/>
  <c r="H400" i="2"/>
  <c r="I400" i="2"/>
  <c r="K400" i="2"/>
  <c r="L400" i="2"/>
  <c r="M400" i="2"/>
  <c r="N400" i="2"/>
  <c r="O400" i="2"/>
  <c r="P400" i="2"/>
  <c r="Q400" i="2"/>
  <c r="R400" i="2"/>
  <c r="S400" i="2"/>
  <c r="T400" i="2"/>
  <c r="B401" i="2"/>
  <c r="C401" i="2"/>
  <c r="G401" i="2"/>
  <c r="H401" i="2"/>
  <c r="I401" i="2"/>
  <c r="K401" i="2"/>
  <c r="L401" i="2"/>
  <c r="M401" i="2"/>
  <c r="N401" i="2"/>
  <c r="O401" i="2"/>
  <c r="P401" i="2"/>
  <c r="Q401" i="2"/>
  <c r="R401" i="2"/>
  <c r="S401" i="2"/>
  <c r="T401" i="2"/>
  <c r="B402" i="2"/>
  <c r="C402" i="2"/>
  <c r="G402" i="2"/>
  <c r="H402" i="2"/>
  <c r="I402" i="2"/>
  <c r="K402" i="2"/>
  <c r="L402" i="2"/>
  <c r="M402" i="2"/>
  <c r="N402" i="2"/>
  <c r="O402" i="2"/>
  <c r="P402" i="2"/>
  <c r="Q402" i="2"/>
  <c r="R402" i="2"/>
  <c r="S402" i="2"/>
  <c r="T402" i="2"/>
  <c r="B403" i="2"/>
  <c r="C403" i="2"/>
  <c r="G403" i="2"/>
  <c r="H403" i="2"/>
  <c r="I403" i="2"/>
  <c r="K403" i="2"/>
  <c r="L403" i="2"/>
  <c r="M403" i="2"/>
  <c r="N403" i="2"/>
  <c r="O403" i="2"/>
  <c r="P403" i="2"/>
  <c r="Q403" i="2"/>
  <c r="R403" i="2"/>
  <c r="S403" i="2"/>
  <c r="T403" i="2"/>
  <c r="B404" i="2"/>
  <c r="C404" i="2"/>
  <c r="G404" i="2"/>
  <c r="H404" i="2"/>
  <c r="I404" i="2"/>
  <c r="K404" i="2"/>
  <c r="L404" i="2"/>
  <c r="M404" i="2"/>
  <c r="N404" i="2"/>
  <c r="O404" i="2"/>
  <c r="P404" i="2"/>
  <c r="Q404" i="2"/>
  <c r="R404" i="2"/>
  <c r="S404" i="2"/>
  <c r="T404" i="2"/>
  <c r="B405" i="2"/>
  <c r="C405" i="2"/>
  <c r="G405" i="2"/>
  <c r="H405" i="2"/>
  <c r="I405" i="2"/>
  <c r="K405" i="2"/>
  <c r="L405" i="2"/>
  <c r="M405" i="2"/>
  <c r="N405" i="2"/>
  <c r="O405" i="2"/>
  <c r="P405" i="2"/>
  <c r="Q405" i="2"/>
  <c r="R405" i="2"/>
  <c r="S405" i="2"/>
  <c r="T405" i="2"/>
  <c r="B406" i="2"/>
  <c r="C406" i="2"/>
  <c r="G406" i="2"/>
  <c r="H406" i="2"/>
  <c r="I406" i="2"/>
  <c r="K406" i="2"/>
  <c r="L406" i="2"/>
  <c r="M406" i="2"/>
  <c r="N406" i="2"/>
  <c r="O406" i="2"/>
  <c r="P406" i="2"/>
  <c r="Q406" i="2"/>
  <c r="R406" i="2"/>
  <c r="S406" i="2"/>
  <c r="T406" i="2"/>
  <c r="B407" i="2"/>
  <c r="C407" i="2"/>
  <c r="G407" i="2"/>
  <c r="H407" i="2"/>
  <c r="I407" i="2"/>
  <c r="K407" i="2"/>
  <c r="L407" i="2"/>
  <c r="M407" i="2"/>
  <c r="N407" i="2"/>
  <c r="O407" i="2"/>
  <c r="P407" i="2"/>
  <c r="Q407" i="2"/>
  <c r="R407" i="2"/>
  <c r="S407" i="2"/>
  <c r="T407" i="2"/>
  <c r="B408" i="2"/>
  <c r="C408" i="2"/>
  <c r="G408" i="2"/>
  <c r="H408" i="2"/>
  <c r="I408" i="2"/>
  <c r="K408" i="2"/>
  <c r="L408" i="2"/>
  <c r="M408" i="2"/>
  <c r="N408" i="2"/>
  <c r="O408" i="2"/>
  <c r="P408" i="2"/>
  <c r="Q408" i="2"/>
  <c r="R408" i="2"/>
  <c r="S408" i="2"/>
  <c r="T408" i="2"/>
  <c r="B409" i="2"/>
  <c r="C409" i="2"/>
  <c r="G409" i="2"/>
  <c r="H409" i="2"/>
  <c r="I409" i="2"/>
  <c r="K409" i="2"/>
  <c r="L409" i="2"/>
  <c r="M409" i="2"/>
  <c r="N409" i="2"/>
  <c r="O409" i="2"/>
  <c r="P409" i="2"/>
  <c r="Q409" i="2"/>
  <c r="R409" i="2"/>
  <c r="S409" i="2"/>
  <c r="T409" i="2"/>
  <c r="B410" i="2"/>
  <c r="C410" i="2"/>
  <c r="G410" i="2"/>
  <c r="H410" i="2"/>
  <c r="I410" i="2"/>
  <c r="K410" i="2"/>
  <c r="L410" i="2"/>
  <c r="M410" i="2"/>
  <c r="N410" i="2"/>
  <c r="O410" i="2"/>
  <c r="P410" i="2"/>
  <c r="Q410" i="2"/>
  <c r="R410" i="2"/>
  <c r="S410" i="2"/>
  <c r="T410" i="2"/>
  <c r="B411" i="2"/>
  <c r="C411" i="2"/>
  <c r="G411" i="2"/>
  <c r="H411" i="2"/>
  <c r="I411" i="2"/>
  <c r="K411" i="2"/>
  <c r="L411" i="2"/>
  <c r="M411" i="2"/>
  <c r="N411" i="2"/>
  <c r="O411" i="2"/>
  <c r="P411" i="2"/>
  <c r="Q411" i="2"/>
  <c r="R411" i="2"/>
  <c r="S411" i="2"/>
  <c r="T411" i="2"/>
  <c r="B412" i="2"/>
  <c r="C412" i="2"/>
  <c r="G412" i="2"/>
  <c r="H412" i="2"/>
  <c r="I412" i="2"/>
  <c r="K412" i="2"/>
  <c r="L412" i="2"/>
  <c r="M412" i="2"/>
  <c r="N412" i="2"/>
  <c r="O412" i="2"/>
  <c r="P412" i="2"/>
  <c r="Q412" i="2"/>
  <c r="R412" i="2"/>
  <c r="S412" i="2"/>
  <c r="T412" i="2"/>
  <c r="B413" i="2"/>
  <c r="C413" i="2"/>
  <c r="G413" i="2"/>
  <c r="H413" i="2"/>
  <c r="I413" i="2"/>
  <c r="K413" i="2"/>
  <c r="L413" i="2"/>
  <c r="M413" i="2"/>
  <c r="N413" i="2"/>
  <c r="O413" i="2"/>
  <c r="P413" i="2"/>
  <c r="Q413" i="2"/>
  <c r="R413" i="2"/>
  <c r="S413" i="2"/>
  <c r="T413" i="2"/>
  <c r="B414" i="2"/>
  <c r="C414" i="2"/>
  <c r="G414" i="2"/>
  <c r="H414" i="2"/>
  <c r="I414" i="2"/>
  <c r="K414" i="2"/>
  <c r="L414" i="2"/>
  <c r="M414" i="2"/>
  <c r="N414" i="2"/>
  <c r="O414" i="2"/>
  <c r="P414" i="2"/>
  <c r="Q414" i="2"/>
  <c r="R414" i="2"/>
  <c r="S414" i="2"/>
  <c r="T414" i="2"/>
  <c r="B415" i="2"/>
  <c r="C415" i="2"/>
  <c r="G415" i="2"/>
  <c r="H415" i="2"/>
  <c r="I415" i="2"/>
  <c r="K415" i="2"/>
  <c r="L415" i="2"/>
  <c r="M415" i="2"/>
  <c r="N415" i="2"/>
  <c r="O415" i="2"/>
  <c r="P415" i="2"/>
  <c r="Q415" i="2"/>
  <c r="R415" i="2"/>
  <c r="S415" i="2"/>
  <c r="T415" i="2"/>
  <c r="B416" i="2"/>
  <c r="C416" i="2"/>
  <c r="G416" i="2"/>
  <c r="H416" i="2"/>
  <c r="I416" i="2"/>
  <c r="K416" i="2"/>
  <c r="L416" i="2"/>
  <c r="M416" i="2"/>
  <c r="N416" i="2"/>
  <c r="O416" i="2"/>
  <c r="P416" i="2"/>
  <c r="Q416" i="2"/>
  <c r="R416" i="2"/>
  <c r="S416" i="2"/>
  <c r="T416" i="2"/>
  <c r="B417" i="2"/>
  <c r="C417" i="2"/>
  <c r="G417" i="2"/>
  <c r="H417" i="2"/>
  <c r="I417" i="2"/>
  <c r="K417" i="2"/>
  <c r="L417" i="2"/>
  <c r="M417" i="2"/>
  <c r="N417" i="2"/>
  <c r="O417" i="2"/>
  <c r="P417" i="2"/>
  <c r="Q417" i="2"/>
  <c r="R417" i="2"/>
  <c r="S417" i="2"/>
  <c r="T417" i="2"/>
  <c r="B418" i="2"/>
  <c r="C418" i="2"/>
  <c r="G418" i="2"/>
  <c r="H418" i="2"/>
  <c r="I418" i="2"/>
  <c r="K418" i="2"/>
  <c r="L418" i="2"/>
  <c r="M418" i="2"/>
  <c r="N418" i="2"/>
  <c r="O418" i="2"/>
  <c r="P418" i="2"/>
  <c r="Q418" i="2"/>
  <c r="R418" i="2"/>
  <c r="S418" i="2"/>
  <c r="T418" i="2"/>
  <c r="B419" i="2"/>
  <c r="C419" i="2"/>
  <c r="G419" i="2"/>
  <c r="H419" i="2"/>
  <c r="I419" i="2"/>
  <c r="K419" i="2"/>
  <c r="L419" i="2"/>
  <c r="M419" i="2"/>
  <c r="N419" i="2"/>
  <c r="O419" i="2"/>
  <c r="P419" i="2"/>
  <c r="Q419" i="2"/>
  <c r="R419" i="2"/>
  <c r="S419" i="2"/>
  <c r="T419" i="2"/>
  <c r="B420" i="2"/>
  <c r="C420" i="2"/>
  <c r="G420" i="2"/>
  <c r="H420" i="2"/>
  <c r="I420" i="2"/>
  <c r="K420" i="2"/>
  <c r="L420" i="2"/>
  <c r="M420" i="2"/>
  <c r="N420" i="2"/>
  <c r="O420" i="2"/>
  <c r="P420" i="2"/>
  <c r="Q420" i="2"/>
  <c r="R420" i="2"/>
  <c r="S420" i="2"/>
  <c r="T420" i="2"/>
  <c r="B421" i="2"/>
  <c r="C421" i="2"/>
  <c r="G421" i="2"/>
  <c r="H421" i="2"/>
  <c r="I421" i="2"/>
  <c r="K421" i="2"/>
  <c r="L421" i="2"/>
  <c r="M421" i="2"/>
  <c r="N421" i="2"/>
  <c r="O421" i="2"/>
  <c r="P421" i="2"/>
  <c r="Q421" i="2"/>
  <c r="R421" i="2"/>
  <c r="S421" i="2"/>
  <c r="T421" i="2"/>
  <c r="B422" i="2"/>
  <c r="C422" i="2"/>
  <c r="G422" i="2"/>
  <c r="H422" i="2"/>
  <c r="I422" i="2"/>
  <c r="K422" i="2"/>
  <c r="L422" i="2"/>
  <c r="M422" i="2"/>
  <c r="N422" i="2"/>
  <c r="O422" i="2"/>
  <c r="P422" i="2"/>
  <c r="Q422" i="2"/>
  <c r="R422" i="2"/>
  <c r="S422" i="2"/>
  <c r="T422" i="2"/>
  <c r="B423" i="2"/>
  <c r="C423" i="2"/>
  <c r="G423" i="2"/>
  <c r="H423" i="2"/>
  <c r="I423" i="2"/>
  <c r="K423" i="2"/>
  <c r="L423" i="2"/>
  <c r="M423" i="2"/>
  <c r="N423" i="2"/>
  <c r="O423" i="2"/>
  <c r="P423" i="2"/>
  <c r="Q423" i="2"/>
  <c r="R423" i="2"/>
  <c r="S423" i="2"/>
  <c r="T423" i="2"/>
  <c r="B424" i="2"/>
  <c r="C424" i="2"/>
  <c r="G424" i="2"/>
  <c r="H424" i="2"/>
  <c r="I424" i="2"/>
  <c r="K424" i="2"/>
  <c r="L424" i="2"/>
  <c r="M424" i="2"/>
  <c r="N424" i="2"/>
  <c r="O424" i="2"/>
  <c r="P424" i="2"/>
  <c r="Q424" i="2"/>
  <c r="R424" i="2"/>
  <c r="S424" i="2"/>
  <c r="T424" i="2"/>
  <c r="B425" i="2"/>
  <c r="C425" i="2"/>
  <c r="G425" i="2"/>
  <c r="H425" i="2"/>
  <c r="I425" i="2"/>
  <c r="K425" i="2"/>
  <c r="L425" i="2"/>
  <c r="M425" i="2"/>
  <c r="N425" i="2"/>
  <c r="O425" i="2"/>
  <c r="P425" i="2"/>
  <c r="Q425" i="2"/>
  <c r="R425" i="2"/>
  <c r="S425" i="2"/>
  <c r="T425" i="2"/>
  <c r="B426" i="2"/>
  <c r="C426" i="2"/>
  <c r="G426" i="2"/>
  <c r="H426" i="2"/>
  <c r="I426" i="2"/>
  <c r="K426" i="2"/>
  <c r="L426" i="2"/>
  <c r="M426" i="2"/>
  <c r="N426" i="2"/>
  <c r="O426" i="2"/>
  <c r="P426" i="2"/>
  <c r="Q426" i="2"/>
  <c r="R426" i="2"/>
  <c r="S426" i="2"/>
  <c r="T426" i="2"/>
  <c r="B427" i="2"/>
  <c r="C427" i="2"/>
  <c r="G427" i="2"/>
  <c r="H427" i="2"/>
  <c r="I427" i="2"/>
  <c r="K427" i="2"/>
  <c r="L427" i="2"/>
  <c r="M427" i="2"/>
  <c r="N427" i="2"/>
  <c r="O427" i="2"/>
  <c r="P427" i="2"/>
  <c r="Q427" i="2"/>
  <c r="R427" i="2"/>
  <c r="S427" i="2"/>
  <c r="T427" i="2"/>
  <c r="B428" i="2"/>
  <c r="C428" i="2"/>
  <c r="G428" i="2"/>
  <c r="H428" i="2"/>
  <c r="I428" i="2"/>
  <c r="K428" i="2"/>
  <c r="L428" i="2"/>
  <c r="M428" i="2"/>
  <c r="N428" i="2"/>
  <c r="O428" i="2"/>
  <c r="P428" i="2"/>
  <c r="Q428" i="2"/>
  <c r="R428" i="2"/>
  <c r="S428" i="2"/>
  <c r="T428" i="2"/>
  <c r="B429" i="2"/>
  <c r="C429" i="2"/>
  <c r="G429" i="2"/>
  <c r="H429" i="2"/>
  <c r="I429" i="2"/>
  <c r="K429" i="2"/>
  <c r="L429" i="2"/>
  <c r="M429" i="2"/>
  <c r="N429" i="2"/>
  <c r="O429" i="2"/>
  <c r="P429" i="2"/>
  <c r="Q429" i="2"/>
  <c r="R429" i="2"/>
  <c r="S429" i="2"/>
  <c r="T429" i="2"/>
  <c r="B430" i="2"/>
  <c r="C430" i="2"/>
  <c r="G430" i="2"/>
  <c r="H430" i="2"/>
  <c r="I430" i="2"/>
  <c r="K430" i="2"/>
  <c r="L430" i="2"/>
  <c r="M430" i="2"/>
  <c r="N430" i="2"/>
  <c r="O430" i="2"/>
  <c r="P430" i="2"/>
  <c r="Q430" i="2"/>
  <c r="R430" i="2"/>
  <c r="S430" i="2"/>
  <c r="T430" i="2"/>
  <c r="B431" i="2"/>
  <c r="C431" i="2"/>
  <c r="G431" i="2"/>
  <c r="H431" i="2"/>
  <c r="I431" i="2"/>
  <c r="K431" i="2"/>
  <c r="L431" i="2"/>
  <c r="M431" i="2"/>
  <c r="N431" i="2"/>
  <c r="O431" i="2"/>
  <c r="P431" i="2"/>
  <c r="Q431" i="2"/>
  <c r="R431" i="2"/>
  <c r="S431" i="2"/>
  <c r="T431" i="2"/>
  <c r="B432" i="2"/>
  <c r="C432" i="2"/>
  <c r="G432" i="2"/>
  <c r="H432" i="2"/>
  <c r="I432" i="2"/>
  <c r="K432" i="2"/>
  <c r="L432" i="2"/>
  <c r="M432" i="2"/>
  <c r="N432" i="2"/>
  <c r="O432" i="2"/>
  <c r="P432" i="2"/>
  <c r="Q432" i="2"/>
  <c r="R432" i="2"/>
  <c r="S432" i="2"/>
  <c r="T432" i="2"/>
  <c r="B433" i="2"/>
  <c r="C433" i="2"/>
  <c r="G433" i="2"/>
  <c r="H433" i="2"/>
  <c r="I433" i="2"/>
  <c r="K433" i="2"/>
  <c r="L433" i="2"/>
  <c r="M433" i="2"/>
  <c r="N433" i="2"/>
  <c r="O433" i="2"/>
  <c r="P433" i="2"/>
  <c r="Q433" i="2"/>
  <c r="R433" i="2"/>
  <c r="S433" i="2"/>
  <c r="T433" i="2"/>
  <c r="B434" i="2"/>
  <c r="C434" i="2"/>
  <c r="G434" i="2"/>
  <c r="H434" i="2"/>
  <c r="I434" i="2"/>
  <c r="K434" i="2"/>
  <c r="L434" i="2"/>
  <c r="M434" i="2"/>
  <c r="N434" i="2"/>
  <c r="O434" i="2"/>
  <c r="P434" i="2"/>
  <c r="Q434" i="2"/>
  <c r="R434" i="2"/>
  <c r="S434" i="2"/>
  <c r="T434" i="2"/>
  <c r="B435" i="2"/>
  <c r="C435" i="2"/>
  <c r="G435" i="2"/>
  <c r="H435" i="2"/>
  <c r="I435" i="2"/>
  <c r="K435" i="2"/>
  <c r="L435" i="2"/>
  <c r="M435" i="2"/>
  <c r="N435" i="2"/>
  <c r="O435" i="2"/>
  <c r="P435" i="2"/>
  <c r="Q435" i="2"/>
  <c r="R435" i="2"/>
  <c r="S435" i="2"/>
  <c r="T435" i="2"/>
  <c r="B436" i="2"/>
  <c r="C436" i="2"/>
  <c r="G436" i="2"/>
  <c r="H436" i="2"/>
  <c r="I436" i="2"/>
  <c r="K436" i="2"/>
  <c r="L436" i="2"/>
  <c r="M436" i="2"/>
  <c r="N436" i="2"/>
  <c r="O436" i="2"/>
  <c r="P436" i="2"/>
  <c r="Q436" i="2"/>
  <c r="R436" i="2"/>
  <c r="S436" i="2"/>
  <c r="T436" i="2"/>
  <c r="B437" i="2"/>
  <c r="C437" i="2"/>
  <c r="G437" i="2"/>
  <c r="H437" i="2"/>
  <c r="I437" i="2"/>
  <c r="K437" i="2"/>
  <c r="L437" i="2"/>
  <c r="M437" i="2"/>
  <c r="N437" i="2"/>
  <c r="O437" i="2"/>
  <c r="P437" i="2"/>
  <c r="Q437" i="2"/>
  <c r="R437" i="2"/>
  <c r="S437" i="2"/>
  <c r="T437" i="2"/>
  <c r="B438" i="2"/>
  <c r="C438" i="2"/>
  <c r="G438" i="2"/>
  <c r="H438" i="2"/>
  <c r="I438" i="2"/>
  <c r="K438" i="2"/>
  <c r="L438" i="2"/>
  <c r="M438" i="2"/>
  <c r="N438" i="2"/>
  <c r="O438" i="2"/>
  <c r="P438" i="2"/>
  <c r="Q438" i="2"/>
  <c r="R438" i="2"/>
  <c r="S438" i="2"/>
  <c r="T438" i="2"/>
  <c r="B439" i="2"/>
  <c r="C439" i="2"/>
  <c r="G439" i="2"/>
  <c r="H439" i="2"/>
  <c r="I439" i="2"/>
  <c r="K439" i="2"/>
  <c r="L439" i="2"/>
  <c r="M439" i="2"/>
  <c r="N439" i="2"/>
  <c r="O439" i="2"/>
  <c r="P439" i="2"/>
  <c r="Q439" i="2"/>
  <c r="R439" i="2"/>
  <c r="S439" i="2"/>
  <c r="T439" i="2"/>
  <c r="B440" i="2"/>
  <c r="C440" i="2"/>
  <c r="G440" i="2"/>
  <c r="H440" i="2"/>
  <c r="I440" i="2"/>
  <c r="K440" i="2"/>
  <c r="L440" i="2"/>
  <c r="M440" i="2"/>
  <c r="N440" i="2"/>
  <c r="O440" i="2"/>
  <c r="P440" i="2"/>
  <c r="Q440" i="2"/>
  <c r="R440" i="2"/>
  <c r="S440" i="2"/>
  <c r="T440" i="2"/>
  <c r="B441" i="2"/>
  <c r="C441" i="2"/>
  <c r="G441" i="2"/>
  <c r="H441" i="2"/>
  <c r="I441" i="2"/>
  <c r="K441" i="2"/>
  <c r="L441" i="2"/>
  <c r="M441" i="2"/>
  <c r="N441" i="2"/>
  <c r="O441" i="2"/>
  <c r="P441" i="2"/>
  <c r="Q441" i="2"/>
  <c r="R441" i="2"/>
  <c r="S441" i="2"/>
  <c r="T441" i="2"/>
  <c r="B442" i="2"/>
  <c r="C442" i="2"/>
  <c r="G442" i="2"/>
  <c r="H442" i="2"/>
  <c r="I442" i="2"/>
  <c r="K442" i="2"/>
  <c r="L442" i="2"/>
  <c r="M442" i="2"/>
  <c r="N442" i="2"/>
  <c r="O442" i="2"/>
  <c r="P442" i="2"/>
  <c r="Q442" i="2"/>
  <c r="R442" i="2"/>
  <c r="S442" i="2"/>
  <c r="T442" i="2"/>
  <c r="B443" i="2"/>
  <c r="C443" i="2"/>
  <c r="G443" i="2"/>
  <c r="H443" i="2"/>
  <c r="I443" i="2"/>
  <c r="K443" i="2"/>
  <c r="L443" i="2"/>
  <c r="M443" i="2"/>
  <c r="N443" i="2"/>
  <c r="O443" i="2"/>
  <c r="P443" i="2"/>
  <c r="Q443" i="2"/>
  <c r="R443" i="2"/>
  <c r="S443" i="2"/>
  <c r="T443" i="2"/>
  <c r="B444" i="2"/>
  <c r="C444" i="2"/>
  <c r="G444" i="2"/>
  <c r="H444" i="2"/>
  <c r="I444" i="2"/>
  <c r="K444" i="2"/>
  <c r="L444" i="2"/>
  <c r="M444" i="2"/>
  <c r="N444" i="2"/>
  <c r="O444" i="2"/>
  <c r="P444" i="2"/>
  <c r="Q444" i="2"/>
  <c r="R444" i="2"/>
  <c r="S444" i="2"/>
  <c r="T444" i="2"/>
  <c r="B445" i="2"/>
  <c r="C445" i="2"/>
  <c r="G445" i="2"/>
  <c r="H445" i="2"/>
  <c r="I445" i="2"/>
  <c r="K445" i="2"/>
  <c r="L445" i="2"/>
  <c r="M445" i="2"/>
  <c r="N445" i="2"/>
  <c r="O445" i="2"/>
  <c r="P445" i="2"/>
  <c r="Q445" i="2"/>
  <c r="R445" i="2"/>
  <c r="S445" i="2"/>
  <c r="T445" i="2"/>
  <c r="B446" i="2"/>
  <c r="C446" i="2"/>
  <c r="G446" i="2"/>
  <c r="H446" i="2"/>
  <c r="I446" i="2"/>
  <c r="K446" i="2"/>
  <c r="L446" i="2"/>
  <c r="M446" i="2"/>
  <c r="N446" i="2"/>
  <c r="O446" i="2"/>
  <c r="P446" i="2"/>
  <c r="Q446" i="2"/>
  <c r="R446" i="2"/>
  <c r="S446" i="2"/>
  <c r="T446" i="2"/>
  <c r="B447" i="2"/>
  <c r="C447" i="2"/>
  <c r="G447" i="2"/>
  <c r="H447" i="2"/>
  <c r="I447" i="2"/>
  <c r="K447" i="2"/>
  <c r="L447" i="2"/>
  <c r="M447" i="2"/>
  <c r="N447" i="2"/>
  <c r="O447" i="2"/>
  <c r="P447" i="2"/>
  <c r="Q447" i="2"/>
  <c r="R447" i="2"/>
  <c r="S447" i="2"/>
  <c r="T447" i="2"/>
  <c r="B448" i="2"/>
  <c r="C448" i="2"/>
  <c r="G448" i="2"/>
  <c r="H448" i="2"/>
  <c r="I448" i="2"/>
  <c r="K448" i="2"/>
  <c r="L448" i="2"/>
  <c r="M448" i="2"/>
  <c r="N448" i="2"/>
  <c r="O448" i="2"/>
  <c r="P448" i="2"/>
  <c r="Q448" i="2"/>
  <c r="R448" i="2"/>
  <c r="S448" i="2"/>
  <c r="T448" i="2"/>
  <c r="B449" i="2"/>
  <c r="C449" i="2"/>
  <c r="G449" i="2"/>
  <c r="H449" i="2"/>
  <c r="I449" i="2"/>
  <c r="K449" i="2"/>
  <c r="L449" i="2"/>
  <c r="M449" i="2"/>
  <c r="N449" i="2"/>
  <c r="O449" i="2"/>
  <c r="P449" i="2"/>
  <c r="Q449" i="2"/>
  <c r="R449" i="2"/>
  <c r="S449" i="2"/>
  <c r="T449" i="2"/>
  <c r="B450" i="2"/>
  <c r="C450" i="2"/>
  <c r="G450" i="2"/>
  <c r="H450" i="2"/>
  <c r="I450" i="2"/>
  <c r="K450" i="2"/>
  <c r="L450" i="2"/>
  <c r="M450" i="2"/>
  <c r="N450" i="2"/>
  <c r="O450" i="2"/>
  <c r="P450" i="2"/>
  <c r="Q450" i="2"/>
  <c r="R450" i="2"/>
  <c r="S450" i="2"/>
  <c r="T450" i="2"/>
  <c r="B451" i="2"/>
  <c r="C451" i="2"/>
  <c r="G451" i="2"/>
  <c r="H451" i="2"/>
  <c r="I451" i="2"/>
  <c r="K451" i="2"/>
  <c r="L451" i="2"/>
  <c r="M451" i="2"/>
  <c r="N451" i="2"/>
  <c r="O451" i="2"/>
  <c r="P451" i="2"/>
  <c r="Q451" i="2"/>
  <c r="R451" i="2"/>
  <c r="S451" i="2"/>
  <c r="T451" i="2"/>
  <c r="B452" i="2"/>
  <c r="C452" i="2"/>
  <c r="G452" i="2"/>
  <c r="H452" i="2"/>
  <c r="I452" i="2"/>
  <c r="K452" i="2"/>
  <c r="L452" i="2"/>
  <c r="M452" i="2"/>
  <c r="N452" i="2"/>
  <c r="O452" i="2"/>
  <c r="P452" i="2"/>
  <c r="Q452" i="2"/>
  <c r="R452" i="2"/>
  <c r="S452" i="2"/>
  <c r="T452" i="2"/>
  <c r="B453" i="2"/>
  <c r="C453" i="2"/>
  <c r="G453" i="2"/>
  <c r="H453" i="2"/>
  <c r="I453" i="2"/>
  <c r="K453" i="2"/>
  <c r="L453" i="2"/>
  <c r="M453" i="2"/>
  <c r="N453" i="2"/>
  <c r="O453" i="2"/>
  <c r="P453" i="2"/>
  <c r="Q453" i="2"/>
  <c r="R453" i="2"/>
  <c r="S453" i="2"/>
  <c r="T453" i="2"/>
  <c r="B454" i="2"/>
  <c r="C454" i="2"/>
  <c r="G454" i="2"/>
  <c r="H454" i="2"/>
  <c r="I454" i="2"/>
  <c r="K454" i="2"/>
  <c r="L454" i="2"/>
  <c r="M454" i="2"/>
  <c r="N454" i="2"/>
  <c r="O454" i="2"/>
  <c r="P454" i="2"/>
  <c r="Q454" i="2"/>
  <c r="R454" i="2"/>
  <c r="S454" i="2"/>
  <c r="T454" i="2"/>
  <c r="B455" i="2"/>
  <c r="C455" i="2"/>
  <c r="G455" i="2"/>
  <c r="H455" i="2"/>
  <c r="I455" i="2"/>
  <c r="K455" i="2"/>
  <c r="L455" i="2"/>
  <c r="M455" i="2"/>
  <c r="N455" i="2"/>
  <c r="O455" i="2"/>
  <c r="P455" i="2"/>
  <c r="Q455" i="2"/>
  <c r="R455" i="2"/>
  <c r="S455" i="2"/>
  <c r="T455" i="2"/>
  <c r="B456" i="2"/>
  <c r="C456" i="2"/>
  <c r="G456" i="2"/>
  <c r="H456" i="2"/>
  <c r="I456" i="2"/>
  <c r="K456" i="2"/>
  <c r="L456" i="2"/>
  <c r="M456" i="2"/>
  <c r="N456" i="2"/>
  <c r="O456" i="2"/>
  <c r="P456" i="2"/>
  <c r="Q456" i="2"/>
  <c r="R456" i="2"/>
  <c r="S456" i="2"/>
  <c r="T456" i="2"/>
  <c r="B457" i="2"/>
  <c r="C457" i="2"/>
  <c r="G457" i="2"/>
  <c r="H457" i="2"/>
  <c r="I457" i="2"/>
  <c r="K457" i="2"/>
  <c r="L457" i="2"/>
  <c r="M457" i="2"/>
  <c r="N457" i="2"/>
  <c r="O457" i="2"/>
  <c r="P457" i="2"/>
  <c r="Q457" i="2"/>
  <c r="R457" i="2"/>
  <c r="S457" i="2"/>
  <c r="T457" i="2"/>
  <c r="B458" i="2"/>
  <c r="C458" i="2"/>
  <c r="G458" i="2"/>
  <c r="H458" i="2"/>
  <c r="I458" i="2"/>
  <c r="K458" i="2"/>
  <c r="L458" i="2"/>
  <c r="M458" i="2"/>
  <c r="N458" i="2"/>
  <c r="O458" i="2"/>
  <c r="P458" i="2"/>
  <c r="Q458" i="2"/>
  <c r="R458" i="2"/>
  <c r="S458" i="2"/>
  <c r="T458" i="2"/>
  <c r="B459" i="2"/>
  <c r="C459" i="2"/>
  <c r="G459" i="2"/>
  <c r="H459" i="2"/>
  <c r="I459" i="2"/>
  <c r="K459" i="2"/>
  <c r="L459" i="2"/>
  <c r="M459" i="2"/>
  <c r="N459" i="2"/>
  <c r="O459" i="2"/>
  <c r="P459" i="2"/>
  <c r="Q459" i="2"/>
  <c r="R459" i="2"/>
  <c r="S459" i="2"/>
  <c r="T459" i="2"/>
  <c r="B460" i="2"/>
  <c r="C460" i="2"/>
  <c r="G460" i="2"/>
  <c r="H460" i="2"/>
  <c r="I460" i="2"/>
  <c r="K460" i="2"/>
  <c r="L460" i="2"/>
  <c r="M460" i="2"/>
  <c r="N460" i="2"/>
  <c r="O460" i="2"/>
  <c r="P460" i="2"/>
  <c r="Q460" i="2"/>
  <c r="R460" i="2"/>
  <c r="S460" i="2"/>
  <c r="T460" i="2"/>
  <c r="B461" i="2"/>
  <c r="C461" i="2"/>
  <c r="G461" i="2"/>
  <c r="H461" i="2"/>
  <c r="I461" i="2"/>
  <c r="K461" i="2"/>
  <c r="L461" i="2"/>
  <c r="M461" i="2"/>
  <c r="N461" i="2"/>
  <c r="O461" i="2"/>
  <c r="P461" i="2"/>
  <c r="Q461" i="2"/>
  <c r="R461" i="2"/>
  <c r="S461" i="2"/>
  <c r="T461" i="2"/>
  <c r="B462" i="2"/>
  <c r="C462" i="2"/>
  <c r="G462" i="2"/>
  <c r="H462" i="2"/>
  <c r="I462" i="2"/>
  <c r="K462" i="2"/>
  <c r="L462" i="2"/>
  <c r="M462" i="2"/>
  <c r="N462" i="2"/>
  <c r="O462" i="2"/>
  <c r="P462" i="2"/>
  <c r="Q462" i="2"/>
  <c r="R462" i="2"/>
  <c r="S462" i="2"/>
  <c r="T462" i="2"/>
  <c r="B463" i="2"/>
  <c r="C463" i="2"/>
  <c r="G463" i="2"/>
  <c r="H463" i="2"/>
  <c r="I463" i="2"/>
  <c r="K463" i="2"/>
  <c r="L463" i="2"/>
  <c r="M463" i="2"/>
  <c r="N463" i="2"/>
  <c r="O463" i="2"/>
  <c r="P463" i="2"/>
  <c r="Q463" i="2"/>
  <c r="R463" i="2"/>
  <c r="S463" i="2"/>
  <c r="T463" i="2"/>
  <c r="B464" i="2"/>
  <c r="C464" i="2"/>
  <c r="G464" i="2"/>
  <c r="H464" i="2"/>
  <c r="I464" i="2"/>
  <c r="K464" i="2"/>
  <c r="L464" i="2"/>
  <c r="M464" i="2"/>
  <c r="N464" i="2"/>
  <c r="O464" i="2"/>
  <c r="P464" i="2"/>
  <c r="Q464" i="2"/>
  <c r="R464" i="2"/>
  <c r="S464" i="2"/>
  <c r="T464" i="2"/>
  <c r="B465" i="2"/>
  <c r="C465" i="2"/>
  <c r="G465" i="2"/>
  <c r="H465" i="2"/>
  <c r="I465" i="2"/>
  <c r="K465" i="2"/>
  <c r="L465" i="2"/>
  <c r="M465" i="2"/>
  <c r="N465" i="2"/>
  <c r="O465" i="2"/>
  <c r="P465" i="2"/>
  <c r="Q465" i="2"/>
  <c r="R465" i="2"/>
  <c r="S465" i="2"/>
  <c r="T465" i="2"/>
  <c r="B466" i="2"/>
  <c r="C466" i="2"/>
  <c r="G466" i="2"/>
  <c r="H466" i="2"/>
  <c r="I466" i="2"/>
  <c r="K466" i="2"/>
  <c r="L466" i="2"/>
  <c r="M466" i="2"/>
  <c r="N466" i="2"/>
  <c r="O466" i="2"/>
  <c r="P466" i="2"/>
  <c r="Q466" i="2"/>
  <c r="R466" i="2"/>
  <c r="S466" i="2"/>
  <c r="T466" i="2"/>
  <c r="B467" i="2"/>
  <c r="C467" i="2"/>
  <c r="G467" i="2"/>
  <c r="H467" i="2"/>
  <c r="I467" i="2"/>
  <c r="K467" i="2"/>
  <c r="L467" i="2"/>
  <c r="M467" i="2"/>
  <c r="N467" i="2"/>
  <c r="O467" i="2"/>
  <c r="P467" i="2"/>
  <c r="Q467" i="2"/>
  <c r="R467" i="2"/>
  <c r="S467" i="2"/>
  <c r="T467" i="2"/>
  <c r="B468" i="2"/>
  <c r="C468" i="2"/>
  <c r="G468" i="2"/>
  <c r="H468" i="2"/>
  <c r="I468" i="2"/>
  <c r="K468" i="2"/>
  <c r="L468" i="2"/>
  <c r="M468" i="2"/>
  <c r="N468" i="2"/>
  <c r="O468" i="2"/>
  <c r="P468" i="2"/>
  <c r="Q468" i="2"/>
  <c r="R468" i="2"/>
  <c r="S468" i="2"/>
  <c r="T468" i="2"/>
  <c r="B469" i="2"/>
  <c r="C469" i="2"/>
  <c r="G469" i="2"/>
  <c r="H469" i="2"/>
  <c r="I469" i="2"/>
  <c r="K469" i="2"/>
  <c r="L469" i="2"/>
  <c r="M469" i="2"/>
  <c r="N469" i="2"/>
  <c r="O469" i="2"/>
  <c r="P469" i="2"/>
  <c r="Q469" i="2"/>
  <c r="R469" i="2"/>
  <c r="S469" i="2"/>
  <c r="T469" i="2"/>
  <c r="B470" i="2"/>
  <c r="C470" i="2"/>
  <c r="G470" i="2"/>
  <c r="H470" i="2"/>
  <c r="I470" i="2"/>
  <c r="K470" i="2"/>
  <c r="L470" i="2"/>
  <c r="M470" i="2"/>
  <c r="N470" i="2"/>
  <c r="O470" i="2"/>
  <c r="P470" i="2"/>
  <c r="Q470" i="2"/>
  <c r="R470" i="2"/>
  <c r="S470" i="2"/>
  <c r="T470" i="2"/>
  <c r="B471" i="2"/>
  <c r="C471" i="2"/>
  <c r="G471" i="2"/>
  <c r="H471" i="2"/>
  <c r="I471" i="2"/>
  <c r="K471" i="2"/>
  <c r="L471" i="2"/>
  <c r="M471" i="2"/>
  <c r="N471" i="2"/>
  <c r="O471" i="2"/>
  <c r="P471" i="2"/>
  <c r="Q471" i="2"/>
  <c r="R471" i="2"/>
  <c r="S471" i="2"/>
  <c r="T471" i="2"/>
  <c r="B472" i="2"/>
  <c r="C472" i="2"/>
  <c r="G472" i="2"/>
  <c r="H472" i="2"/>
  <c r="I472" i="2"/>
  <c r="K472" i="2"/>
  <c r="L472" i="2"/>
  <c r="M472" i="2"/>
  <c r="N472" i="2"/>
  <c r="O472" i="2"/>
  <c r="P472" i="2"/>
  <c r="Q472" i="2"/>
  <c r="R472" i="2"/>
  <c r="S472" i="2"/>
  <c r="T472" i="2"/>
  <c r="B473" i="2"/>
  <c r="C473" i="2"/>
  <c r="G473" i="2"/>
  <c r="H473" i="2"/>
  <c r="I473" i="2"/>
  <c r="K473" i="2"/>
  <c r="L473" i="2"/>
  <c r="M473" i="2"/>
  <c r="N473" i="2"/>
  <c r="O473" i="2"/>
  <c r="P473" i="2"/>
  <c r="Q473" i="2"/>
  <c r="R473" i="2"/>
  <c r="S473" i="2"/>
  <c r="T473" i="2"/>
  <c r="B474" i="2"/>
  <c r="C474" i="2"/>
  <c r="G474" i="2"/>
  <c r="H474" i="2"/>
  <c r="I474" i="2"/>
  <c r="K474" i="2"/>
  <c r="L474" i="2"/>
  <c r="M474" i="2"/>
  <c r="N474" i="2"/>
  <c r="O474" i="2"/>
  <c r="P474" i="2"/>
  <c r="Q474" i="2"/>
  <c r="R474" i="2"/>
  <c r="S474" i="2"/>
  <c r="T474" i="2"/>
  <c r="B475" i="2"/>
  <c r="C475" i="2"/>
  <c r="G475" i="2"/>
  <c r="H475" i="2"/>
  <c r="I475" i="2"/>
  <c r="K475" i="2"/>
  <c r="L475" i="2"/>
  <c r="M475" i="2"/>
  <c r="N475" i="2"/>
  <c r="O475" i="2"/>
  <c r="P475" i="2"/>
  <c r="Q475" i="2"/>
  <c r="R475" i="2"/>
  <c r="S475" i="2"/>
  <c r="T475" i="2"/>
  <c r="B476" i="2"/>
  <c r="C476" i="2"/>
  <c r="G476" i="2"/>
  <c r="H476" i="2"/>
  <c r="I476" i="2"/>
  <c r="K476" i="2"/>
  <c r="L476" i="2"/>
  <c r="M476" i="2"/>
  <c r="N476" i="2"/>
  <c r="O476" i="2"/>
  <c r="P476" i="2"/>
  <c r="Q476" i="2"/>
  <c r="R476" i="2"/>
  <c r="S476" i="2"/>
  <c r="T476" i="2"/>
  <c r="B477" i="2"/>
  <c r="C477" i="2"/>
  <c r="G477" i="2"/>
  <c r="H477" i="2"/>
  <c r="I477" i="2"/>
  <c r="K477" i="2"/>
  <c r="L477" i="2"/>
  <c r="M477" i="2"/>
  <c r="N477" i="2"/>
  <c r="O477" i="2"/>
  <c r="P477" i="2"/>
  <c r="Q477" i="2"/>
  <c r="R477" i="2"/>
  <c r="S477" i="2"/>
  <c r="T477" i="2"/>
  <c r="B478" i="2"/>
  <c r="C478" i="2"/>
  <c r="G478" i="2"/>
  <c r="H478" i="2"/>
  <c r="I478" i="2"/>
  <c r="K478" i="2"/>
  <c r="L478" i="2"/>
  <c r="M478" i="2"/>
  <c r="N478" i="2"/>
  <c r="O478" i="2"/>
  <c r="P478" i="2"/>
  <c r="Q478" i="2"/>
  <c r="R478" i="2"/>
  <c r="S478" i="2"/>
  <c r="T478" i="2"/>
  <c r="B479" i="2"/>
  <c r="C479" i="2"/>
  <c r="G479" i="2"/>
  <c r="H479" i="2"/>
  <c r="I479" i="2"/>
  <c r="K479" i="2"/>
  <c r="L479" i="2"/>
  <c r="M479" i="2"/>
  <c r="N479" i="2"/>
  <c r="O479" i="2"/>
  <c r="P479" i="2"/>
  <c r="Q479" i="2"/>
  <c r="R479" i="2"/>
  <c r="S479" i="2"/>
  <c r="T479" i="2"/>
  <c r="B480" i="2"/>
  <c r="C480" i="2"/>
  <c r="G480" i="2"/>
  <c r="H480" i="2"/>
  <c r="I480" i="2"/>
  <c r="K480" i="2"/>
  <c r="L480" i="2"/>
  <c r="M480" i="2"/>
  <c r="N480" i="2"/>
  <c r="O480" i="2"/>
  <c r="P480" i="2"/>
  <c r="Q480" i="2"/>
  <c r="R480" i="2"/>
  <c r="S480" i="2"/>
  <c r="T480" i="2"/>
  <c r="B481" i="2"/>
  <c r="C481" i="2"/>
  <c r="G481" i="2"/>
  <c r="H481" i="2"/>
  <c r="I481" i="2"/>
  <c r="K481" i="2"/>
  <c r="L481" i="2"/>
  <c r="M481" i="2"/>
  <c r="N481" i="2"/>
  <c r="O481" i="2"/>
  <c r="P481" i="2"/>
  <c r="Q481" i="2"/>
  <c r="R481" i="2"/>
  <c r="S481" i="2"/>
  <c r="T481" i="2"/>
  <c r="B482" i="2"/>
  <c r="C482" i="2"/>
  <c r="G482" i="2"/>
  <c r="H482" i="2"/>
  <c r="I482" i="2"/>
  <c r="K482" i="2"/>
  <c r="L482" i="2"/>
  <c r="M482" i="2"/>
  <c r="N482" i="2"/>
  <c r="O482" i="2"/>
  <c r="P482" i="2"/>
  <c r="Q482" i="2"/>
  <c r="R482" i="2"/>
  <c r="S482" i="2"/>
  <c r="T482" i="2"/>
  <c r="B483" i="2"/>
  <c r="C483" i="2"/>
  <c r="G483" i="2"/>
  <c r="H483" i="2"/>
  <c r="I483" i="2"/>
  <c r="K483" i="2"/>
  <c r="L483" i="2"/>
  <c r="M483" i="2"/>
  <c r="N483" i="2"/>
  <c r="O483" i="2"/>
  <c r="P483" i="2"/>
  <c r="Q483" i="2"/>
  <c r="R483" i="2"/>
  <c r="S483" i="2"/>
  <c r="T483" i="2"/>
  <c r="B484" i="2"/>
  <c r="C484" i="2"/>
  <c r="G484" i="2"/>
  <c r="H484" i="2"/>
  <c r="I484" i="2"/>
  <c r="K484" i="2"/>
  <c r="L484" i="2"/>
  <c r="M484" i="2"/>
  <c r="N484" i="2"/>
  <c r="O484" i="2"/>
  <c r="P484" i="2"/>
  <c r="Q484" i="2"/>
  <c r="R484" i="2"/>
  <c r="S484" i="2"/>
  <c r="T484" i="2"/>
  <c r="B485" i="2"/>
  <c r="C485" i="2"/>
  <c r="G485" i="2"/>
  <c r="H485" i="2"/>
  <c r="I485" i="2"/>
  <c r="K485" i="2"/>
  <c r="L485" i="2"/>
  <c r="M485" i="2"/>
  <c r="N485" i="2"/>
  <c r="O485" i="2"/>
  <c r="P485" i="2"/>
  <c r="Q485" i="2"/>
  <c r="R485" i="2"/>
  <c r="S485" i="2"/>
  <c r="T485" i="2"/>
  <c r="B486" i="2"/>
  <c r="C486" i="2"/>
  <c r="G486" i="2"/>
  <c r="H486" i="2"/>
  <c r="I486" i="2"/>
  <c r="K486" i="2"/>
  <c r="L486" i="2"/>
  <c r="M486" i="2"/>
  <c r="N486" i="2"/>
  <c r="O486" i="2"/>
  <c r="P486" i="2"/>
  <c r="Q486" i="2"/>
  <c r="R486" i="2"/>
  <c r="S486" i="2"/>
  <c r="T486" i="2"/>
  <c r="B487" i="2"/>
  <c r="C487" i="2"/>
  <c r="G487" i="2"/>
  <c r="H487" i="2"/>
  <c r="I487" i="2"/>
  <c r="K487" i="2"/>
  <c r="L487" i="2"/>
  <c r="M487" i="2"/>
  <c r="N487" i="2"/>
  <c r="O487" i="2"/>
  <c r="P487" i="2"/>
  <c r="Q487" i="2"/>
  <c r="R487" i="2"/>
  <c r="S487" i="2"/>
  <c r="T487" i="2"/>
  <c r="B488" i="2"/>
  <c r="C488" i="2"/>
  <c r="G488" i="2"/>
  <c r="H488" i="2"/>
  <c r="I488" i="2"/>
  <c r="K488" i="2"/>
  <c r="L488" i="2"/>
  <c r="M488" i="2"/>
  <c r="N488" i="2"/>
  <c r="O488" i="2"/>
  <c r="P488" i="2"/>
  <c r="Q488" i="2"/>
  <c r="R488" i="2"/>
  <c r="S488" i="2"/>
  <c r="T488" i="2"/>
  <c r="B489" i="2"/>
  <c r="C489" i="2"/>
  <c r="G489" i="2"/>
  <c r="H489" i="2"/>
  <c r="I489" i="2"/>
  <c r="K489" i="2"/>
  <c r="L489" i="2"/>
  <c r="M489" i="2"/>
  <c r="N489" i="2"/>
  <c r="O489" i="2"/>
  <c r="P489" i="2"/>
  <c r="Q489" i="2"/>
  <c r="R489" i="2"/>
  <c r="S489" i="2"/>
  <c r="T489" i="2"/>
  <c r="B490" i="2"/>
  <c r="C490" i="2"/>
  <c r="G490" i="2"/>
  <c r="H490" i="2"/>
  <c r="I490" i="2"/>
  <c r="K490" i="2"/>
  <c r="L490" i="2"/>
  <c r="M490" i="2"/>
  <c r="N490" i="2"/>
  <c r="O490" i="2"/>
  <c r="P490" i="2"/>
  <c r="Q490" i="2"/>
  <c r="R490" i="2"/>
  <c r="S490" i="2"/>
  <c r="T490" i="2"/>
  <c r="B491" i="2"/>
  <c r="C491" i="2"/>
  <c r="G491" i="2"/>
  <c r="H491" i="2"/>
  <c r="I491" i="2"/>
  <c r="K491" i="2"/>
  <c r="L491" i="2"/>
  <c r="M491" i="2"/>
  <c r="N491" i="2"/>
  <c r="O491" i="2"/>
  <c r="P491" i="2"/>
  <c r="Q491" i="2"/>
  <c r="R491" i="2"/>
  <c r="S491" i="2"/>
  <c r="T491" i="2"/>
  <c r="B492" i="2"/>
  <c r="C492" i="2"/>
  <c r="G492" i="2"/>
  <c r="H492" i="2"/>
  <c r="I492" i="2"/>
  <c r="K492" i="2"/>
  <c r="L492" i="2"/>
  <c r="M492" i="2"/>
  <c r="N492" i="2"/>
  <c r="O492" i="2"/>
  <c r="P492" i="2"/>
  <c r="Q492" i="2"/>
  <c r="R492" i="2"/>
  <c r="S492" i="2"/>
  <c r="T492" i="2"/>
  <c r="B493" i="2"/>
  <c r="C493" i="2"/>
  <c r="G493" i="2"/>
  <c r="H493" i="2"/>
  <c r="I493" i="2"/>
  <c r="K493" i="2"/>
  <c r="L493" i="2"/>
  <c r="M493" i="2"/>
  <c r="N493" i="2"/>
  <c r="O493" i="2"/>
  <c r="P493" i="2"/>
  <c r="Q493" i="2"/>
  <c r="R493" i="2"/>
  <c r="S493" i="2"/>
  <c r="T493" i="2"/>
  <c r="B494" i="2"/>
  <c r="C494" i="2"/>
  <c r="G494" i="2"/>
  <c r="H494" i="2"/>
  <c r="I494" i="2"/>
  <c r="K494" i="2"/>
  <c r="L494" i="2"/>
  <c r="M494" i="2"/>
  <c r="N494" i="2"/>
  <c r="O494" i="2"/>
  <c r="P494" i="2"/>
  <c r="Q494" i="2"/>
  <c r="R494" i="2"/>
  <c r="S494" i="2"/>
  <c r="T494" i="2"/>
  <c r="B495" i="2"/>
  <c r="C495" i="2"/>
  <c r="G495" i="2"/>
  <c r="H495" i="2"/>
  <c r="I495" i="2"/>
  <c r="K495" i="2"/>
  <c r="L495" i="2"/>
  <c r="M495" i="2"/>
  <c r="N495" i="2"/>
  <c r="O495" i="2"/>
  <c r="P495" i="2"/>
  <c r="Q495" i="2"/>
  <c r="R495" i="2"/>
  <c r="S495" i="2"/>
  <c r="T495" i="2"/>
  <c r="B496" i="2"/>
  <c r="C496" i="2"/>
  <c r="G496" i="2"/>
  <c r="H496" i="2"/>
  <c r="I496" i="2"/>
  <c r="K496" i="2"/>
  <c r="L496" i="2"/>
  <c r="M496" i="2"/>
  <c r="N496" i="2"/>
  <c r="O496" i="2"/>
  <c r="P496" i="2"/>
  <c r="Q496" i="2"/>
  <c r="R496" i="2"/>
  <c r="S496" i="2"/>
  <c r="T496" i="2"/>
  <c r="B497" i="2"/>
  <c r="C497" i="2"/>
  <c r="G497" i="2"/>
  <c r="H497" i="2"/>
  <c r="I497" i="2"/>
  <c r="K497" i="2"/>
  <c r="L497" i="2"/>
  <c r="M497" i="2"/>
  <c r="N497" i="2"/>
  <c r="O497" i="2"/>
  <c r="P497" i="2"/>
  <c r="Q497" i="2"/>
  <c r="R497" i="2"/>
  <c r="S497" i="2"/>
  <c r="T497" i="2"/>
  <c r="B498" i="2"/>
  <c r="C498" i="2"/>
  <c r="G498" i="2"/>
  <c r="H498" i="2"/>
  <c r="I498" i="2"/>
  <c r="K498" i="2"/>
  <c r="L498" i="2"/>
  <c r="M498" i="2"/>
  <c r="N498" i="2"/>
  <c r="O498" i="2"/>
  <c r="P498" i="2"/>
  <c r="Q498" i="2"/>
  <c r="R498" i="2"/>
  <c r="S498" i="2"/>
  <c r="T498" i="2"/>
  <c r="B499" i="2"/>
  <c r="C499" i="2"/>
  <c r="G499" i="2"/>
  <c r="H499" i="2"/>
  <c r="I499" i="2"/>
  <c r="K499" i="2"/>
  <c r="L499" i="2"/>
  <c r="M499" i="2"/>
  <c r="N499" i="2"/>
  <c r="O499" i="2"/>
  <c r="P499" i="2"/>
  <c r="Q499" i="2"/>
  <c r="R499" i="2"/>
  <c r="S499" i="2"/>
  <c r="T499" i="2"/>
  <c r="B500" i="2"/>
  <c r="C500" i="2"/>
  <c r="G500" i="2"/>
  <c r="H500" i="2"/>
  <c r="I500" i="2"/>
  <c r="K500" i="2"/>
  <c r="L500" i="2"/>
  <c r="M500" i="2"/>
  <c r="N500" i="2"/>
  <c r="O500" i="2"/>
  <c r="P500" i="2"/>
  <c r="Q500" i="2"/>
  <c r="R500" i="2"/>
  <c r="S500" i="2"/>
  <c r="T500" i="2"/>
  <c r="B501" i="2"/>
  <c r="C501" i="2"/>
  <c r="G501" i="2"/>
  <c r="H501" i="2"/>
  <c r="I501" i="2"/>
  <c r="K501" i="2"/>
  <c r="L501" i="2"/>
  <c r="M501" i="2"/>
  <c r="N501" i="2"/>
  <c r="O501" i="2"/>
  <c r="P501" i="2"/>
  <c r="Q501" i="2"/>
  <c r="R501" i="2"/>
  <c r="S501" i="2"/>
  <c r="T501" i="2"/>
  <c r="B502" i="2"/>
  <c r="C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B503" i="2"/>
  <c r="C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B504" i="2"/>
  <c r="C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B505" i="2"/>
  <c r="C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B506" i="2"/>
  <c r="C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B507" i="2"/>
  <c r="C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B508" i="2"/>
  <c r="C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B509" i="2"/>
  <c r="C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B510" i="2"/>
  <c r="C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B511" i="2"/>
  <c r="C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S511" i="2"/>
  <c r="T511" i="2"/>
  <c r="B512" i="2"/>
  <c r="C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S512" i="2"/>
  <c r="T512" i="2"/>
  <c r="B513" i="2"/>
  <c r="C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S513" i="2"/>
  <c r="T513" i="2"/>
  <c r="B514" i="2"/>
  <c r="C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S514" i="2"/>
  <c r="T514" i="2"/>
  <c r="B515" i="2"/>
  <c r="C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S515" i="2"/>
  <c r="T515" i="2"/>
  <c r="B516" i="2"/>
  <c r="C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B517" i="2"/>
  <c r="C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S517" i="2"/>
  <c r="T517" i="2"/>
  <c r="B518" i="2"/>
  <c r="C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S518" i="2"/>
  <c r="T518" i="2"/>
  <c r="B519" i="2"/>
  <c r="C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B520" i="2"/>
  <c r="C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S520" i="2"/>
  <c r="T520" i="2"/>
  <c r="B521" i="2"/>
  <c r="C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S521" i="2"/>
  <c r="T521" i="2"/>
  <c r="B522" i="2"/>
  <c r="C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S522" i="2"/>
  <c r="T522" i="2"/>
  <c r="B523" i="2"/>
  <c r="C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S523" i="2"/>
  <c r="T523" i="2"/>
  <c r="B524" i="2"/>
  <c r="C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S524" i="2"/>
  <c r="T524" i="2"/>
  <c r="B525" i="2"/>
  <c r="C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B526" i="2"/>
  <c r="C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S526" i="2"/>
  <c r="T526" i="2"/>
  <c r="B527" i="2"/>
  <c r="C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S527" i="2"/>
  <c r="T527" i="2"/>
  <c r="B528" i="2"/>
  <c r="C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S528" i="2"/>
  <c r="T528" i="2"/>
  <c r="B529" i="2"/>
  <c r="C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S529" i="2"/>
  <c r="T529" i="2"/>
  <c r="B530" i="2"/>
  <c r="C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S530" i="2"/>
  <c r="T530" i="2"/>
  <c r="B531" i="2"/>
  <c r="C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S531" i="2"/>
  <c r="T531" i="2"/>
  <c r="B532" i="2"/>
  <c r="C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S532" i="2"/>
  <c r="T532" i="2"/>
  <c r="B533" i="2"/>
  <c r="C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S533" i="2"/>
  <c r="T533" i="2"/>
  <c r="B534" i="2"/>
  <c r="C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S534" i="2"/>
  <c r="T534" i="2"/>
  <c r="B535" i="2"/>
  <c r="C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S535" i="2"/>
  <c r="T535" i="2"/>
  <c r="B536" i="2"/>
  <c r="C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S536" i="2"/>
  <c r="T536" i="2"/>
  <c r="B537" i="2"/>
  <c r="C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B538" i="2"/>
  <c r="C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B539" i="2"/>
  <c r="C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B540" i="2"/>
  <c r="C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S540" i="2"/>
  <c r="T540" i="2"/>
  <c r="B541" i="2"/>
  <c r="C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B542" i="2"/>
  <c r="C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B543" i="2"/>
  <c r="C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B544" i="2"/>
  <c r="C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B545" i="2"/>
  <c r="C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B546" i="2"/>
  <c r="C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B547" i="2"/>
  <c r="C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B548" i="2"/>
  <c r="C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B549" i="2"/>
  <c r="C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B550" i="2"/>
  <c r="C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B551" i="2"/>
  <c r="C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B552" i="2"/>
  <c r="C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B553" i="2"/>
  <c r="C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B554" i="2"/>
  <c r="C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B555" i="2"/>
  <c r="C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B556" i="2"/>
  <c r="C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B557" i="2"/>
  <c r="C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B558" i="2"/>
  <c r="C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B559" i="2"/>
  <c r="C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B560" i="2"/>
  <c r="C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B561" i="2"/>
  <c r="C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B562" i="2"/>
  <c r="C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B563" i="2"/>
  <c r="C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B564" i="2"/>
  <c r="C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B565" i="2"/>
  <c r="C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B566" i="2"/>
  <c r="C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B567" i="2"/>
  <c r="C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B568" i="2"/>
  <c r="C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B569" i="2"/>
  <c r="C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B570" i="2"/>
  <c r="C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B571" i="2"/>
  <c r="C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B572" i="2"/>
  <c r="C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B573" i="2"/>
  <c r="C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B574" i="2"/>
  <c r="C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B575" i="2"/>
  <c r="C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B576" i="2"/>
  <c r="C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B577" i="2"/>
  <c r="C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B578" i="2"/>
  <c r="C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B579" i="2"/>
  <c r="C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B580" i="2"/>
  <c r="C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B581" i="2"/>
  <c r="C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B582" i="2"/>
  <c r="C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B583" i="2"/>
  <c r="C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B584" i="2"/>
  <c r="C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B585" i="2"/>
  <c r="C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B586" i="2"/>
  <c r="C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B587" i="2"/>
  <c r="C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B588" i="2"/>
  <c r="C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B589" i="2"/>
  <c r="C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B590" i="2"/>
  <c r="C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B591" i="2"/>
  <c r="C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B592" i="2"/>
  <c r="C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B593" i="2"/>
  <c r="C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B594" i="2"/>
  <c r="C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B595" i="2"/>
  <c r="C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B596" i="2"/>
  <c r="C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B597" i="2"/>
  <c r="C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B598" i="2"/>
  <c r="C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B599" i="2"/>
  <c r="C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B600" i="2"/>
  <c r="C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B601" i="2"/>
  <c r="C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B602" i="2"/>
  <c r="C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B603" i="2"/>
  <c r="C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B604" i="2"/>
  <c r="C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B605" i="2"/>
  <c r="C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B606" i="2"/>
  <c r="C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B607" i="2"/>
  <c r="C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B608" i="2"/>
  <c r="C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B609" i="2"/>
  <c r="C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B610" i="2"/>
  <c r="C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B611" i="2"/>
  <c r="C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B612" i="2"/>
  <c r="C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B613" i="2"/>
  <c r="C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B614" i="2"/>
  <c r="C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B615" i="2"/>
  <c r="C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B616" i="2"/>
  <c r="C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B617" i="2"/>
  <c r="C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B618" i="2"/>
  <c r="C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B619" i="2"/>
  <c r="C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B620" i="2"/>
  <c r="C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B621" i="2"/>
  <c r="C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B622" i="2"/>
  <c r="C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B623" i="2"/>
  <c r="C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B624" i="2"/>
  <c r="C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B625" i="2"/>
  <c r="C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B626" i="2"/>
  <c r="C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B627" i="2"/>
  <c r="C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B628" i="2"/>
  <c r="C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B629" i="2"/>
  <c r="C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B630" i="2"/>
  <c r="C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B631" i="2"/>
  <c r="C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B632" i="2"/>
  <c r="C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B633" i="2"/>
  <c r="C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B634" i="2"/>
  <c r="C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B635" i="2"/>
  <c r="C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B636" i="2"/>
  <c r="C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B637" i="2"/>
  <c r="C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B638" i="2"/>
  <c r="C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B639" i="2"/>
  <c r="C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B640" i="2"/>
  <c r="C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B641" i="2"/>
  <c r="C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B642" i="2"/>
  <c r="C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B643" i="2"/>
  <c r="C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B644" i="2"/>
  <c r="C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B645" i="2"/>
  <c r="C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B646" i="2"/>
  <c r="C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B647" i="2"/>
  <c r="C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B648" i="2"/>
  <c r="C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B649" i="2"/>
  <c r="C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B650" i="2"/>
  <c r="C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B651" i="2"/>
  <c r="C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B652" i="2"/>
  <c r="C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B653" i="2"/>
  <c r="C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B654" i="2"/>
  <c r="C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B655" i="2"/>
  <c r="C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B656" i="2"/>
  <c r="C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B657" i="2"/>
  <c r="C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B658" i="2"/>
  <c r="C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B659" i="2"/>
  <c r="C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B660" i="2"/>
  <c r="C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B661" i="2"/>
  <c r="C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B662" i="2"/>
  <c r="C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B663" i="2"/>
  <c r="C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B664" i="2"/>
  <c r="C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B665" i="2"/>
  <c r="C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B666" i="2"/>
  <c r="C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B667" i="2"/>
  <c r="C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B668" i="2"/>
  <c r="C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B669" i="2"/>
  <c r="C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B670" i="2"/>
  <c r="C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B671" i="2"/>
  <c r="C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B672" i="2"/>
  <c r="C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B673" i="2"/>
  <c r="C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B674" i="2"/>
  <c r="C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B675" i="2"/>
  <c r="C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B676" i="2"/>
  <c r="C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B677" i="2"/>
  <c r="C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B678" i="2"/>
  <c r="C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B679" i="2"/>
  <c r="C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B680" i="2"/>
  <c r="C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B681" i="2"/>
  <c r="C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B682" i="2"/>
  <c r="C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B683" i="2"/>
  <c r="C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B684" i="2"/>
  <c r="C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B685" i="2"/>
  <c r="C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B686" i="2"/>
  <c r="C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B687" i="2"/>
  <c r="C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B688" i="2"/>
  <c r="C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B689" i="2"/>
  <c r="C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B690" i="2"/>
  <c r="C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B691" i="2"/>
  <c r="C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B692" i="2"/>
  <c r="C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B693" i="2"/>
  <c r="C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B694" i="2"/>
  <c r="C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B695" i="2"/>
  <c r="C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B696" i="2"/>
  <c r="C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B697" i="2"/>
  <c r="C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B698" i="2"/>
  <c r="C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B699" i="2"/>
  <c r="C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B700" i="2"/>
  <c r="C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B701" i="2"/>
  <c r="C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B702" i="2"/>
  <c r="C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B703" i="2"/>
  <c r="C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B704" i="2"/>
  <c r="C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B705" i="2"/>
  <c r="C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B706" i="2"/>
  <c r="C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B707" i="2"/>
  <c r="C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B708" i="2"/>
  <c r="C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B709" i="2"/>
  <c r="C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B710" i="2"/>
  <c r="C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B711" i="2"/>
  <c r="C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B712" i="2"/>
  <c r="C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B713" i="2"/>
  <c r="C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B714" i="2"/>
  <c r="C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B715" i="2"/>
  <c r="C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B716" i="2"/>
  <c r="C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B717" i="2"/>
  <c r="C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B718" i="2"/>
  <c r="C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B719" i="2"/>
  <c r="C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B720" i="2"/>
  <c r="C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B721" i="2"/>
  <c r="C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B722" i="2"/>
  <c r="C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B723" i="2"/>
  <c r="C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B724" i="2"/>
  <c r="C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B725" i="2"/>
  <c r="C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B726" i="2"/>
  <c r="C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B727" i="2"/>
  <c r="C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B728" i="2"/>
  <c r="C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B729" i="2"/>
  <c r="C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B730" i="2"/>
  <c r="C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B731" i="2"/>
  <c r="C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B732" i="2"/>
  <c r="C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B733" i="2"/>
  <c r="C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B734" i="2"/>
  <c r="C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B735" i="2"/>
  <c r="C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B736" i="2"/>
  <c r="C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B737" i="2"/>
  <c r="C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B738" i="2"/>
  <c r="C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B739" i="2"/>
  <c r="C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B740" i="2"/>
  <c r="C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B741" i="2"/>
  <c r="C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B742" i="2"/>
  <c r="C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Q6" i="2"/>
  <c r="R6" i="2"/>
  <c r="S6" i="2"/>
  <c r="T6" i="2"/>
  <c r="P6" i="2"/>
  <c r="O6" i="2"/>
  <c r="N6" i="2"/>
  <c r="M6" i="2"/>
  <c r="L6" i="2"/>
  <c r="K6" i="2"/>
  <c r="I6" i="2"/>
  <c r="H6" i="2"/>
  <c r="G6" i="2"/>
  <c r="C6" i="2"/>
  <c r="B6" i="2"/>
  <c r="AD5" i="1" l="1"/>
  <c r="AC5" i="1"/>
</calcChain>
</file>

<file path=xl/sharedStrings.xml><?xml version="1.0" encoding="utf-8"?>
<sst xmlns="http://schemas.openxmlformats.org/spreadsheetml/2006/main" count="401" uniqueCount="184">
  <si>
    <t>GDP_M</t>
  </si>
  <si>
    <t>BOEAS_CS</t>
  </si>
  <si>
    <t>IoP</t>
  </si>
  <si>
    <t>IoS</t>
  </si>
  <si>
    <t>UR</t>
  </si>
  <si>
    <t>EMP</t>
  </si>
  <si>
    <t>Exports</t>
  </si>
  <si>
    <t>Imports</t>
  </si>
  <si>
    <t>Vacancies</t>
  </si>
  <si>
    <t>IoP_RY</t>
  </si>
  <si>
    <t>ecy2.m</t>
  </si>
  <si>
    <t>m</t>
  </si>
  <si>
    <t>k222.m</t>
  </si>
  <si>
    <t>ecyc_dp.m</t>
  </si>
  <si>
    <t>UK BOE AGENTS SCORES: TURNOVER - CONSUMER SERVICES NADJ</t>
  </si>
  <si>
    <t>UK INDEX OF PRODUCTION - ALL PRODUCTION INDUSTRIES VOLA</t>
  </si>
  <si>
    <t>UK INDEX OF SERVICES - TOTAL VOLA</t>
  </si>
  <si>
    <t>UK LFS: UNEMPLOYMENT RATE, ALL, AGED 16 &amp; OVER SADJ</t>
  </si>
  <si>
    <t>UK LFS: IN EMPLOYMENT, ALL, AGED 16-64 VOLA</t>
  </si>
  <si>
    <t>UK ITS EXPORTS F.O.B. TOTAL CURA</t>
  </si>
  <si>
    <t>UK ITS IMPORTS C.I.F. TOTAL CURA</t>
  </si>
  <si>
    <t>UK JOB VACANCIES (STANDARDIZED) VOLA</t>
  </si>
  <si>
    <t>UK GDP: GROSS VALUE ADDED (BASIC PRICES) VOLA</t>
  </si>
  <si>
    <t>Unemployment Rate (Ry’s long run series)</t>
  </si>
  <si>
    <t>Vacancies (Ry’s Long Run Series)</t>
  </si>
  <si>
    <t>Index of Production (Ry’s LR series (not sure if it’s needed)</t>
  </si>
  <si>
    <t>GVA</t>
  </si>
  <si>
    <t>$A$6</t>
  </si>
  <si>
    <t>$B$6</t>
  </si>
  <si>
    <t>bqkq.m</t>
  </si>
  <si>
    <t>bqko.m</t>
  </si>
  <si>
    <t>vtvx.m</t>
  </si>
  <si>
    <t>PPI Output</t>
  </si>
  <si>
    <t>CPI all items</t>
  </si>
  <si>
    <t>RPI all items</t>
  </si>
  <si>
    <t>RPI ex Mortgages Interest Payments (RPIX)</t>
  </si>
  <si>
    <t>PPI Input</t>
  </si>
  <si>
    <t>Nationwide House Price MoM</t>
  </si>
  <si>
    <t>Average Weekly Earnings</t>
  </si>
  <si>
    <t>Claimant Count Rate</t>
  </si>
  <si>
    <t>New Cars Registrations</t>
  </si>
  <si>
    <t>Oil Brent</t>
  </si>
  <si>
    <t xml:space="preserve">CPI </t>
  </si>
  <si>
    <t xml:space="preserve">M4SA.M </t>
  </si>
  <si>
    <t>bcjd.m</t>
  </si>
  <si>
    <t>conv2ma(oilbrnp_p.B)</t>
  </si>
  <si>
    <t>conv2ma(ukbrbase.b)</t>
  </si>
  <si>
    <t>conv2ma(BP0003M.B)</t>
  </si>
  <si>
    <t>conv2ma(asx.b)</t>
  </si>
  <si>
    <t>conv2ma(seri.b)</t>
  </si>
  <si>
    <t>conv2ma(mcx.b)</t>
  </si>
  <si>
    <t>conv2ma(ukfoceq.b)</t>
  </si>
  <si>
    <t>conv2ma(spx.b)</t>
  </si>
  <si>
    <t>conv2ma(djeurst_pi.B)</t>
  </si>
  <si>
    <t>conv2ma(vix.b)</t>
  </si>
  <si>
    <t>conv2ma(FT01MOATMV.b)</t>
  </si>
  <si>
    <t>$C$6</t>
  </si>
  <si>
    <t>$D$6</t>
  </si>
  <si>
    <t>overlay(kab9_hist.m,kab9_dp.m)</t>
  </si>
  <si>
    <t>CONV2mA(Convert(VRPFRWD(INF,UK,5,5),monthly,constant,averaged))</t>
  </si>
  <si>
    <t>Core CPI</t>
  </si>
  <si>
    <t>HOURS WORKED</t>
  </si>
  <si>
    <t xml:space="preserve">Hours  </t>
  </si>
  <si>
    <t>Labour market</t>
  </si>
  <si>
    <t>Prices</t>
  </si>
  <si>
    <t>AWE</t>
  </si>
  <si>
    <t>CoreCPI</t>
  </si>
  <si>
    <t>RPIX</t>
  </si>
  <si>
    <t>PPIout</t>
  </si>
  <si>
    <t>PPIin</t>
  </si>
  <si>
    <t>HPr</t>
  </si>
  <si>
    <t>UK GDP monthly, SA</t>
  </si>
  <si>
    <t>SA</t>
  </si>
  <si>
    <t>Production, Services and Trade</t>
  </si>
  <si>
    <t>VISA_SA.m</t>
  </si>
  <si>
    <t>cipsmba.m</t>
  </si>
  <si>
    <t>CIPSCBA.m</t>
  </si>
  <si>
    <t>CIPSSBA.m</t>
  </si>
  <si>
    <t>CGRPLT.m</t>
  </si>
  <si>
    <t>CGRP.m</t>
  </si>
  <si>
    <t>MonthlyFAME</t>
  </si>
  <si>
    <t>q</t>
  </si>
  <si>
    <t>abmi.q</t>
  </si>
  <si>
    <t>ons.uk.hhd.abjr.q</t>
  </si>
  <si>
    <t>ons.uk.ado.npqt.q</t>
  </si>
  <si>
    <t>CONS</t>
  </si>
  <si>
    <t>INV</t>
  </si>
  <si>
    <t>GDP-q</t>
  </si>
  <si>
    <t>dates</t>
  </si>
  <si>
    <t>QuarterlyFAME</t>
  </si>
  <si>
    <t>no transform</t>
  </si>
  <si>
    <t>first diff</t>
  </si>
  <si>
    <t>x12(TOTCARS.M,mult,$A$2,L)</t>
  </si>
  <si>
    <t>x12(d7bt3dpm.m,mult,$A$2,L)</t>
  </si>
  <si>
    <t>x12(chaw.m,mult,$A$2,L)</t>
  </si>
  <si>
    <t>x12(chmk.m,mult,$A$2,L)</t>
  </si>
  <si>
    <t>x12(gb7s.m,mult,$A$2,L)</t>
  </si>
  <si>
    <t>x12(ghip.m,mult,$A$2,L)</t>
  </si>
  <si>
    <t>x12(NWHPISA.M,mult,$A$2,L)</t>
  </si>
  <si>
    <t>x12</t>
  </si>
  <si>
    <t>transform</t>
  </si>
  <si>
    <t>Transform</t>
  </si>
  <si>
    <t>log</t>
  </si>
  <si>
    <t>count</t>
  </si>
  <si>
    <t xml:space="preserve">GDP </t>
  </si>
  <si>
    <t xml:space="preserve">Production, Services, Trade </t>
  </si>
  <si>
    <t xml:space="preserve">Labour market </t>
  </si>
  <si>
    <t xml:space="preserve">Prices </t>
  </si>
  <si>
    <t>$S$7</t>
  </si>
  <si>
    <t>$AQ$7</t>
  </si>
  <si>
    <t>$F$7</t>
  </si>
  <si>
    <t>$I$7</t>
  </si>
  <si>
    <t>$G$7</t>
  </si>
  <si>
    <t>$AR$7</t>
  </si>
  <si>
    <t>$H$7</t>
  </si>
  <si>
    <t>$AP$7</t>
  </si>
  <si>
    <t>$AO$7</t>
  </si>
  <si>
    <t>$N$7</t>
  </si>
  <si>
    <t>$J$7</t>
  </si>
  <si>
    <t>$D$7</t>
  </si>
  <si>
    <t>$AD$7</t>
  </si>
  <si>
    <t>$AI$7</t>
  </si>
  <si>
    <t>$AZ$8</t>
  </si>
  <si>
    <t>$AY$8</t>
  </si>
  <si>
    <t>$AN$7</t>
  </si>
  <si>
    <t>$P$7</t>
  </si>
  <si>
    <t>$AB$7</t>
  </si>
  <si>
    <t>$C$7</t>
  </si>
  <si>
    <t>$O$7</t>
  </si>
  <si>
    <t>$AL$7</t>
  </si>
  <si>
    <t>$AC$7</t>
  </si>
  <si>
    <t>$AH$7</t>
  </si>
  <si>
    <t>$AG$7</t>
  </si>
  <si>
    <t>$AF$7</t>
  </si>
  <si>
    <t>$AM$7</t>
  </si>
  <si>
    <t>$AK$7</t>
  </si>
  <si>
    <t>$R$7</t>
  </si>
  <si>
    <t>$AE$7</t>
  </si>
  <si>
    <t>$T$7</t>
  </si>
  <si>
    <t>$Q$7</t>
  </si>
  <si>
    <t>$K$7</t>
  </si>
  <si>
    <t>$AJ$7</t>
  </si>
  <si>
    <t>$E$7</t>
  </si>
  <si>
    <t>$L$7</t>
  </si>
  <si>
    <t>$W$7</t>
  </si>
  <si>
    <t>$X$7</t>
  </si>
  <si>
    <t>$Y$7</t>
  </si>
  <si>
    <t>$Z$7</t>
  </si>
  <si>
    <t>$AA$7</t>
  </si>
  <si>
    <t>$U$7</t>
  </si>
  <si>
    <t>$V$7</t>
  </si>
  <si>
    <t>$M$7</t>
  </si>
  <si>
    <t>y-o-y log diff</t>
  </si>
  <si>
    <t>log first diff</t>
  </si>
  <si>
    <t>cbiout.m</t>
  </si>
  <si>
    <t>totreq1.m</t>
  </si>
  <si>
    <t>totexq1.m</t>
  </si>
  <si>
    <t>RPI</t>
  </si>
  <si>
    <t>Exp</t>
  </si>
  <si>
    <t>Imp</t>
  </si>
  <si>
    <t>Claimant</t>
  </si>
  <si>
    <t>GDP_Q</t>
  </si>
  <si>
    <t xml:space="preserve">Hours </t>
  </si>
  <si>
    <t>CPI</t>
  </si>
  <si>
    <t>Oil</t>
  </si>
  <si>
    <t>HOURS</t>
  </si>
  <si>
    <t>ybus.q*13</t>
  </si>
  <si>
    <t>$B$7</t>
  </si>
  <si>
    <t>$A$7</t>
  </si>
  <si>
    <t>$E$6</t>
  </si>
  <si>
    <t>FAMEDATE</t>
  </si>
  <si>
    <t/>
  </si>
  <si>
    <t>gfkecbalsa.m</t>
  </si>
  <si>
    <t>ybus.m[t-1]</t>
  </si>
  <si>
    <t>mgrz.m[t-1]</t>
  </si>
  <si>
    <t>100*mgsc.m[t-1]/(mgrz.m[t-1]+mgsc.m[t-1])</t>
  </si>
  <si>
    <t>ap2y.m[t-1]</t>
  </si>
  <si>
    <t>a23_ckp_fin.q</t>
  </si>
  <si>
    <t>a23_outputgap_fin.q</t>
  </si>
  <si>
    <t>A1:A256</t>
  </si>
  <si>
    <t>$G$6</t>
  </si>
  <si>
    <t>$F$6</t>
  </si>
  <si>
    <t>A1:A780</t>
  </si>
  <si>
    <t>MonthlyData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</si>
</sst>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7030A0"/>
      <name val="Calibri"/>
      <family val="2"/>
    </font>
    <font>
      <sz val="8"/>
      <name val="Calibri"/>
      <family val="2"/>
    </font>
    <font>
      <sz val="11"/>
      <color rgb="FF7030A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8"/>
      <color rgb="FF333333"/>
      <name val="Consolas"/>
      <family val="3"/>
    </font>
    <font>
      <sz val="8"/>
      <color theme="5" tint="-0.249977111117893"/>
      <name val="Consolas"/>
      <family val="3"/>
    </font>
    <font>
      <b/>
      <sz val="7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2" borderId="0" xfId="0" applyFill="1"/>
    <xf numFmtId="0" fontId="9" fillId="0" borderId="0" xfId="0" applyFont="1"/>
    <xf numFmtId="0" fontId="8" fillId="0" borderId="0" xfId="0" applyFont="1"/>
    <xf numFmtId="0" fontId="0" fillId="0" borderId="0" xfId="0" quotePrefix="1"/>
    <xf numFmtId="22" fontId="0" fillId="0" borderId="0" xfId="0" applyNumberFormat="1"/>
    <xf numFmtId="19" fontId="0" fillId="0" borderId="0" xfId="0" applyNumberFormat="1"/>
    <xf numFmtId="0" fontId="3" fillId="0" borderId="0" xfId="0" applyFont="1" applyAlignment="1">
      <alignment wrapText="1"/>
    </xf>
    <xf numFmtId="0" fontId="1" fillId="0" borderId="0" xfId="0" applyFont="1"/>
    <xf numFmtId="0" fontId="0" fillId="3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wrapText="1"/>
    </xf>
    <xf numFmtId="164" fontId="10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4" fontId="11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13" fillId="0" borderId="0" xfId="0" applyFont="1"/>
    <xf numFmtId="1" fontId="0" fillId="4" borderId="0" xfId="0" applyNumberFormat="1" applyFill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330941/Desktop/MA%20pool%20potential%20output%202021/DFM/Clean_Codes_GP/data/UK_macro_data/MF_DFM_resta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Program%20Files/Microsoft%20Office/root/Office16/LIBRARY/populator.xlam" TargetMode="External"/><Relationship Id="rId1" Type="http://schemas.microsoft.com/office/2006/relationships/xlExternalLinkPath/xlLibrary" Target="populator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fp-nwsrv/data/Cross%20Divisional%20Work/PO%20project/code/DFM_restat/Clean_Codes_GP/data/UK_macro_data/MF_DFM_FAME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awData"/>
      <sheetName val="Monthly"/>
      <sheetName val="Quarterly"/>
    </sheetNames>
    <sheetDataSet>
      <sheetData sheetId="0"/>
      <sheetData sheetId="1">
        <row r="3">
          <cell r="AD3" t="str">
            <v>UR_RY</v>
          </cell>
          <cell r="AE3" t="str">
            <v>Vacancies_RY</v>
          </cell>
        </row>
      </sheetData>
      <sheetData sheetId="2">
        <row r="3">
          <cell r="Q3">
            <v>0.35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opulator"/>
    </sheetNames>
    <definedNames>
      <definedName name="FAMEData"/>
    </defined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MonthlyFAME"/>
      <sheetName val="MonthlyData"/>
      <sheetName val="QuarterlyFAME"/>
      <sheetName val="QuarterlyData"/>
      <sheetName val="DailyWeeklyData"/>
    </sheetNames>
    <sheetDataSet>
      <sheetData sheetId="0" refreshError="1"/>
      <sheetData sheetId="1" refreshError="1"/>
      <sheetData sheetId="2" refreshError="1"/>
      <sheetData sheetId="3" refreshError="1">
        <row r="6">
          <cell r="E6" t="str">
            <v/>
          </cell>
        </row>
        <row r="50">
          <cell r="E50">
            <v>11235.9</v>
          </cell>
        </row>
        <row r="51">
          <cell r="E51">
            <v>11216.4</v>
          </cell>
        </row>
        <row r="52">
          <cell r="E52">
            <v>11196.9</v>
          </cell>
        </row>
        <row r="53">
          <cell r="E53">
            <v>11202.1</v>
          </cell>
        </row>
        <row r="54">
          <cell r="E54">
            <v>11293.1</v>
          </cell>
        </row>
        <row r="55">
          <cell r="E55">
            <v>11350.300000000001</v>
          </cell>
        </row>
        <row r="56">
          <cell r="E56">
            <v>11397.1</v>
          </cell>
        </row>
        <row r="57">
          <cell r="E57">
            <v>11464.699999999999</v>
          </cell>
        </row>
        <row r="58">
          <cell r="E58">
            <v>11577.800000000001</v>
          </cell>
        </row>
        <row r="59">
          <cell r="E59">
            <v>11624.6</v>
          </cell>
        </row>
        <row r="60">
          <cell r="E60">
            <v>11618.1</v>
          </cell>
        </row>
        <row r="61">
          <cell r="E61">
            <v>11620.699999999999</v>
          </cell>
        </row>
        <row r="62">
          <cell r="E62">
            <v>11590.800000000001</v>
          </cell>
        </row>
        <row r="63">
          <cell r="E63">
            <v>11564.800000000001</v>
          </cell>
        </row>
        <row r="64">
          <cell r="E64">
            <v>11545.300000000001</v>
          </cell>
        </row>
        <row r="65">
          <cell r="E65">
            <v>11485.5</v>
          </cell>
        </row>
        <row r="66">
          <cell r="E66">
            <v>11399.699999999999</v>
          </cell>
        </row>
        <row r="67">
          <cell r="E67">
            <v>11328.199999999999</v>
          </cell>
        </row>
        <row r="68">
          <cell r="E68">
            <v>11276.199999999999</v>
          </cell>
        </row>
        <row r="69">
          <cell r="E69">
            <v>11226.800000000001</v>
          </cell>
        </row>
        <row r="70">
          <cell r="E70">
            <v>11190.4</v>
          </cell>
        </row>
        <row r="71">
          <cell r="E71">
            <v>11181.300000000001</v>
          </cell>
        </row>
        <row r="72">
          <cell r="E72">
            <v>11193</v>
          </cell>
        </row>
        <row r="73">
          <cell r="E73">
            <v>11224.199999999999</v>
          </cell>
        </row>
        <row r="74">
          <cell r="E74">
            <v>11252.800000000001</v>
          </cell>
        </row>
        <row r="75">
          <cell r="E75">
            <v>11267.1</v>
          </cell>
        </row>
        <row r="76">
          <cell r="E76">
            <v>11274.9</v>
          </cell>
        </row>
        <row r="77">
          <cell r="E77">
            <v>11281.4</v>
          </cell>
        </row>
        <row r="78">
          <cell r="E78">
            <v>11297</v>
          </cell>
        </row>
        <row r="79">
          <cell r="E79">
            <v>11312.6</v>
          </cell>
        </row>
        <row r="80">
          <cell r="E80">
            <v>11336</v>
          </cell>
        </row>
        <row r="81">
          <cell r="E81">
            <v>11395.800000000001</v>
          </cell>
        </row>
        <row r="82">
          <cell r="E82">
            <v>11421.800000000001</v>
          </cell>
        </row>
        <row r="83">
          <cell r="E83">
            <v>11434.800000000001</v>
          </cell>
        </row>
        <row r="84">
          <cell r="E84">
            <v>11447.800000000001</v>
          </cell>
        </row>
        <row r="85">
          <cell r="E85">
            <v>11437.4</v>
          </cell>
        </row>
        <row r="86">
          <cell r="E86">
            <v>11376.300000000001</v>
          </cell>
        </row>
        <row r="87">
          <cell r="E87">
            <v>11286.6</v>
          </cell>
        </row>
        <row r="88">
          <cell r="E88">
            <v>11146.199999999999</v>
          </cell>
        </row>
        <row r="89">
          <cell r="E89">
            <v>10979.800000000001</v>
          </cell>
        </row>
        <row r="90">
          <cell r="E90">
            <v>10826.4</v>
          </cell>
        </row>
        <row r="91">
          <cell r="E91">
            <v>10708.1</v>
          </cell>
        </row>
        <row r="92">
          <cell r="E92">
            <v>10631.4</v>
          </cell>
        </row>
        <row r="93">
          <cell r="E93">
            <v>10565.1</v>
          </cell>
        </row>
        <row r="94">
          <cell r="E94">
            <v>10532.6</v>
          </cell>
        </row>
        <row r="95">
          <cell r="E95">
            <v>10491</v>
          </cell>
        </row>
        <row r="96">
          <cell r="E96">
            <v>10428.6</v>
          </cell>
        </row>
        <row r="97">
          <cell r="E97">
            <v>10351.9</v>
          </cell>
        </row>
        <row r="98">
          <cell r="E98">
            <v>10292.1</v>
          </cell>
        </row>
        <row r="99">
          <cell r="E99">
            <v>10280.4</v>
          </cell>
        </row>
        <row r="100">
          <cell r="E100">
            <v>10349.300000000001</v>
          </cell>
        </row>
        <row r="101">
          <cell r="E101">
            <v>10436.4</v>
          </cell>
        </row>
        <row r="102">
          <cell r="E102">
            <v>10506.6</v>
          </cell>
        </row>
        <row r="103">
          <cell r="E103">
            <v>10574.199999999999</v>
          </cell>
        </row>
        <row r="104">
          <cell r="E104">
            <v>10630.1</v>
          </cell>
        </row>
        <row r="105">
          <cell r="E105">
            <v>10684.699999999999</v>
          </cell>
        </row>
        <row r="106">
          <cell r="E106">
            <v>10725</v>
          </cell>
        </row>
        <row r="107">
          <cell r="E107">
            <v>10745.800000000001</v>
          </cell>
        </row>
        <row r="108">
          <cell r="E108">
            <v>10758.800000000001</v>
          </cell>
        </row>
        <row r="109">
          <cell r="E109">
            <v>10760.1</v>
          </cell>
        </row>
        <row r="110">
          <cell r="E110">
            <v>10753.6</v>
          </cell>
        </row>
        <row r="111">
          <cell r="E111">
            <v>10756.199999999999</v>
          </cell>
        </row>
        <row r="112">
          <cell r="E112">
            <v>10788.699999999999</v>
          </cell>
        </row>
        <row r="113">
          <cell r="E113">
            <v>10827.699999999999</v>
          </cell>
        </row>
        <row r="114">
          <cell r="E114">
            <v>10873.199999999999</v>
          </cell>
        </row>
        <row r="115">
          <cell r="E115">
            <v>10962.9</v>
          </cell>
        </row>
        <row r="116">
          <cell r="E116">
            <v>11079.9</v>
          </cell>
        </row>
        <row r="117">
          <cell r="E117">
            <v>11190.4</v>
          </cell>
        </row>
        <row r="118">
          <cell r="E118">
            <v>11302.199999999999</v>
          </cell>
        </row>
        <row r="119">
          <cell r="E119">
            <v>11390.6</v>
          </cell>
        </row>
        <row r="120">
          <cell r="E120">
            <v>11480.300000000001</v>
          </cell>
        </row>
        <row r="121">
          <cell r="E121">
            <v>11572.6</v>
          </cell>
        </row>
        <row r="122">
          <cell r="E122">
            <v>11685.699999999999</v>
          </cell>
        </row>
        <row r="123">
          <cell r="E123">
            <v>11753.300000000001</v>
          </cell>
        </row>
        <row r="124">
          <cell r="E124">
            <v>11785.800000000001</v>
          </cell>
        </row>
        <row r="125">
          <cell r="E125">
            <v>11814.4</v>
          </cell>
        </row>
        <row r="126">
          <cell r="E126">
            <v>11805.300000000001</v>
          </cell>
        </row>
        <row r="127">
          <cell r="E127">
            <v>11785.800000000001</v>
          </cell>
        </row>
        <row r="128">
          <cell r="E128">
            <v>11723.4</v>
          </cell>
        </row>
        <row r="129">
          <cell r="E129">
            <v>11601.199999999999</v>
          </cell>
        </row>
        <row r="130">
          <cell r="E130">
            <v>11458.199999999999</v>
          </cell>
        </row>
        <row r="131">
          <cell r="E131">
            <v>11307.4</v>
          </cell>
        </row>
        <row r="132">
          <cell r="E132">
            <v>11173.5</v>
          </cell>
        </row>
        <row r="133">
          <cell r="E133">
            <v>11074.699999999999</v>
          </cell>
        </row>
        <row r="134">
          <cell r="E134">
            <v>11013.6</v>
          </cell>
        </row>
        <row r="135">
          <cell r="E135">
            <v>11018.800000000001</v>
          </cell>
        </row>
        <row r="136">
          <cell r="E136">
            <v>10925.199999999999</v>
          </cell>
        </row>
        <row r="137">
          <cell r="E137">
            <v>10826.4</v>
          </cell>
        </row>
        <row r="138">
          <cell r="E138">
            <v>10819.9</v>
          </cell>
        </row>
        <row r="139">
          <cell r="E139">
            <v>10823.800000000001</v>
          </cell>
        </row>
        <row r="140">
          <cell r="E140">
            <v>10821.199999999999</v>
          </cell>
        </row>
        <row r="141">
          <cell r="E141">
            <v>10810.800000000001</v>
          </cell>
        </row>
        <row r="142">
          <cell r="E142">
            <v>10882.300000000001</v>
          </cell>
        </row>
        <row r="143">
          <cell r="E143">
            <v>10909.6</v>
          </cell>
        </row>
        <row r="144">
          <cell r="E144">
            <v>11001.9</v>
          </cell>
        </row>
        <row r="145">
          <cell r="E145">
            <v>11089</v>
          </cell>
        </row>
        <row r="146">
          <cell r="E146">
            <v>11081.199999999999</v>
          </cell>
        </row>
        <row r="147">
          <cell r="E147">
            <v>11104.6</v>
          </cell>
        </row>
        <row r="148">
          <cell r="E148">
            <v>11113.699999999999</v>
          </cell>
        </row>
        <row r="149">
          <cell r="E149">
            <v>11176.1</v>
          </cell>
        </row>
        <row r="150">
          <cell r="E150">
            <v>11178.699999999999</v>
          </cell>
        </row>
        <row r="151">
          <cell r="E151">
            <v>11216.4</v>
          </cell>
        </row>
        <row r="152">
          <cell r="E152">
            <v>11222.9</v>
          </cell>
        </row>
        <row r="153">
          <cell r="E153">
            <v>11259.300000000001</v>
          </cell>
        </row>
        <row r="154">
          <cell r="E154">
            <v>11358.1</v>
          </cell>
        </row>
        <row r="155">
          <cell r="E155">
            <v>11417.9</v>
          </cell>
        </row>
        <row r="156">
          <cell r="E156">
            <v>11442.6</v>
          </cell>
        </row>
        <row r="157">
          <cell r="E157">
            <v>11437.4</v>
          </cell>
        </row>
        <row r="158">
          <cell r="E158">
            <v>11493.300000000001</v>
          </cell>
        </row>
        <row r="159">
          <cell r="E159">
            <v>11493.300000000001</v>
          </cell>
        </row>
        <row r="160">
          <cell r="E160">
            <v>11538.800000000001</v>
          </cell>
        </row>
        <row r="161">
          <cell r="E161">
            <v>11481.6</v>
          </cell>
        </row>
        <row r="162">
          <cell r="E162">
            <v>11547.9</v>
          </cell>
        </row>
        <row r="163">
          <cell r="E163">
            <v>11577.800000000001</v>
          </cell>
        </row>
        <row r="164">
          <cell r="E164">
            <v>11632.4</v>
          </cell>
        </row>
        <row r="165">
          <cell r="E165">
            <v>11661</v>
          </cell>
        </row>
        <row r="166">
          <cell r="E166">
            <v>11497.199999999999</v>
          </cell>
        </row>
        <row r="167">
          <cell r="E167">
            <v>11638.9</v>
          </cell>
        </row>
        <row r="168">
          <cell r="E168">
            <v>11648</v>
          </cell>
        </row>
        <row r="169">
          <cell r="E169">
            <v>11744.199999999999</v>
          </cell>
        </row>
        <row r="170">
          <cell r="E170">
            <v>11706.5</v>
          </cell>
        </row>
        <row r="171">
          <cell r="E171">
            <v>11783.199999999999</v>
          </cell>
        </row>
        <row r="172">
          <cell r="E172">
            <v>11763.699999999999</v>
          </cell>
        </row>
        <row r="173">
          <cell r="E173">
            <v>11745.5</v>
          </cell>
        </row>
        <row r="174">
          <cell r="E174">
            <v>11719.5</v>
          </cell>
        </row>
        <row r="175">
          <cell r="E175">
            <v>11666.199999999999</v>
          </cell>
        </row>
        <row r="176">
          <cell r="E176">
            <v>11750.699999999999</v>
          </cell>
        </row>
        <row r="177">
          <cell r="E177">
            <v>11768.9</v>
          </cell>
        </row>
        <row r="178">
          <cell r="E178">
            <v>11759.800000000001</v>
          </cell>
        </row>
        <row r="179">
          <cell r="E179">
            <v>11793.6</v>
          </cell>
        </row>
        <row r="180">
          <cell r="E180">
            <v>11807.9</v>
          </cell>
        </row>
        <row r="181">
          <cell r="E181">
            <v>11750.699999999999</v>
          </cell>
        </row>
        <row r="182">
          <cell r="E182">
            <v>11870.300000000001</v>
          </cell>
        </row>
        <row r="183">
          <cell r="E183">
            <v>11827.4</v>
          </cell>
        </row>
        <row r="184">
          <cell r="E184">
            <v>11854.699999999999</v>
          </cell>
        </row>
        <row r="185">
          <cell r="E185">
            <v>11999</v>
          </cell>
        </row>
        <row r="186">
          <cell r="E186">
            <v>12009.4</v>
          </cell>
        </row>
        <row r="187">
          <cell r="E187">
            <v>11997.699999999999</v>
          </cell>
        </row>
        <row r="188">
          <cell r="E188">
            <v>12083.5</v>
          </cell>
        </row>
        <row r="189">
          <cell r="E189">
            <v>12080.9</v>
          </cell>
        </row>
        <row r="190">
          <cell r="E190">
            <v>12112.1</v>
          </cell>
        </row>
        <row r="191">
          <cell r="E191">
            <v>12096.5</v>
          </cell>
        </row>
        <row r="192">
          <cell r="E192">
            <v>12113.4</v>
          </cell>
        </row>
        <row r="193">
          <cell r="E193">
            <v>12162.800000000001</v>
          </cell>
        </row>
        <row r="194">
          <cell r="E194">
            <v>12182.300000000001</v>
          </cell>
        </row>
        <row r="195">
          <cell r="E195">
            <v>12235.6</v>
          </cell>
        </row>
        <row r="196">
          <cell r="E196">
            <v>12260.300000000001</v>
          </cell>
        </row>
        <row r="197">
          <cell r="E197">
            <v>12260.300000000001</v>
          </cell>
        </row>
        <row r="198">
          <cell r="E198">
            <v>12416.300000000001</v>
          </cell>
        </row>
        <row r="199">
          <cell r="E199">
            <v>12279.800000000001</v>
          </cell>
        </row>
        <row r="200">
          <cell r="E200">
            <v>12287.6</v>
          </cell>
        </row>
        <row r="201">
          <cell r="E201">
            <v>12213.5</v>
          </cell>
        </row>
        <row r="202">
          <cell r="E202">
            <v>12005.5</v>
          </cell>
        </row>
        <row r="203">
          <cell r="E203">
            <v>11961.300000000001</v>
          </cell>
        </row>
        <row r="204">
          <cell r="E204">
            <v>11897.6</v>
          </cell>
        </row>
        <row r="205">
          <cell r="E205">
            <v>11902.800000000001</v>
          </cell>
        </row>
        <row r="206">
          <cell r="E206">
            <v>11887.199999999999</v>
          </cell>
        </row>
        <row r="207">
          <cell r="E207">
            <v>11989.9</v>
          </cell>
        </row>
        <row r="208">
          <cell r="E208">
            <v>12049.699999999999</v>
          </cell>
        </row>
        <row r="209">
          <cell r="E209">
            <v>12101.699999999999</v>
          </cell>
        </row>
        <row r="210">
          <cell r="E210">
            <v>12106.9</v>
          </cell>
        </row>
        <row r="211">
          <cell r="E211">
            <v>11978.199999999999</v>
          </cell>
        </row>
        <row r="212">
          <cell r="E212">
            <v>12051</v>
          </cell>
        </row>
        <row r="213">
          <cell r="E213">
            <v>12038</v>
          </cell>
        </row>
        <row r="214">
          <cell r="E214">
            <v>12153.699999999999</v>
          </cell>
        </row>
        <row r="215">
          <cell r="E215">
            <v>12236.9</v>
          </cell>
        </row>
        <row r="216">
          <cell r="E216">
            <v>12360.4</v>
          </cell>
        </row>
        <row r="217">
          <cell r="E217">
            <v>12398.1</v>
          </cell>
        </row>
        <row r="218">
          <cell r="E218">
            <v>12408.5</v>
          </cell>
        </row>
        <row r="219">
          <cell r="E219">
            <v>12442.300000000001</v>
          </cell>
        </row>
        <row r="220">
          <cell r="E220">
            <v>12589.199999999999</v>
          </cell>
        </row>
        <row r="221">
          <cell r="E221">
            <v>12611.300000000001</v>
          </cell>
        </row>
        <row r="222">
          <cell r="E222">
            <v>12725.699999999999</v>
          </cell>
        </row>
        <row r="223">
          <cell r="E223">
            <v>12849.199999999999</v>
          </cell>
        </row>
        <row r="224">
          <cell r="E224">
            <v>12890.800000000001</v>
          </cell>
        </row>
        <row r="225">
          <cell r="E225">
            <v>12967.5</v>
          </cell>
        </row>
        <row r="226">
          <cell r="E226">
            <v>13003.9</v>
          </cell>
        </row>
        <row r="227">
          <cell r="E227">
            <v>12987</v>
          </cell>
        </row>
        <row r="228">
          <cell r="E228">
            <v>12990.9</v>
          </cell>
        </row>
        <row r="229">
          <cell r="E229">
            <v>13247</v>
          </cell>
        </row>
        <row r="230">
          <cell r="E230">
            <v>13180.699999999999</v>
          </cell>
        </row>
        <row r="231">
          <cell r="E231">
            <v>13214.5</v>
          </cell>
        </row>
        <row r="232">
          <cell r="E232">
            <v>13245.699999999999</v>
          </cell>
        </row>
        <row r="233">
          <cell r="E233">
            <v>13297.699999999999</v>
          </cell>
        </row>
        <row r="234">
          <cell r="E234">
            <v>13380.9</v>
          </cell>
        </row>
        <row r="235">
          <cell r="E235">
            <v>13452.4</v>
          </cell>
        </row>
        <row r="236">
          <cell r="E236">
            <v>13318.5</v>
          </cell>
        </row>
        <row r="237">
          <cell r="E237">
            <v>13349.7</v>
          </cell>
        </row>
        <row r="238">
          <cell r="E238">
            <v>13414.7</v>
          </cell>
        </row>
        <row r="239">
          <cell r="E239">
            <v>13436.8</v>
          </cell>
        </row>
        <row r="240">
          <cell r="E240">
            <v>13555.1</v>
          </cell>
        </row>
        <row r="241">
          <cell r="E241">
            <v>13546</v>
          </cell>
        </row>
        <row r="242">
          <cell r="E242">
            <v>13687.7</v>
          </cell>
        </row>
        <row r="243">
          <cell r="E243">
            <v>13683.8</v>
          </cell>
        </row>
        <row r="244">
          <cell r="E244">
            <v>13683.8</v>
          </cell>
        </row>
        <row r="245">
          <cell r="E245">
            <v>13651.3</v>
          </cell>
        </row>
        <row r="246">
          <cell r="E246">
            <v>13379.6</v>
          </cell>
        </row>
        <row r="247">
          <cell r="E247">
            <v>10944.699999999999</v>
          </cell>
        </row>
        <row r="248">
          <cell r="E248">
            <v>12025</v>
          </cell>
        </row>
        <row r="249">
          <cell r="E249">
            <v>12723.1</v>
          </cell>
        </row>
        <row r="250">
          <cell r="E250">
            <v>12430.6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1"/>
  <sheetViews>
    <sheetView workbookViewId="0"/>
  </sheetViews>
  <sheetFormatPr baseColWidth="10" defaultColWidth="8.83203125" defaultRowHeight="15" x14ac:dyDescent="0.2"/>
  <sheetData>
    <row r="1" spans="1:14" x14ac:dyDescent="0.2">
      <c r="A1">
        <v>53</v>
      </c>
      <c r="B1" t="s">
        <v>183</v>
      </c>
    </row>
    <row r="2" spans="1:14" x14ac:dyDescent="0.2">
      <c r="A2" s="10" t="s">
        <v>80</v>
      </c>
      <c r="B2" t="s">
        <v>168</v>
      </c>
      <c r="C2" t="s">
        <v>182</v>
      </c>
      <c r="D2">
        <v>21946</v>
      </c>
      <c r="E2" s="11">
        <v>45471.465277777781</v>
      </c>
      <c r="F2" t="b">
        <v>1</v>
      </c>
      <c r="G2" s="10" t="s">
        <v>170</v>
      </c>
      <c r="H2">
        <v>1960</v>
      </c>
      <c r="I2">
        <v>2024</v>
      </c>
      <c r="J2">
        <v>0</v>
      </c>
      <c r="K2" s="10" t="s">
        <v>11</v>
      </c>
      <c r="L2" t="b">
        <v>0</v>
      </c>
      <c r="M2" t="b">
        <v>0</v>
      </c>
      <c r="N2" t="b">
        <v>0</v>
      </c>
    </row>
    <row r="3" spans="1:14" x14ac:dyDescent="0.2">
      <c r="A3" s="10" t="s">
        <v>80</v>
      </c>
      <c r="B3" t="s">
        <v>167</v>
      </c>
      <c r="C3" t="s">
        <v>182</v>
      </c>
      <c r="E3" s="11">
        <v>45471.465277777781</v>
      </c>
      <c r="F3" t="b">
        <v>1</v>
      </c>
      <c r="G3" s="10" t="s">
        <v>10</v>
      </c>
      <c r="H3">
        <v>1960</v>
      </c>
      <c r="I3">
        <v>2024</v>
      </c>
      <c r="J3">
        <v>0</v>
      </c>
      <c r="K3" s="10" t="s">
        <v>11</v>
      </c>
      <c r="L3" t="b">
        <v>0</v>
      </c>
      <c r="M3" t="b">
        <v>0</v>
      </c>
      <c r="N3" t="b">
        <v>0</v>
      </c>
    </row>
    <row r="4" spans="1:14" x14ac:dyDescent="0.2">
      <c r="A4" s="10" t="s">
        <v>80</v>
      </c>
      <c r="B4" t="s">
        <v>127</v>
      </c>
      <c r="C4" t="s">
        <v>182</v>
      </c>
      <c r="E4" s="11">
        <v>45471.465289351851</v>
      </c>
      <c r="F4" t="b">
        <v>1</v>
      </c>
      <c r="G4" s="10" t="s">
        <v>156</v>
      </c>
      <c r="H4">
        <v>1960</v>
      </c>
      <c r="I4">
        <v>2024</v>
      </c>
      <c r="J4">
        <v>0</v>
      </c>
      <c r="K4" s="10" t="s">
        <v>11</v>
      </c>
      <c r="L4" t="b">
        <v>0</v>
      </c>
      <c r="M4" t="b">
        <v>0</v>
      </c>
      <c r="N4" t="b">
        <v>0</v>
      </c>
    </row>
    <row r="5" spans="1:14" x14ac:dyDescent="0.2">
      <c r="A5" s="10" t="s">
        <v>80</v>
      </c>
      <c r="B5" t="s">
        <v>119</v>
      </c>
      <c r="C5" t="s">
        <v>182</v>
      </c>
      <c r="E5" s="11">
        <v>45471.465289351851</v>
      </c>
      <c r="F5" t="b">
        <v>1</v>
      </c>
      <c r="G5" s="10" t="s">
        <v>155</v>
      </c>
      <c r="H5">
        <v>1960</v>
      </c>
      <c r="I5">
        <v>2024</v>
      </c>
      <c r="J5">
        <v>0</v>
      </c>
      <c r="K5" s="10" t="s">
        <v>11</v>
      </c>
      <c r="L5" t="b">
        <v>0</v>
      </c>
      <c r="M5" t="b">
        <v>0</v>
      </c>
      <c r="N5" t="b">
        <v>0</v>
      </c>
    </row>
    <row r="6" spans="1:14" x14ac:dyDescent="0.2">
      <c r="A6" s="10" t="s">
        <v>80</v>
      </c>
      <c r="B6" t="s">
        <v>142</v>
      </c>
      <c r="C6" t="s">
        <v>182</v>
      </c>
      <c r="E6" s="11">
        <v>45471.465289351851</v>
      </c>
      <c r="F6" t="b">
        <v>1</v>
      </c>
      <c r="G6" s="10" t="s">
        <v>154</v>
      </c>
      <c r="H6">
        <v>1960</v>
      </c>
      <c r="I6">
        <v>2024</v>
      </c>
      <c r="J6">
        <v>0</v>
      </c>
      <c r="K6" s="10" t="s">
        <v>11</v>
      </c>
      <c r="L6" t="b">
        <v>0</v>
      </c>
      <c r="M6" t="b">
        <v>0</v>
      </c>
      <c r="N6" t="b">
        <v>0</v>
      </c>
    </row>
    <row r="7" spans="1:14" x14ac:dyDescent="0.2">
      <c r="A7" s="10" t="s">
        <v>80</v>
      </c>
      <c r="B7" t="s">
        <v>110</v>
      </c>
      <c r="C7" t="s">
        <v>182</v>
      </c>
      <c r="E7" s="11">
        <v>45471.465289351851</v>
      </c>
      <c r="F7" t="b">
        <v>1</v>
      </c>
      <c r="G7" s="10" t="s">
        <v>75</v>
      </c>
      <c r="H7">
        <v>1960</v>
      </c>
      <c r="I7">
        <v>2024</v>
      </c>
      <c r="J7">
        <v>0</v>
      </c>
      <c r="K7" s="10" t="s">
        <v>11</v>
      </c>
      <c r="L7" t="b">
        <v>0</v>
      </c>
      <c r="M7" t="b">
        <v>0</v>
      </c>
      <c r="N7" t="b">
        <v>0</v>
      </c>
    </row>
    <row r="8" spans="1:14" x14ac:dyDescent="0.2">
      <c r="A8" s="10" t="s">
        <v>80</v>
      </c>
      <c r="B8" t="s">
        <v>112</v>
      </c>
      <c r="C8" t="s">
        <v>182</v>
      </c>
      <c r="E8" s="11">
        <v>45471.465289351851</v>
      </c>
      <c r="F8" t="b">
        <v>1</v>
      </c>
      <c r="G8" s="10" t="s">
        <v>77</v>
      </c>
      <c r="H8">
        <v>1960</v>
      </c>
      <c r="I8">
        <v>2024</v>
      </c>
      <c r="J8">
        <v>0</v>
      </c>
      <c r="K8" s="10" t="s">
        <v>11</v>
      </c>
      <c r="L8" t="b">
        <v>0</v>
      </c>
      <c r="M8" t="b">
        <v>0</v>
      </c>
      <c r="N8" t="b">
        <v>0</v>
      </c>
    </row>
    <row r="9" spans="1:14" x14ac:dyDescent="0.2">
      <c r="A9" s="10" t="s">
        <v>80</v>
      </c>
      <c r="B9" t="s">
        <v>114</v>
      </c>
      <c r="C9" t="s">
        <v>182</v>
      </c>
      <c r="E9" s="11">
        <v>45471.465289351851</v>
      </c>
      <c r="F9" t="b">
        <v>1</v>
      </c>
      <c r="G9" s="10" t="s">
        <v>76</v>
      </c>
      <c r="H9">
        <v>1960</v>
      </c>
      <c r="I9">
        <v>2024</v>
      </c>
      <c r="J9">
        <v>0</v>
      </c>
      <c r="K9" s="10" t="s">
        <v>11</v>
      </c>
      <c r="L9" t="b">
        <v>0</v>
      </c>
      <c r="M9" t="b">
        <v>0</v>
      </c>
      <c r="N9" t="b">
        <v>0</v>
      </c>
    </row>
    <row r="10" spans="1:14" x14ac:dyDescent="0.2">
      <c r="A10" s="10" t="s">
        <v>80</v>
      </c>
      <c r="B10" t="s">
        <v>111</v>
      </c>
      <c r="C10" t="s">
        <v>182</v>
      </c>
      <c r="E10" s="11">
        <v>45471.465300925927</v>
      </c>
      <c r="F10" t="b">
        <v>1</v>
      </c>
      <c r="G10" s="10" t="s">
        <v>172</v>
      </c>
      <c r="H10">
        <v>1960</v>
      </c>
      <c r="I10">
        <v>2024</v>
      </c>
      <c r="J10">
        <v>0</v>
      </c>
      <c r="K10" s="10" t="s">
        <v>11</v>
      </c>
      <c r="L10" t="b">
        <v>0</v>
      </c>
      <c r="M10" t="b">
        <v>0</v>
      </c>
      <c r="N10" t="b">
        <v>0</v>
      </c>
    </row>
    <row r="11" spans="1:14" x14ac:dyDescent="0.2">
      <c r="A11" s="10" t="s">
        <v>80</v>
      </c>
      <c r="B11" t="s">
        <v>118</v>
      </c>
      <c r="C11" t="s">
        <v>182</v>
      </c>
      <c r="D11">
        <v>41.3</v>
      </c>
      <c r="E11" s="11">
        <v>45471.465300925927</v>
      </c>
      <c r="F11" t="b">
        <v>1</v>
      </c>
      <c r="G11" s="10" t="s">
        <v>12</v>
      </c>
      <c r="H11">
        <v>1960</v>
      </c>
      <c r="I11">
        <v>2024</v>
      </c>
      <c r="J11">
        <v>0</v>
      </c>
      <c r="K11" s="10" t="s">
        <v>11</v>
      </c>
      <c r="L11" t="b">
        <v>0</v>
      </c>
      <c r="M11" t="b">
        <v>0</v>
      </c>
      <c r="N11" t="b">
        <v>0</v>
      </c>
    </row>
    <row r="12" spans="1:14" x14ac:dyDescent="0.2">
      <c r="A12" s="10" t="s">
        <v>80</v>
      </c>
      <c r="B12" t="s">
        <v>140</v>
      </c>
      <c r="C12" t="s">
        <v>182</v>
      </c>
      <c r="E12" s="11">
        <v>45471.465300925927</v>
      </c>
      <c r="F12" t="b">
        <v>1</v>
      </c>
      <c r="G12" s="10" t="s">
        <v>13</v>
      </c>
      <c r="H12">
        <v>1960</v>
      </c>
      <c r="I12">
        <v>2024</v>
      </c>
      <c r="J12">
        <v>0</v>
      </c>
      <c r="K12" s="10" t="s">
        <v>11</v>
      </c>
      <c r="L12" t="b">
        <v>0</v>
      </c>
      <c r="M12" t="b">
        <v>0</v>
      </c>
      <c r="N12" t="b">
        <v>0</v>
      </c>
    </row>
    <row r="13" spans="1:14" x14ac:dyDescent="0.2">
      <c r="A13" s="10" t="s">
        <v>80</v>
      </c>
      <c r="B13" t="s">
        <v>143</v>
      </c>
      <c r="D13" t="e">
        <v>#N/A</v>
      </c>
      <c r="E13" s="12">
        <v>0</v>
      </c>
      <c r="F13" t="b">
        <v>1</v>
      </c>
      <c r="G13" s="10" t="s">
        <v>92</v>
      </c>
      <c r="H13">
        <v>1960</v>
      </c>
      <c r="I13">
        <v>2024</v>
      </c>
      <c r="J13">
        <v>0</v>
      </c>
      <c r="K13" s="10" t="s">
        <v>11</v>
      </c>
      <c r="L13" t="b">
        <v>0</v>
      </c>
      <c r="M13" t="b">
        <v>0</v>
      </c>
      <c r="N13" t="b">
        <v>0</v>
      </c>
    </row>
    <row r="14" spans="1:14" x14ac:dyDescent="0.2">
      <c r="A14" s="10" t="s">
        <v>80</v>
      </c>
      <c r="B14" t="s">
        <v>151</v>
      </c>
      <c r="C14" t="s">
        <v>182</v>
      </c>
      <c r="E14" s="11">
        <v>45471.465416666666</v>
      </c>
      <c r="F14" t="b">
        <v>1</v>
      </c>
      <c r="G14" s="10" t="s">
        <v>29</v>
      </c>
      <c r="H14">
        <v>1960</v>
      </c>
      <c r="I14">
        <v>2024</v>
      </c>
      <c r="J14">
        <v>0</v>
      </c>
      <c r="K14" s="10" t="s">
        <v>11</v>
      </c>
      <c r="L14" t="b">
        <v>0</v>
      </c>
      <c r="M14" t="b">
        <v>0</v>
      </c>
      <c r="N14" t="b">
        <v>0</v>
      </c>
    </row>
    <row r="15" spans="1:14" x14ac:dyDescent="0.2">
      <c r="A15" s="10" t="s">
        <v>80</v>
      </c>
      <c r="B15" t="s">
        <v>117</v>
      </c>
      <c r="C15" t="s">
        <v>182</v>
      </c>
      <c r="E15" s="11">
        <v>45471.465416666666</v>
      </c>
      <c r="F15" t="b">
        <v>1</v>
      </c>
      <c r="G15" s="10" t="s">
        <v>30</v>
      </c>
      <c r="H15">
        <v>1960</v>
      </c>
      <c r="I15">
        <v>2024</v>
      </c>
      <c r="J15">
        <v>0</v>
      </c>
      <c r="K15" s="10" t="s">
        <v>11</v>
      </c>
      <c r="L15" t="b">
        <v>0</v>
      </c>
      <c r="M15" t="b">
        <v>0</v>
      </c>
      <c r="N15" t="b">
        <v>0</v>
      </c>
    </row>
    <row r="16" spans="1:14" x14ac:dyDescent="0.2">
      <c r="A16" s="10" t="s">
        <v>80</v>
      </c>
      <c r="B16" t="s">
        <v>128</v>
      </c>
      <c r="C16" t="s">
        <v>182</v>
      </c>
      <c r="E16" s="11">
        <v>45471.465416666666</v>
      </c>
      <c r="F16" t="b">
        <v>1</v>
      </c>
      <c r="G16" s="10" t="s">
        <v>175</v>
      </c>
      <c r="H16">
        <v>1960</v>
      </c>
      <c r="I16">
        <v>2024</v>
      </c>
      <c r="J16">
        <v>0</v>
      </c>
      <c r="K16" s="10" t="s">
        <v>11</v>
      </c>
      <c r="L16" t="b">
        <v>0</v>
      </c>
      <c r="M16" t="b">
        <v>0</v>
      </c>
      <c r="N16" t="b">
        <v>0</v>
      </c>
    </row>
    <row r="17" spans="1:14" x14ac:dyDescent="0.2">
      <c r="A17" s="10" t="s">
        <v>80</v>
      </c>
      <c r="B17" t="s">
        <v>125</v>
      </c>
      <c r="C17" t="s">
        <v>182</v>
      </c>
      <c r="E17" s="11">
        <v>45471.465416666666</v>
      </c>
      <c r="F17" t="b">
        <v>1</v>
      </c>
      <c r="G17" s="10" t="s">
        <v>174</v>
      </c>
      <c r="H17">
        <v>1960</v>
      </c>
      <c r="I17">
        <v>2024</v>
      </c>
      <c r="J17">
        <v>0</v>
      </c>
      <c r="K17" s="10" t="s">
        <v>11</v>
      </c>
      <c r="L17" t="b">
        <v>0</v>
      </c>
      <c r="M17" t="b">
        <v>0</v>
      </c>
      <c r="N17" t="b">
        <v>0</v>
      </c>
    </row>
    <row r="18" spans="1:14" x14ac:dyDescent="0.2">
      <c r="A18" s="10" t="s">
        <v>80</v>
      </c>
      <c r="B18" t="s">
        <v>139</v>
      </c>
      <c r="C18" t="s">
        <v>182</v>
      </c>
      <c r="E18" s="11">
        <v>45471.465416666666</v>
      </c>
      <c r="F18" t="b">
        <v>1</v>
      </c>
      <c r="G18" s="10" t="s">
        <v>173</v>
      </c>
      <c r="H18">
        <v>1960</v>
      </c>
      <c r="I18">
        <v>2024</v>
      </c>
      <c r="J18">
        <v>0</v>
      </c>
      <c r="K18" s="10" t="s">
        <v>11</v>
      </c>
      <c r="L18" t="b">
        <v>0</v>
      </c>
      <c r="M18" t="b">
        <v>0</v>
      </c>
      <c r="N18" t="b">
        <v>0</v>
      </c>
    </row>
    <row r="19" spans="1:14" x14ac:dyDescent="0.2">
      <c r="A19" s="10" t="s">
        <v>80</v>
      </c>
      <c r="B19" t="s">
        <v>136</v>
      </c>
      <c r="C19" t="s">
        <v>182</v>
      </c>
      <c r="E19" s="11">
        <v>45471.465416666666</v>
      </c>
      <c r="F19" t="b">
        <v>1</v>
      </c>
      <c r="G19" s="10" t="s">
        <v>176</v>
      </c>
      <c r="H19">
        <v>1960</v>
      </c>
      <c r="I19">
        <v>2024</v>
      </c>
      <c r="J19">
        <v>0</v>
      </c>
      <c r="K19" s="10" t="s">
        <v>11</v>
      </c>
      <c r="L19" t="b">
        <v>0</v>
      </c>
      <c r="M19" t="b">
        <v>0</v>
      </c>
      <c r="N19" t="b">
        <v>0</v>
      </c>
    </row>
    <row r="20" spans="1:14" x14ac:dyDescent="0.2">
      <c r="A20" s="10" t="s">
        <v>80</v>
      </c>
      <c r="B20" t="s">
        <v>108</v>
      </c>
      <c r="C20" t="s">
        <v>182</v>
      </c>
      <c r="E20" s="11">
        <v>45471.465428240743</v>
      </c>
      <c r="F20" t="b">
        <v>1</v>
      </c>
      <c r="G20" s="10" t="s">
        <v>58</v>
      </c>
      <c r="H20">
        <v>1960</v>
      </c>
      <c r="I20">
        <v>2024</v>
      </c>
      <c r="J20">
        <v>0</v>
      </c>
      <c r="K20" s="10" t="s">
        <v>11</v>
      </c>
      <c r="L20" t="b">
        <v>0</v>
      </c>
      <c r="M20" t="b">
        <v>0</v>
      </c>
      <c r="N20" t="b">
        <v>0</v>
      </c>
    </row>
    <row r="21" spans="1:14" x14ac:dyDescent="0.2">
      <c r="A21" s="10" t="s">
        <v>80</v>
      </c>
      <c r="B21" t="s">
        <v>138</v>
      </c>
      <c r="C21" t="s">
        <v>182</v>
      </c>
      <c r="E21" s="11">
        <v>45471.465428240743</v>
      </c>
      <c r="F21" t="b">
        <v>1</v>
      </c>
      <c r="G21" s="10" t="s">
        <v>44</v>
      </c>
      <c r="H21">
        <v>1960</v>
      </c>
      <c r="I21">
        <v>2024</v>
      </c>
      <c r="J21">
        <v>0</v>
      </c>
      <c r="K21" s="10" t="s">
        <v>11</v>
      </c>
      <c r="L21" t="b">
        <v>0</v>
      </c>
      <c r="M21" t="b">
        <v>0</v>
      </c>
      <c r="N21" t="b">
        <v>0</v>
      </c>
    </row>
    <row r="22" spans="1:14" x14ac:dyDescent="0.2">
      <c r="A22" s="10" t="s">
        <v>80</v>
      </c>
      <c r="B22" t="s">
        <v>149</v>
      </c>
      <c r="D22" t="e">
        <v>#N/A</v>
      </c>
      <c r="E22" s="12">
        <v>0</v>
      </c>
      <c r="F22" t="b">
        <v>1</v>
      </c>
      <c r="G22" s="10" t="s">
        <v>93</v>
      </c>
      <c r="H22">
        <v>1960</v>
      </c>
      <c r="I22">
        <v>2024</v>
      </c>
      <c r="J22">
        <v>0</v>
      </c>
      <c r="K22" s="10" t="s">
        <v>11</v>
      </c>
      <c r="L22" t="b">
        <v>0</v>
      </c>
      <c r="M22" t="b">
        <v>0</v>
      </c>
      <c r="N22" t="b">
        <v>0</v>
      </c>
    </row>
    <row r="23" spans="1:14" x14ac:dyDescent="0.2">
      <c r="A23" s="10" t="s">
        <v>80</v>
      </c>
      <c r="B23" t="s">
        <v>150</v>
      </c>
      <c r="D23" t="e">
        <v>#N/A</v>
      </c>
      <c r="E23" s="12">
        <v>0</v>
      </c>
      <c r="F23" t="b">
        <v>1</v>
      </c>
      <c r="G23" s="10" t="s">
        <v>93</v>
      </c>
      <c r="H23">
        <v>1960</v>
      </c>
      <c r="I23">
        <v>2024</v>
      </c>
      <c r="J23">
        <v>0</v>
      </c>
      <c r="K23" s="10" t="s">
        <v>11</v>
      </c>
      <c r="L23" t="b">
        <v>0</v>
      </c>
      <c r="M23" t="b">
        <v>0</v>
      </c>
      <c r="N23" t="b">
        <v>0</v>
      </c>
    </row>
    <row r="24" spans="1:14" x14ac:dyDescent="0.2">
      <c r="A24" s="10" t="s">
        <v>80</v>
      </c>
      <c r="B24" t="s">
        <v>144</v>
      </c>
      <c r="D24" t="e">
        <v>#N/A</v>
      </c>
      <c r="E24" s="12">
        <v>0</v>
      </c>
      <c r="F24" t="b">
        <v>1</v>
      </c>
      <c r="G24" s="10" t="s">
        <v>94</v>
      </c>
      <c r="H24">
        <v>1960</v>
      </c>
      <c r="I24">
        <v>2024</v>
      </c>
      <c r="J24">
        <v>0</v>
      </c>
      <c r="K24" s="10" t="s">
        <v>11</v>
      </c>
      <c r="L24" t="b">
        <v>0</v>
      </c>
      <c r="M24" t="b">
        <v>0</v>
      </c>
      <c r="N24" t="b">
        <v>0</v>
      </c>
    </row>
    <row r="25" spans="1:14" x14ac:dyDescent="0.2">
      <c r="A25" s="10" t="s">
        <v>80</v>
      </c>
      <c r="B25" t="s">
        <v>145</v>
      </c>
      <c r="D25" t="e">
        <v>#N/A</v>
      </c>
      <c r="E25" s="12">
        <v>0</v>
      </c>
      <c r="F25" t="b">
        <v>1</v>
      </c>
      <c r="G25" s="10" t="s">
        <v>95</v>
      </c>
      <c r="H25">
        <v>1960</v>
      </c>
      <c r="I25">
        <v>2024</v>
      </c>
      <c r="J25">
        <v>0</v>
      </c>
      <c r="K25" s="10" t="s">
        <v>11</v>
      </c>
      <c r="L25" t="b">
        <v>0</v>
      </c>
      <c r="M25" t="b">
        <v>0</v>
      </c>
      <c r="N25" t="b">
        <v>0</v>
      </c>
    </row>
    <row r="26" spans="1:14" x14ac:dyDescent="0.2">
      <c r="A26" s="10" t="s">
        <v>80</v>
      </c>
      <c r="B26" t="s">
        <v>146</v>
      </c>
      <c r="D26" t="e">
        <v>#N/A</v>
      </c>
      <c r="E26" s="12">
        <v>0</v>
      </c>
      <c r="F26" t="b">
        <v>1</v>
      </c>
      <c r="G26" s="10" t="s">
        <v>96</v>
      </c>
      <c r="H26">
        <v>1960</v>
      </c>
      <c r="I26">
        <v>2024</v>
      </c>
      <c r="J26">
        <v>0</v>
      </c>
      <c r="K26" s="10" t="s">
        <v>11</v>
      </c>
      <c r="L26" t="b">
        <v>0</v>
      </c>
      <c r="M26" t="b">
        <v>0</v>
      </c>
      <c r="N26" t="b">
        <v>0</v>
      </c>
    </row>
    <row r="27" spans="1:14" x14ac:dyDescent="0.2">
      <c r="A27" s="10" t="s">
        <v>80</v>
      </c>
      <c r="B27" t="s">
        <v>147</v>
      </c>
      <c r="D27" t="e">
        <v>#N/A</v>
      </c>
      <c r="E27" s="12">
        <v>0</v>
      </c>
      <c r="F27" t="b">
        <v>1</v>
      </c>
      <c r="G27" s="10" t="s">
        <v>97</v>
      </c>
      <c r="H27">
        <v>1960</v>
      </c>
      <c r="I27">
        <v>2024</v>
      </c>
      <c r="J27">
        <v>0</v>
      </c>
      <c r="K27" s="10" t="s">
        <v>11</v>
      </c>
      <c r="L27" t="b">
        <v>0</v>
      </c>
      <c r="M27" t="b">
        <v>0</v>
      </c>
      <c r="N27" t="b">
        <v>0</v>
      </c>
    </row>
    <row r="28" spans="1:14" x14ac:dyDescent="0.2">
      <c r="A28" s="10" t="s">
        <v>80</v>
      </c>
      <c r="B28" t="s">
        <v>148</v>
      </c>
      <c r="D28" t="e">
        <v>#N/A</v>
      </c>
      <c r="E28" s="12">
        <v>0</v>
      </c>
      <c r="F28" t="b">
        <v>1</v>
      </c>
      <c r="G28" s="10" t="s">
        <v>98</v>
      </c>
      <c r="H28">
        <v>1960</v>
      </c>
      <c r="I28">
        <v>2024</v>
      </c>
      <c r="J28">
        <v>0</v>
      </c>
      <c r="K28" s="10" t="s">
        <v>11</v>
      </c>
      <c r="L28" t="b">
        <v>0</v>
      </c>
      <c r="M28" t="b">
        <v>0</v>
      </c>
      <c r="N28" t="b">
        <v>0</v>
      </c>
    </row>
    <row r="29" spans="1:14" x14ac:dyDescent="0.2">
      <c r="A29" s="10" t="s">
        <v>80</v>
      </c>
      <c r="B29" t="s">
        <v>126</v>
      </c>
      <c r="C29" t="s">
        <v>182</v>
      </c>
      <c r="E29" s="11">
        <v>45471.466261574074</v>
      </c>
      <c r="F29" t="b">
        <v>1</v>
      </c>
      <c r="G29" s="10" t="s">
        <v>45</v>
      </c>
      <c r="H29">
        <v>1960</v>
      </c>
      <c r="I29">
        <v>2024</v>
      </c>
      <c r="J29">
        <v>0</v>
      </c>
      <c r="K29" s="10" t="s">
        <v>11</v>
      </c>
      <c r="L29" t="b">
        <v>0</v>
      </c>
      <c r="M29" t="b">
        <v>0</v>
      </c>
      <c r="N29" t="b">
        <v>0</v>
      </c>
    </row>
    <row r="30" spans="1:14" x14ac:dyDescent="0.2">
      <c r="A30" s="10" t="s">
        <v>80</v>
      </c>
      <c r="B30" t="s">
        <v>130</v>
      </c>
      <c r="C30" t="s">
        <v>182</v>
      </c>
      <c r="E30" s="11">
        <v>45471.466261574074</v>
      </c>
      <c r="F30" t="b">
        <v>1</v>
      </c>
      <c r="G30" s="10" t="s">
        <v>43</v>
      </c>
      <c r="H30">
        <v>1960</v>
      </c>
      <c r="I30">
        <v>2024</v>
      </c>
      <c r="J30">
        <v>0</v>
      </c>
      <c r="K30" s="10" t="s">
        <v>11</v>
      </c>
      <c r="L30" t="b">
        <v>0</v>
      </c>
      <c r="M30" t="b">
        <v>0</v>
      </c>
      <c r="N30" t="b">
        <v>0</v>
      </c>
    </row>
    <row r="31" spans="1:14" x14ac:dyDescent="0.2">
      <c r="A31" s="10" t="s">
        <v>80</v>
      </c>
      <c r="B31" t="s">
        <v>120</v>
      </c>
      <c r="C31" t="s">
        <v>182</v>
      </c>
      <c r="E31" s="11">
        <v>45471.466261574074</v>
      </c>
      <c r="F31" t="b">
        <v>1</v>
      </c>
      <c r="G31" s="10" t="s">
        <v>31</v>
      </c>
      <c r="H31">
        <v>1960</v>
      </c>
      <c r="I31">
        <v>2024</v>
      </c>
      <c r="J31">
        <v>0</v>
      </c>
      <c r="K31" s="10" t="s">
        <v>11</v>
      </c>
      <c r="L31" t="b">
        <v>0</v>
      </c>
      <c r="M31" t="b">
        <v>0</v>
      </c>
      <c r="N31" t="b">
        <v>0</v>
      </c>
    </row>
    <row r="32" spans="1:14" x14ac:dyDescent="0.2">
      <c r="A32" s="10" t="s">
        <v>80</v>
      </c>
      <c r="B32" t="s">
        <v>137</v>
      </c>
      <c r="C32" t="s">
        <v>182</v>
      </c>
      <c r="E32" s="11">
        <v>45471.466261574074</v>
      </c>
      <c r="F32" t="b">
        <v>1</v>
      </c>
      <c r="G32" s="10" t="s">
        <v>46</v>
      </c>
      <c r="H32">
        <v>1960</v>
      </c>
      <c r="I32">
        <v>2024</v>
      </c>
      <c r="J32">
        <v>0</v>
      </c>
      <c r="K32" s="10" t="s">
        <v>11</v>
      </c>
      <c r="L32" t="b">
        <v>0</v>
      </c>
      <c r="M32" t="b">
        <v>0</v>
      </c>
      <c r="N32" t="b">
        <v>0</v>
      </c>
    </row>
    <row r="33" spans="1:14" x14ac:dyDescent="0.2">
      <c r="A33" s="10" t="s">
        <v>80</v>
      </c>
      <c r="B33" t="s">
        <v>133</v>
      </c>
      <c r="C33" t="s">
        <v>182</v>
      </c>
      <c r="E33" s="11">
        <v>45471.466261574074</v>
      </c>
      <c r="F33" t="b">
        <v>1</v>
      </c>
      <c r="G33" s="10" t="s">
        <v>47</v>
      </c>
      <c r="H33">
        <v>1960</v>
      </c>
      <c r="I33">
        <v>2024</v>
      </c>
      <c r="J33">
        <v>0</v>
      </c>
      <c r="K33" s="10" t="s">
        <v>11</v>
      </c>
      <c r="L33" t="b">
        <v>0</v>
      </c>
      <c r="M33" t="b">
        <v>0</v>
      </c>
      <c r="N33" t="b">
        <v>0</v>
      </c>
    </row>
    <row r="34" spans="1:14" x14ac:dyDescent="0.2">
      <c r="A34" s="10" t="s">
        <v>80</v>
      </c>
      <c r="B34" t="s">
        <v>132</v>
      </c>
      <c r="C34" t="s">
        <v>182</v>
      </c>
      <c r="E34" s="11">
        <v>45471.466273148151</v>
      </c>
      <c r="F34" t="b">
        <v>1</v>
      </c>
      <c r="G34" s="10" t="s">
        <v>49</v>
      </c>
      <c r="H34">
        <v>1960</v>
      </c>
      <c r="I34">
        <v>2024</v>
      </c>
      <c r="J34">
        <v>0</v>
      </c>
      <c r="K34" s="10" t="s">
        <v>11</v>
      </c>
      <c r="L34" t="b">
        <v>0</v>
      </c>
      <c r="M34" t="b">
        <v>0</v>
      </c>
      <c r="N34" t="b">
        <v>0</v>
      </c>
    </row>
    <row r="35" spans="1:14" x14ac:dyDescent="0.2">
      <c r="A35" s="10" t="s">
        <v>80</v>
      </c>
      <c r="B35" t="s">
        <v>131</v>
      </c>
      <c r="C35" t="s">
        <v>182</v>
      </c>
      <c r="E35" s="11">
        <v>45471.466273148151</v>
      </c>
      <c r="F35" t="b">
        <v>1</v>
      </c>
      <c r="G35" s="10" t="s">
        <v>48</v>
      </c>
      <c r="H35">
        <v>1960</v>
      </c>
      <c r="I35">
        <v>2024</v>
      </c>
      <c r="J35">
        <v>0</v>
      </c>
      <c r="K35" s="10" t="s">
        <v>11</v>
      </c>
      <c r="L35" t="b">
        <v>0</v>
      </c>
      <c r="M35" t="b">
        <v>0</v>
      </c>
      <c r="N35" t="b">
        <v>0</v>
      </c>
    </row>
    <row r="36" spans="1:14" x14ac:dyDescent="0.2">
      <c r="A36" s="10" t="s">
        <v>80</v>
      </c>
      <c r="B36" t="s">
        <v>121</v>
      </c>
      <c r="C36" t="s">
        <v>182</v>
      </c>
      <c r="E36" s="11">
        <v>45471.466273148151</v>
      </c>
      <c r="F36" t="b">
        <v>1</v>
      </c>
      <c r="G36" s="10" t="s">
        <v>50</v>
      </c>
      <c r="H36">
        <v>1960</v>
      </c>
      <c r="I36">
        <v>2024</v>
      </c>
      <c r="J36">
        <v>0</v>
      </c>
      <c r="K36" s="10" t="s">
        <v>11</v>
      </c>
      <c r="L36" t="b">
        <v>0</v>
      </c>
      <c r="M36" t="b">
        <v>0</v>
      </c>
      <c r="N36" t="b">
        <v>0</v>
      </c>
    </row>
    <row r="37" spans="1:14" x14ac:dyDescent="0.2">
      <c r="A37" s="10" t="s">
        <v>80</v>
      </c>
      <c r="B37" t="s">
        <v>141</v>
      </c>
      <c r="C37" t="s">
        <v>182</v>
      </c>
      <c r="E37" s="11">
        <v>45471.466273148151</v>
      </c>
      <c r="F37" t="b">
        <v>1</v>
      </c>
      <c r="G37" s="10" t="s">
        <v>51</v>
      </c>
      <c r="H37">
        <v>1960</v>
      </c>
      <c r="I37">
        <v>2024</v>
      </c>
      <c r="J37">
        <v>0</v>
      </c>
      <c r="K37" s="10" t="s">
        <v>11</v>
      </c>
      <c r="L37" t="b">
        <v>0</v>
      </c>
      <c r="M37" t="b">
        <v>0</v>
      </c>
      <c r="N37" t="b">
        <v>0</v>
      </c>
    </row>
    <row r="38" spans="1:14" x14ac:dyDescent="0.2">
      <c r="A38" s="10" t="s">
        <v>80</v>
      </c>
      <c r="B38" t="s">
        <v>135</v>
      </c>
      <c r="C38" t="s">
        <v>182</v>
      </c>
      <c r="E38" s="11">
        <v>45471.466273148151</v>
      </c>
      <c r="F38" t="b">
        <v>1</v>
      </c>
      <c r="G38" s="10" t="s">
        <v>52</v>
      </c>
      <c r="H38">
        <v>1960</v>
      </c>
      <c r="I38">
        <v>2024</v>
      </c>
      <c r="J38">
        <v>0</v>
      </c>
      <c r="K38" s="10" t="s">
        <v>11</v>
      </c>
      <c r="L38" t="b">
        <v>0</v>
      </c>
      <c r="M38" t="b">
        <v>0</v>
      </c>
      <c r="N38" t="b">
        <v>0</v>
      </c>
    </row>
    <row r="39" spans="1:14" x14ac:dyDescent="0.2">
      <c r="A39" s="10" t="s">
        <v>80</v>
      </c>
      <c r="B39" t="s">
        <v>129</v>
      </c>
      <c r="C39" t="s">
        <v>182</v>
      </c>
      <c r="E39" s="11">
        <v>45471.466273148151</v>
      </c>
      <c r="F39" t="b">
        <v>1</v>
      </c>
      <c r="G39" s="10" t="s">
        <v>53</v>
      </c>
      <c r="H39">
        <v>1960</v>
      </c>
      <c r="I39">
        <v>2024</v>
      </c>
      <c r="J39">
        <v>0</v>
      </c>
      <c r="K39" s="10" t="s">
        <v>11</v>
      </c>
      <c r="L39" t="b">
        <v>0</v>
      </c>
      <c r="M39" t="b">
        <v>0</v>
      </c>
      <c r="N39" t="b">
        <v>0</v>
      </c>
    </row>
    <row r="40" spans="1:14" x14ac:dyDescent="0.2">
      <c r="A40" s="10" t="s">
        <v>80</v>
      </c>
      <c r="B40" t="s">
        <v>134</v>
      </c>
      <c r="C40" t="s">
        <v>182</v>
      </c>
      <c r="E40" s="11">
        <v>45471.466273148151</v>
      </c>
      <c r="F40" t="b">
        <v>1</v>
      </c>
      <c r="G40" s="10" t="s">
        <v>54</v>
      </c>
      <c r="H40">
        <v>1960</v>
      </c>
      <c r="I40">
        <v>2024</v>
      </c>
      <c r="J40">
        <v>0</v>
      </c>
      <c r="K40" s="10" t="s">
        <v>11</v>
      </c>
      <c r="L40" t="b">
        <v>0</v>
      </c>
      <c r="M40" t="b">
        <v>0</v>
      </c>
      <c r="N40" t="b">
        <v>0</v>
      </c>
    </row>
    <row r="41" spans="1:14" x14ac:dyDescent="0.2">
      <c r="A41" s="10" t="s">
        <v>80</v>
      </c>
      <c r="B41" t="s">
        <v>124</v>
      </c>
      <c r="C41" t="s">
        <v>182</v>
      </c>
      <c r="E41" s="11">
        <v>45471.466284722221</v>
      </c>
      <c r="F41" t="b">
        <v>1</v>
      </c>
      <c r="G41" s="10" t="s">
        <v>55</v>
      </c>
      <c r="H41">
        <v>1960</v>
      </c>
      <c r="I41">
        <v>2024</v>
      </c>
      <c r="J41">
        <v>0</v>
      </c>
      <c r="K41" s="10" t="s">
        <v>11</v>
      </c>
      <c r="L41" t="b">
        <v>0</v>
      </c>
      <c r="M41" t="b">
        <v>0</v>
      </c>
      <c r="N41" t="b">
        <v>0</v>
      </c>
    </row>
    <row r="42" spans="1:14" x14ac:dyDescent="0.2">
      <c r="A42" s="10" t="s">
        <v>80</v>
      </c>
      <c r="B42" t="s">
        <v>116</v>
      </c>
      <c r="C42" t="s">
        <v>182</v>
      </c>
      <c r="E42" s="11">
        <v>45471.466296296298</v>
      </c>
      <c r="F42" t="b">
        <v>1</v>
      </c>
      <c r="G42" s="10" t="s">
        <v>59</v>
      </c>
      <c r="H42">
        <v>1960</v>
      </c>
      <c r="I42">
        <v>2024</v>
      </c>
      <c r="J42">
        <v>0</v>
      </c>
      <c r="K42" s="10" t="s">
        <v>11</v>
      </c>
      <c r="L42" t="b">
        <v>0</v>
      </c>
      <c r="M42" t="b">
        <v>0</v>
      </c>
      <c r="N42" t="b">
        <v>0</v>
      </c>
    </row>
    <row r="43" spans="1:14" x14ac:dyDescent="0.2">
      <c r="A43" s="10" t="s">
        <v>80</v>
      </c>
      <c r="B43" t="s">
        <v>115</v>
      </c>
      <c r="C43" t="s">
        <v>182</v>
      </c>
      <c r="E43" s="11">
        <v>45471.466296296298</v>
      </c>
      <c r="F43" t="b">
        <v>1</v>
      </c>
      <c r="G43" s="10" t="s">
        <v>79</v>
      </c>
      <c r="H43">
        <v>1960</v>
      </c>
      <c r="I43">
        <v>2024</v>
      </c>
      <c r="J43">
        <v>0</v>
      </c>
      <c r="K43" s="10" t="s">
        <v>11</v>
      </c>
      <c r="L43" t="b">
        <v>0</v>
      </c>
      <c r="M43" t="b">
        <v>0</v>
      </c>
      <c r="N43" t="b">
        <v>0</v>
      </c>
    </row>
    <row r="44" spans="1:14" x14ac:dyDescent="0.2">
      <c r="A44" s="10" t="s">
        <v>80</v>
      </c>
      <c r="B44" t="s">
        <v>109</v>
      </c>
      <c r="C44" t="s">
        <v>182</v>
      </c>
      <c r="E44" s="11">
        <v>45471.466296296298</v>
      </c>
      <c r="F44" t="b">
        <v>1</v>
      </c>
      <c r="G44" s="10" t="s">
        <v>78</v>
      </c>
      <c r="H44">
        <v>1960</v>
      </c>
      <c r="I44">
        <v>2024</v>
      </c>
      <c r="J44">
        <v>0</v>
      </c>
      <c r="K44" s="10" t="s">
        <v>11</v>
      </c>
      <c r="L44" t="b">
        <v>0</v>
      </c>
      <c r="M44" t="b">
        <v>0</v>
      </c>
      <c r="N44" t="b">
        <v>0</v>
      </c>
    </row>
    <row r="45" spans="1:14" x14ac:dyDescent="0.2">
      <c r="A45" s="10" t="s">
        <v>80</v>
      </c>
      <c r="B45" t="s">
        <v>113</v>
      </c>
      <c r="C45" t="s">
        <v>182</v>
      </c>
      <c r="E45" s="11">
        <v>45471.466296296298</v>
      </c>
      <c r="F45" t="b">
        <v>1</v>
      </c>
      <c r="G45" s="10" t="s">
        <v>74</v>
      </c>
      <c r="H45">
        <v>1960</v>
      </c>
      <c r="I45">
        <v>2024</v>
      </c>
      <c r="J45">
        <v>0</v>
      </c>
      <c r="K45" s="10" t="s">
        <v>11</v>
      </c>
      <c r="L45" t="b">
        <v>0</v>
      </c>
      <c r="M45" t="b">
        <v>0</v>
      </c>
      <c r="N45" t="b">
        <v>0</v>
      </c>
    </row>
    <row r="46" spans="1:14" x14ac:dyDescent="0.2">
      <c r="A46" s="10" t="s">
        <v>80</v>
      </c>
      <c r="B46" t="s">
        <v>123</v>
      </c>
      <c r="D46" t="e">
        <v>#N/A</v>
      </c>
      <c r="E46" s="12">
        <v>0</v>
      </c>
      <c r="F46" t="b">
        <v>1</v>
      </c>
      <c r="G46" s="10" t="s">
        <v>171</v>
      </c>
      <c r="H46">
        <v>1960</v>
      </c>
      <c r="I46">
        <v>2024</v>
      </c>
      <c r="J46">
        <v>0</v>
      </c>
      <c r="K46" s="10" t="s">
        <v>11</v>
      </c>
      <c r="L46" t="b">
        <v>0</v>
      </c>
      <c r="M46" t="b">
        <v>0</v>
      </c>
      <c r="N46" t="b">
        <v>0</v>
      </c>
    </row>
    <row r="47" spans="1:14" x14ac:dyDescent="0.2">
      <c r="A47" s="10" t="s">
        <v>80</v>
      </c>
      <c r="B47" t="s">
        <v>122</v>
      </c>
      <c r="D47" t="e">
        <v>#N/A</v>
      </c>
      <c r="E47" s="12">
        <v>0</v>
      </c>
      <c r="F47" t="b">
        <v>1</v>
      </c>
      <c r="G47" s="10" t="s">
        <v>171</v>
      </c>
      <c r="H47">
        <v>1960</v>
      </c>
      <c r="I47">
        <v>2024</v>
      </c>
      <c r="J47">
        <v>0</v>
      </c>
      <c r="K47" s="10" t="s">
        <v>11</v>
      </c>
      <c r="L47" t="b">
        <v>0</v>
      </c>
      <c r="M47" t="b">
        <v>0</v>
      </c>
      <c r="N47" t="b">
        <v>0</v>
      </c>
    </row>
    <row r="48" spans="1:14" x14ac:dyDescent="0.2">
      <c r="A48" s="10" t="s">
        <v>89</v>
      </c>
      <c r="B48" t="s">
        <v>27</v>
      </c>
      <c r="C48" t="s">
        <v>179</v>
      </c>
      <c r="D48">
        <v>22006</v>
      </c>
      <c r="E48" s="11">
        <v>45161.481574074074</v>
      </c>
      <c r="F48" t="b">
        <v>1</v>
      </c>
      <c r="G48" s="10" t="s">
        <v>170</v>
      </c>
      <c r="H48">
        <v>1960</v>
      </c>
      <c r="I48">
        <v>2023</v>
      </c>
      <c r="J48">
        <v>0</v>
      </c>
      <c r="K48" s="10" t="s">
        <v>81</v>
      </c>
      <c r="L48" t="b">
        <v>0</v>
      </c>
      <c r="M48" t="b">
        <v>0</v>
      </c>
      <c r="N48" t="b">
        <v>0</v>
      </c>
    </row>
    <row r="49" spans="1:14" x14ac:dyDescent="0.2">
      <c r="A49" s="10" t="s">
        <v>89</v>
      </c>
      <c r="B49" t="s">
        <v>28</v>
      </c>
      <c r="C49" t="s">
        <v>179</v>
      </c>
      <c r="D49">
        <v>151420</v>
      </c>
      <c r="E49" s="11">
        <v>45161.481574074074</v>
      </c>
      <c r="F49" t="b">
        <v>1</v>
      </c>
      <c r="G49" s="10" t="s">
        <v>82</v>
      </c>
      <c r="H49">
        <v>1960</v>
      </c>
      <c r="I49">
        <v>2023</v>
      </c>
      <c r="J49">
        <v>0</v>
      </c>
      <c r="K49" s="10" t="s">
        <v>81</v>
      </c>
      <c r="L49" t="b">
        <v>0</v>
      </c>
      <c r="M49" t="b">
        <v>0</v>
      </c>
      <c r="N49" t="b">
        <v>0</v>
      </c>
    </row>
    <row r="50" spans="1:14" x14ac:dyDescent="0.2">
      <c r="A50" s="10" t="s">
        <v>89</v>
      </c>
      <c r="B50" t="s">
        <v>56</v>
      </c>
      <c r="C50" t="s">
        <v>179</v>
      </c>
      <c r="D50">
        <v>77407</v>
      </c>
      <c r="E50" s="11">
        <v>45161.481574074074</v>
      </c>
      <c r="F50" t="b">
        <v>1</v>
      </c>
      <c r="G50" s="10" t="s">
        <v>83</v>
      </c>
      <c r="H50">
        <v>1960</v>
      </c>
      <c r="I50">
        <v>2023</v>
      </c>
      <c r="J50">
        <v>0</v>
      </c>
      <c r="K50" s="10" t="s">
        <v>81</v>
      </c>
      <c r="L50" t="b">
        <v>0</v>
      </c>
      <c r="M50" t="b">
        <v>0</v>
      </c>
      <c r="N50" t="b">
        <v>0</v>
      </c>
    </row>
    <row r="51" spans="1:14" x14ac:dyDescent="0.2">
      <c r="A51" s="10" t="s">
        <v>89</v>
      </c>
      <c r="B51" t="s">
        <v>57</v>
      </c>
      <c r="C51" t="s">
        <v>179</v>
      </c>
      <c r="D51">
        <v>22788</v>
      </c>
      <c r="E51" s="11">
        <v>45161.481574074074</v>
      </c>
      <c r="F51" t="b">
        <v>1</v>
      </c>
      <c r="G51" s="10" t="s">
        <v>84</v>
      </c>
      <c r="H51">
        <v>1960</v>
      </c>
      <c r="I51">
        <v>2023</v>
      </c>
      <c r="J51">
        <v>0</v>
      </c>
      <c r="K51" s="10" t="s">
        <v>81</v>
      </c>
      <c r="L51" t="b">
        <v>0</v>
      </c>
      <c r="M51" t="b">
        <v>0</v>
      </c>
      <c r="N51" t="b">
        <v>0</v>
      </c>
    </row>
    <row r="52" spans="1:14" x14ac:dyDescent="0.2">
      <c r="A52" s="10" t="s">
        <v>89</v>
      </c>
      <c r="B52" t="s">
        <v>169</v>
      </c>
      <c r="C52" t="s">
        <v>179</v>
      </c>
      <c r="E52" s="11">
        <v>45161.481574074074</v>
      </c>
      <c r="F52" t="b">
        <v>1</v>
      </c>
      <c r="G52" s="10" t="s">
        <v>166</v>
      </c>
      <c r="H52">
        <v>1960</v>
      </c>
      <c r="I52">
        <v>2023</v>
      </c>
      <c r="J52">
        <v>0</v>
      </c>
      <c r="K52" s="10" t="s">
        <v>81</v>
      </c>
      <c r="L52" t="b">
        <v>0</v>
      </c>
      <c r="M52" t="b">
        <v>0</v>
      </c>
      <c r="N52" t="b">
        <v>0</v>
      </c>
    </row>
    <row r="53" spans="1:14" x14ac:dyDescent="0.2">
      <c r="A53" s="10" t="s">
        <v>89</v>
      </c>
      <c r="B53" t="s">
        <v>180</v>
      </c>
      <c r="C53" t="s">
        <v>179</v>
      </c>
      <c r="E53" s="11">
        <v>45161.490324074075</v>
      </c>
      <c r="F53" t="b">
        <v>1</v>
      </c>
      <c r="G53" s="10" t="s">
        <v>177</v>
      </c>
      <c r="H53">
        <v>1960</v>
      </c>
      <c r="I53">
        <v>2023</v>
      </c>
      <c r="J53">
        <v>0</v>
      </c>
      <c r="K53" s="10" t="s">
        <v>81</v>
      </c>
      <c r="L53" t="b">
        <v>0</v>
      </c>
      <c r="M53" t="b">
        <v>0</v>
      </c>
      <c r="N53" t="b">
        <v>0</v>
      </c>
    </row>
    <row r="54" spans="1:14" x14ac:dyDescent="0.2">
      <c r="A54" s="10" t="s">
        <v>89</v>
      </c>
      <c r="B54" t="s">
        <v>181</v>
      </c>
      <c r="C54" t="s">
        <v>179</v>
      </c>
      <c r="E54" s="11">
        <v>45161.490324074075</v>
      </c>
      <c r="F54" t="b">
        <v>1</v>
      </c>
      <c r="G54" s="10" t="s">
        <v>178</v>
      </c>
      <c r="H54">
        <v>1960</v>
      </c>
      <c r="I54">
        <v>2023</v>
      </c>
      <c r="J54">
        <v>0</v>
      </c>
      <c r="K54" s="10" t="s">
        <v>81</v>
      </c>
      <c r="L54" t="b">
        <v>0</v>
      </c>
      <c r="M54" t="b">
        <v>0</v>
      </c>
      <c r="N54" t="b">
        <v>0</v>
      </c>
    </row>
    <row r="55" spans="1:14" x14ac:dyDescent="0.2">
      <c r="A55" s="10"/>
      <c r="E55" s="12"/>
    </row>
    <row r="56" spans="1:14" x14ac:dyDescent="0.2">
      <c r="A56" s="10"/>
      <c r="E56" s="12"/>
    </row>
    <row r="57" spans="1:14" x14ac:dyDescent="0.2">
      <c r="A57" s="10"/>
      <c r="E57" s="12"/>
    </row>
    <row r="58" spans="1:14" x14ac:dyDescent="0.2">
      <c r="A58" s="10"/>
      <c r="E58" s="12"/>
    </row>
    <row r="59" spans="1:14" x14ac:dyDescent="0.2">
      <c r="A59" s="10"/>
      <c r="E59" s="12"/>
    </row>
    <row r="60" spans="1:14" x14ac:dyDescent="0.2">
      <c r="A60" s="10"/>
      <c r="E60" s="12"/>
    </row>
    <row r="61" spans="1:14" x14ac:dyDescent="0.2">
      <c r="A61" s="10"/>
      <c r="E61" s="12"/>
    </row>
    <row r="62" spans="1:14" x14ac:dyDescent="0.2">
      <c r="A62" s="10"/>
      <c r="E62" s="12"/>
    </row>
    <row r="63" spans="1:14" x14ac:dyDescent="0.2">
      <c r="A63" s="10"/>
      <c r="E63" s="12"/>
    </row>
    <row r="64" spans="1:14" x14ac:dyDescent="0.2">
      <c r="A64" s="10"/>
      <c r="E64" s="12"/>
    </row>
    <row r="65" spans="1:5" x14ac:dyDescent="0.2">
      <c r="A65" s="10"/>
      <c r="E65" s="12"/>
    </row>
    <row r="66" spans="1:5" x14ac:dyDescent="0.2">
      <c r="A66" s="10"/>
      <c r="E66" s="12"/>
    </row>
    <row r="67" spans="1:5" x14ac:dyDescent="0.2">
      <c r="A67" s="10"/>
      <c r="E67" s="12"/>
    </row>
    <row r="68" spans="1:5" x14ac:dyDescent="0.2">
      <c r="A68" s="10"/>
      <c r="E68" s="12"/>
    </row>
    <row r="69" spans="1:5" x14ac:dyDescent="0.2">
      <c r="A69" s="10"/>
      <c r="E69" s="12"/>
    </row>
    <row r="70" spans="1:5" x14ac:dyDescent="0.2">
      <c r="A70" s="10"/>
      <c r="E70" s="12"/>
    </row>
    <row r="71" spans="1:5" x14ac:dyDescent="0.2">
      <c r="A71" s="10"/>
      <c r="E71" s="12"/>
    </row>
    <row r="72" spans="1:5" x14ac:dyDescent="0.2">
      <c r="A72" s="10"/>
      <c r="E72" s="12"/>
    </row>
    <row r="73" spans="1:5" x14ac:dyDescent="0.2">
      <c r="A73" s="10"/>
      <c r="E73" s="12"/>
    </row>
    <row r="74" spans="1:5" x14ac:dyDescent="0.2">
      <c r="A74" s="10"/>
      <c r="E74" s="12"/>
    </row>
    <row r="75" spans="1:5" x14ac:dyDescent="0.2">
      <c r="A75" s="10"/>
      <c r="E75" s="12"/>
    </row>
    <row r="76" spans="1:5" x14ac:dyDescent="0.2">
      <c r="A76" s="10"/>
      <c r="E76" s="12"/>
    </row>
    <row r="77" spans="1:5" x14ac:dyDescent="0.2">
      <c r="A77" s="10"/>
      <c r="E77" s="12"/>
    </row>
    <row r="78" spans="1:5" x14ac:dyDescent="0.2">
      <c r="A78" s="10"/>
      <c r="E78" s="12"/>
    </row>
    <row r="79" spans="1:5" x14ac:dyDescent="0.2">
      <c r="A79" s="10"/>
      <c r="E79" s="12"/>
    </row>
    <row r="80" spans="1:5" x14ac:dyDescent="0.2">
      <c r="A80" s="10"/>
      <c r="E80" s="12"/>
    </row>
    <row r="81" spans="1:5" x14ac:dyDescent="0.2">
      <c r="A81" s="10"/>
      <c r="E81" s="12"/>
    </row>
    <row r="82" spans="1:5" x14ac:dyDescent="0.2">
      <c r="A82" s="10"/>
      <c r="E82" s="12"/>
    </row>
    <row r="83" spans="1:5" x14ac:dyDescent="0.2">
      <c r="A83" s="10"/>
      <c r="E83" s="12"/>
    </row>
    <row r="84" spans="1:5" x14ac:dyDescent="0.2">
      <c r="A84" s="10"/>
      <c r="E84" s="12"/>
    </row>
    <row r="85" spans="1:5" x14ac:dyDescent="0.2">
      <c r="A85" s="10"/>
      <c r="E85" s="12"/>
    </row>
    <row r="86" spans="1:5" x14ac:dyDescent="0.2">
      <c r="A86" s="10"/>
      <c r="E86" s="12"/>
    </row>
    <row r="87" spans="1:5" x14ac:dyDescent="0.2">
      <c r="A87" s="10"/>
      <c r="E87" s="12"/>
    </row>
    <row r="88" spans="1:5" x14ac:dyDescent="0.2">
      <c r="A88" s="10"/>
      <c r="E88" s="12"/>
    </row>
    <row r="89" spans="1:5" x14ac:dyDescent="0.2">
      <c r="A89" s="10"/>
      <c r="E89" s="12"/>
    </row>
    <row r="90" spans="1:5" x14ac:dyDescent="0.2">
      <c r="A90" s="10"/>
      <c r="E90" s="12"/>
    </row>
    <row r="91" spans="1:5" x14ac:dyDescent="0.2">
      <c r="A91" s="10"/>
      <c r="E91" s="12"/>
    </row>
    <row r="92" spans="1:5" x14ac:dyDescent="0.2">
      <c r="A92" s="10"/>
      <c r="E92" s="12"/>
    </row>
    <row r="93" spans="1:5" x14ac:dyDescent="0.2">
      <c r="A93" s="10"/>
      <c r="E93" s="12"/>
    </row>
    <row r="94" spans="1:5" x14ac:dyDescent="0.2">
      <c r="A94" s="10"/>
      <c r="E94" s="12"/>
    </row>
    <row r="95" spans="1:5" x14ac:dyDescent="0.2">
      <c r="A95" s="10"/>
      <c r="E95" s="12"/>
    </row>
    <row r="96" spans="1:5" x14ac:dyDescent="0.2">
      <c r="A96" s="10"/>
      <c r="E96" s="12"/>
    </row>
    <row r="97" spans="1:11" x14ac:dyDescent="0.2">
      <c r="A97" s="10"/>
      <c r="E97" s="12"/>
    </row>
    <row r="98" spans="1:11" x14ac:dyDescent="0.2">
      <c r="A98" s="10"/>
      <c r="E98" s="12"/>
    </row>
    <row r="99" spans="1:11" x14ac:dyDescent="0.2">
      <c r="A99" s="10"/>
      <c r="E99" s="12"/>
      <c r="G99" s="10"/>
      <c r="K99" s="10"/>
    </row>
    <row r="100" spans="1:11" x14ac:dyDescent="0.2">
      <c r="A100" s="10"/>
      <c r="E100" s="12"/>
      <c r="G100" s="10"/>
      <c r="K100" s="10"/>
    </row>
    <row r="101" spans="1:11" x14ac:dyDescent="0.2">
      <c r="A101" s="10"/>
      <c r="E101" s="12"/>
      <c r="G101" s="10"/>
      <c r="K101" s="10"/>
    </row>
    <row r="102" spans="1:11" x14ac:dyDescent="0.2">
      <c r="A102" s="10"/>
      <c r="E102" s="12"/>
      <c r="G102" s="10"/>
      <c r="K102" s="10"/>
    </row>
    <row r="103" spans="1:11" x14ac:dyDescent="0.2">
      <c r="A103" s="10"/>
      <c r="E103" s="12"/>
    </row>
    <row r="104" spans="1:11" x14ac:dyDescent="0.2">
      <c r="A104" s="10"/>
      <c r="E104" s="12"/>
    </row>
    <row r="105" spans="1:11" x14ac:dyDescent="0.2">
      <c r="A105" s="10"/>
      <c r="E105" s="12"/>
      <c r="G105" s="10"/>
      <c r="K105" s="10"/>
    </row>
    <row r="106" spans="1:11" x14ac:dyDescent="0.2">
      <c r="A106" s="10"/>
      <c r="E106" s="12"/>
    </row>
    <row r="107" spans="1:11" x14ac:dyDescent="0.2">
      <c r="A107" s="10"/>
      <c r="E107" s="12"/>
    </row>
    <row r="108" spans="1:11" x14ac:dyDescent="0.2">
      <c r="A108" s="10"/>
      <c r="E108" s="12"/>
    </row>
    <row r="109" spans="1:11" x14ac:dyDescent="0.2">
      <c r="A109" s="10"/>
      <c r="E109" s="12"/>
    </row>
    <row r="110" spans="1:11" x14ac:dyDescent="0.2">
      <c r="A110" s="10"/>
      <c r="E110" s="12"/>
    </row>
    <row r="111" spans="1:11" x14ac:dyDescent="0.2">
      <c r="A111" s="10"/>
      <c r="E111" s="12"/>
    </row>
    <row r="112" spans="1:11" x14ac:dyDescent="0.2">
      <c r="A112" s="10"/>
      <c r="E112" s="12"/>
    </row>
    <row r="113" spans="1:5" x14ac:dyDescent="0.2">
      <c r="A113" s="10"/>
      <c r="E113" s="12"/>
    </row>
    <row r="114" spans="1:5" x14ac:dyDescent="0.2">
      <c r="A114" s="10"/>
      <c r="E114" s="12"/>
    </row>
    <row r="115" spans="1:5" x14ac:dyDescent="0.2">
      <c r="A115" s="10"/>
      <c r="E115" s="12"/>
    </row>
    <row r="116" spans="1:5" x14ac:dyDescent="0.2">
      <c r="A116" s="10"/>
      <c r="E116" s="12"/>
    </row>
    <row r="117" spans="1:5" x14ac:dyDescent="0.2">
      <c r="A117" s="10"/>
      <c r="E117" s="12"/>
    </row>
    <row r="118" spans="1:5" x14ac:dyDescent="0.2">
      <c r="A118" s="10"/>
      <c r="E118" s="12"/>
    </row>
    <row r="119" spans="1:5" x14ac:dyDescent="0.2">
      <c r="A119" s="10"/>
      <c r="E119" s="12"/>
    </row>
    <row r="120" spans="1:5" x14ac:dyDescent="0.2">
      <c r="A120" s="10"/>
      <c r="E120" s="12"/>
    </row>
    <row r="121" spans="1:5" x14ac:dyDescent="0.2">
      <c r="A121" s="10"/>
      <c r="E121" s="12"/>
    </row>
    <row r="122" spans="1:5" x14ac:dyDescent="0.2">
      <c r="A122" s="10"/>
      <c r="E122" s="12"/>
    </row>
    <row r="123" spans="1:5" x14ac:dyDescent="0.2">
      <c r="A123" s="10"/>
      <c r="E123" s="12"/>
    </row>
    <row r="124" spans="1:5" x14ac:dyDescent="0.2">
      <c r="A124" s="10"/>
      <c r="E124" s="12"/>
    </row>
    <row r="125" spans="1:5" x14ac:dyDescent="0.2">
      <c r="A125" s="10"/>
      <c r="E125" s="12"/>
    </row>
    <row r="126" spans="1:5" x14ac:dyDescent="0.2">
      <c r="A126" s="10"/>
      <c r="E126" s="12"/>
    </row>
    <row r="127" spans="1:5" x14ac:dyDescent="0.2">
      <c r="A127" s="10"/>
      <c r="E127" s="12"/>
    </row>
    <row r="128" spans="1:5" x14ac:dyDescent="0.2">
      <c r="A128" s="10"/>
      <c r="E128" s="12"/>
    </row>
    <row r="129" spans="1:5" x14ac:dyDescent="0.2">
      <c r="A129" s="10"/>
      <c r="E129" s="12"/>
    </row>
    <row r="130" spans="1:5" x14ac:dyDescent="0.2">
      <c r="A130" s="10"/>
      <c r="E130" s="12"/>
    </row>
    <row r="131" spans="1:5" x14ac:dyDescent="0.2">
      <c r="A131" s="10"/>
      <c r="E131" s="12"/>
    </row>
    <row r="132" spans="1:5" x14ac:dyDescent="0.2">
      <c r="A132" s="10"/>
      <c r="E132" s="12"/>
    </row>
    <row r="133" spans="1:5" x14ac:dyDescent="0.2">
      <c r="A133" s="10"/>
      <c r="E133" s="12"/>
    </row>
    <row r="134" spans="1:5" x14ac:dyDescent="0.2">
      <c r="A134" s="10"/>
      <c r="E134" s="12"/>
    </row>
    <row r="135" spans="1:5" x14ac:dyDescent="0.2">
      <c r="A135" s="10"/>
      <c r="E135" s="12"/>
    </row>
    <row r="136" spans="1:5" x14ac:dyDescent="0.2">
      <c r="A136" s="10"/>
      <c r="E136" s="12"/>
    </row>
    <row r="137" spans="1:5" x14ac:dyDescent="0.2">
      <c r="A137" s="10"/>
      <c r="E137" s="12"/>
    </row>
    <row r="138" spans="1:5" x14ac:dyDescent="0.2">
      <c r="A138" s="10"/>
      <c r="E138" s="12"/>
    </row>
    <row r="139" spans="1:5" x14ac:dyDescent="0.2">
      <c r="A139" s="10"/>
      <c r="E139" s="12"/>
    </row>
    <row r="140" spans="1:5" x14ac:dyDescent="0.2">
      <c r="A140" s="10"/>
      <c r="E140" s="12"/>
    </row>
    <row r="141" spans="1:5" x14ac:dyDescent="0.2">
      <c r="A141" s="10"/>
      <c r="E141" s="12"/>
    </row>
    <row r="142" spans="1:5" x14ac:dyDescent="0.2">
      <c r="A142" s="10"/>
      <c r="E142" s="12"/>
    </row>
    <row r="143" spans="1:5" x14ac:dyDescent="0.2">
      <c r="A143" s="10"/>
      <c r="E143" s="12"/>
    </row>
    <row r="144" spans="1:5" x14ac:dyDescent="0.2">
      <c r="A144" s="10"/>
      <c r="E144" s="12"/>
    </row>
    <row r="145" spans="1:5" x14ac:dyDescent="0.2">
      <c r="A145" s="10"/>
      <c r="E145" s="12"/>
    </row>
    <row r="146" spans="1:5" x14ac:dyDescent="0.2">
      <c r="A146" s="10"/>
      <c r="E146" s="12"/>
    </row>
    <row r="147" spans="1:5" x14ac:dyDescent="0.2">
      <c r="A147" s="10"/>
      <c r="E147" s="12"/>
    </row>
    <row r="148" spans="1:5" x14ac:dyDescent="0.2">
      <c r="A148" s="10"/>
      <c r="E148" s="12"/>
    </row>
    <row r="149" spans="1:5" x14ac:dyDescent="0.2">
      <c r="A149" s="10"/>
      <c r="E149" s="12"/>
    </row>
    <row r="150" spans="1:5" x14ac:dyDescent="0.2">
      <c r="A150" s="10"/>
      <c r="E150" s="12"/>
    </row>
    <row r="151" spans="1:5" x14ac:dyDescent="0.2">
      <c r="A151" s="10"/>
      <c r="E151" s="12"/>
    </row>
    <row r="152" spans="1:5" x14ac:dyDescent="0.2">
      <c r="A152" s="10"/>
      <c r="E152" s="12"/>
    </row>
    <row r="153" spans="1:5" x14ac:dyDescent="0.2">
      <c r="A153" s="10"/>
      <c r="E153" s="12"/>
    </row>
    <row r="154" spans="1:5" x14ac:dyDescent="0.2">
      <c r="A154" s="10"/>
      <c r="E154" s="12"/>
    </row>
    <row r="155" spans="1:5" x14ac:dyDescent="0.2">
      <c r="A155" s="10"/>
      <c r="E155" s="12"/>
    </row>
    <row r="156" spans="1:5" x14ac:dyDescent="0.2">
      <c r="A156" s="10"/>
      <c r="E156" s="12"/>
    </row>
    <row r="157" spans="1:5" x14ac:dyDescent="0.2">
      <c r="A157" s="10"/>
      <c r="E157" s="12"/>
    </row>
    <row r="158" spans="1:5" x14ac:dyDescent="0.2">
      <c r="A158" s="10"/>
      <c r="E158" s="12"/>
    </row>
    <row r="159" spans="1:5" x14ac:dyDescent="0.2">
      <c r="A159" s="10"/>
      <c r="E159" s="12"/>
    </row>
    <row r="160" spans="1:5" x14ac:dyDescent="0.2">
      <c r="A160" s="10"/>
      <c r="E160" s="12"/>
    </row>
    <row r="161" spans="1:5" x14ac:dyDescent="0.2">
      <c r="A161" s="10"/>
      <c r="E161" s="12"/>
    </row>
    <row r="162" spans="1:5" x14ac:dyDescent="0.2">
      <c r="A162" s="10"/>
      <c r="E162" s="12"/>
    </row>
    <row r="163" spans="1:5" x14ac:dyDescent="0.2">
      <c r="A163" s="10"/>
      <c r="E163" s="12"/>
    </row>
    <row r="164" spans="1:5" x14ac:dyDescent="0.2">
      <c r="A164" s="10"/>
      <c r="E164" s="12"/>
    </row>
    <row r="165" spans="1:5" x14ac:dyDescent="0.2">
      <c r="A165" s="10"/>
      <c r="E165" s="12"/>
    </row>
    <row r="166" spans="1:5" x14ac:dyDescent="0.2">
      <c r="A166" s="10"/>
      <c r="E166" s="12"/>
    </row>
    <row r="167" spans="1:5" x14ac:dyDescent="0.2">
      <c r="A167" s="10"/>
      <c r="E167" s="12"/>
    </row>
    <row r="168" spans="1:5" x14ac:dyDescent="0.2">
      <c r="A168" s="10"/>
      <c r="E168" s="12"/>
    </row>
    <row r="169" spans="1:5" x14ac:dyDescent="0.2">
      <c r="A169" s="10"/>
      <c r="E169" s="12"/>
    </row>
    <row r="170" spans="1:5" x14ac:dyDescent="0.2">
      <c r="A170" s="10"/>
      <c r="E170" s="12"/>
    </row>
    <row r="171" spans="1:5" x14ac:dyDescent="0.2">
      <c r="A171" s="10"/>
      <c r="E171" s="12"/>
    </row>
    <row r="172" spans="1:5" x14ac:dyDescent="0.2">
      <c r="A172" s="10"/>
      <c r="E172" s="12"/>
    </row>
    <row r="173" spans="1:5" x14ac:dyDescent="0.2">
      <c r="A173" s="10"/>
      <c r="E173" s="12"/>
    </row>
    <row r="174" spans="1:5" x14ac:dyDescent="0.2">
      <c r="A174" s="10"/>
      <c r="E174" s="12"/>
    </row>
    <row r="175" spans="1:5" x14ac:dyDescent="0.2">
      <c r="A175" s="10"/>
      <c r="E175" s="12"/>
    </row>
    <row r="176" spans="1:5" x14ac:dyDescent="0.2">
      <c r="A176" s="10"/>
      <c r="E176" s="12"/>
    </row>
    <row r="177" spans="1:5" x14ac:dyDescent="0.2">
      <c r="A177" s="10"/>
      <c r="E177" s="12"/>
    </row>
    <row r="178" spans="1:5" x14ac:dyDescent="0.2">
      <c r="A178" s="10"/>
      <c r="E178" s="12"/>
    </row>
    <row r="179" spans="1:5" x14ac:dyDescent="0.2">
      <c r="A179" s="10"/>
      <c r="E179" s="12"/>
    </row>
    <row r="180" spans="1:5" x14ac:dyDescent="0.2">
      <c r="A180" s="10"/>
      <c r="E180" s="12"/>
    </row>
    <row r="181" spans="1:5" x14ac:dyDescent="0.2">
      <c r="A181" s="10"/>
      <c r="E181" s="12"/>
    </row>
    <row r="182" spans="1:5" x14ac:dyDescent="0.2">
      <c r="A182" s="10"/>
      <c r="E182" s="12"/>
    </row>
    <row r="183" spans="1:5" x14ac:dyDescent="0.2">
      <c r="A183" s="10"/>
      <c r="E183" s="12"/>
    </row>
    <row r="184" spans="1:5" x14ac:dyDescent="0.2">
      <c r="A184" s="10"/>
      <c r="E184" s="12"/>
    </row>
    <row r="185" spans="1:5" x14ac:dyDescent="0.2">
      <c r="A185" s="10"/>
      <c r="E185" s="12"/>
    </row>
    <row r="186" spans="1:5" x14ac:dyDescent="0.2">
      <c r="A186" s="10"/>
      <c r="E186" s="12"/>
    </row>
    <row r="187" spans="1:5" x14ac:dyDescent="0.2">
      <c r="A187" s="10"/>
      <c r="E187" s="12"/>
    </row>
    <row r="188" spans="1:5" x14ac:dyDescent="0.2">
      <c r="A188" s="10"/>
      <c r="E188" s="12"/>
    </row>
    <row r="189" spans="1:5" x14ac:dyDescent="0.2">
      <c r="A189" s="10"/>
      <c r="E189" s="12"/>
    </row>
    <row r="190" spans="1:5" x14ac:dyDescent="0.2">
      <c r="A190" s="10"/>
      <c r="E190" s="12"/>
    </row>
    <row r="191" spans="1:5" x14ac:dyDescent="0.2">
      <c r="A191" s="10"/>
      <c r="E191" s="12"/>
    </row>
    <row r="192" spans="1:5" x14ac:dyDescent="0.2">
      <c r="A192" s="10"/>
      <c r="E192" s="12"/>
    </row>
    <row r="193" spans="1:5" x14ac:dyDescent="0.2">
      <c r="A193" s="10"/>
      <c r="E193" s="12"/>
    </row>
    <row r="194" spans="1:5" x14ac:dyDescent="0.2">
      <c r="A194" s="10"/>
      <c r="E194" s="12"/>
    </row>
    <row r="195" spans="1:5" x14ac:dyDescent="0.2">
      <c r="A195" s="10"/>
      <c r="E195" s="12"/>
    </row>
    <row r="196" spans="1:5" x14ac:dyDescent="0.2">
      <c r="A196" s="10"/>
      <c r="E196" s="12"/>
    </row>
    <row r="197" spans="1:5" x14ac:dyDescent="0.2">
      <c r="A197" s="10"/>
      <c r="E197" s="12"/>
    </row>
    <row r="198" spans="1:5" x14ac:dyDescent="0.2">
      <c r="A198" s="10"/>
      <c r="E198" s="12"/>
    </row>
    <row r="199" spans="1:5" x14ac:dyDescent="0.2">
      <c r="A199" s="10"/>
      <c r="E199" s="12"/>
    </row>
    <row r="200" spans="1:5" x14ac:dyDescent="0.2">
      <c r="A200" s="10"/>
      <c r="E200" s="12"/>
    </row>
    <row r="201" spans="1:5" x14ac:dyDescent="0.2">
      <c r="A201" s="10"/>
      <c r="E201" s="12"/>
    </row>
    <row r="202" spans="1:5" x14ac:dyDescent="0.2">
      <c r="A202" s="10"/>
      <c r="E202" s="12"/>
    </row>
    <row r="203" spans="1:5" x14ac:dyDescent="0.2">
      <c r="A203" s="10"/>
      <c r="E203" s="12"/>
    </row>
    <row r="204" spans="1:5" x14ac:dyDescent="0.2">
      <c r="A204" s="10"/>
      <c r="E204" s="12"/>
    </row>
    <row r="205" spans="1:5" x14ac:dyDescent="0.2">
      <c r="A205" s="10"/>
      <c r="E205" s="12"/>
    </row>
    <row r="206" spans="1:5" x14ac:dyDescent="0.2">
      <c r="A206" s="10"/>
      <c r="E206" s="12"/>
    </row>
    <row r="207" spans="1:5" x14ac:dyDescent="0.2">
      <c r="A207" s="10"/>
      <c r="E207" s="12"/>
    </row>
    <row r="208" spans="1:5" x14ac:dyDescent="0.2">
      <c r="A208" s="10"/>
      <c r="E208" s="12"/>
    </row>
    <row r="209" spans="1:5" x14ac:dyDescent="0.2">
      <c r="A209" s="10"/>
      <c r="E209" s="12"/>
    </row>
    <row r="210" spans="1:5" x14ac:dyDescent="0.2">
      <c r="A210" s="10"/>
      <c r="E210" s="12"/>
    </row>
    <row r="211" spans="1:5" x14ac:dyDescent="0.2">
      <c r="A211" s="10"/>
      <c r="E211" s="12"/>
    </row>
    <row r="212" spans="1:5" x14ac:dyDescent="0.2">
      <c r="A212" s="10"/>
      <c r="E212" s="12"/>
    </row>
    <row r="213" spans="1:5" x14ac:dyDescent="0.2">
      <c r="A213" s="10"/>
      <c r="E213" s="12"/>
    </row>
    <row r="214" spans="1:5" x14ac:dyDescent="0.2">
      <c r="A214" s="10"/>
      <c r="E214" s="12"/>
    </row>
    <row r="215" spans="1:5" x14ac:dyDescent="0.2">
      <c r="A215" s="10"/>
      <c r="E215" s="12"/>
    </row>
    <row r="216" spans="1:5" x14ac:dyDescent="0.2">
      <c r="A216" s="10"/>
      <c r="E216" s="12"/>
    </row>
    <row r="217" spans="1:5" x14ac:dyDescent="0.2">
      <c r="A217" s="10"/>
      <c r="E217" s="12"/>
    </row>
    <row r="218" spans="1:5" x14ac:dyDescent="0.2">
      <c r="A218" s="10"/>
      <c r="E218" s="12"/>
    </row>
    <row r="219" spans="1:5" x14ac:dyDescent="0.2">
      <c r="A219" s="10"/>
      <c r="E219" s="12"/>
    </row>
    <row r="220" spans="1:5" x14ac:dyDescent="0.2">
      <c r="A220" s="10"/>
      <c r="E220" s="12"/>
    </row>
    <row r="221" spans="1:5" x14ac:dyDescent="0.2">
      <c r="A221" s="10"/>
      <c r="E221" s="12"/>
    </row>
    <row r="222" spans="1:5" x14ac:dyDescent="0.2">
      <c r="A222" s="10"/>
      <c r="E222" s="12"/>
    </row>
    <row r="223" spans="1:5" x14ac:dyDescent="0.2">
      <c r="A223" s="10"/>
      <c r="E223" s="12"/>
    </row>
    <row r="224" spans="1:5" x14ac:dyDescent="0.2">
      <c r="A224" s="10"/>
      <c r="E224" s="12"/>
    </row>
    <row r="225" spans="1:5" x14ac:dyDescent="0.2">
      <c r="A225" s="10"/>
      <c r="E225" s="12"/>
    </row>
    <row r="226" spans="1:5" x14ac:dyDescent="0.2">
      <c r="A226" s="10"/>
      <c r="E226" s="12"/>
    </row>
    <row r="227" spans="1:5" x14ac:dyDescent="0.2">
      <c r="A227" s="10"/>
      <c r="E227" s="12"/>
    </row>
    <row r="228" spans="1:5" x14ac:dyDescent="0.2">
      <c r="A228" s="10"/>
      <c r="E228" s="12"/>
    </row>
    <row r="229" spans="1:5" x14ac:dyDescent="0.2">
      <c r="A229" s="10"/>
      <c r="E229" s="12"/>
    </row>
    <row r="230" spans="1:5" x14ac:dyDescent="0.2">
      <c r="A230" s="10"/>
      <c r="E230" s="12"/>
    </row>
    <row r="231" spans="1:5" x14ac:dyDescent="0.2">
      <c r="A231" s="10"/>
      <c r="E231" s="12"/>
    </row>
    <row r="232" spans="1:5" x14ac:dyDescent="0.2">
      <c r="A232" s="10"/>
      <c r="E232" s="12"/>
    </row>
    <row r="233" spans="1:5" x14ac:dyDescent="0.2">
      <c r="A233" s="10"/>
      <c r="E233" s="12"/>
    </row>
    <row r="234" spans="1:5" x14ac:dyDescent="0.2">
      <c r="A234" s="10"/>
      <c r="E234" s="12"/>
    </row>
    <row r="235" spans="1:5" x14ac:dyDescent="0.2">
      <c r="A235" s="10"/>
      <c r="E235" s="12"/>
    </row>
    <row r="236" spans="1:5" x14ac:dyDescent="0.2">
      <c r="A236" s="10"/>
      <c r="E236" s="12"/>
    </row>
    <row r="237" spans="1:5" x14ac:dyDescent="0.2">
      <c r="A237" s="10"/>
      <c r="E237" s="12"/>
    </row>
    <row r="238" spans="1:5" x14ac:dyDescent="0.2">
      <c r="A238" s="10"/>
      <c r="E238" s="12"/>
    </row>
    <row r="239" spans="1:5" x14ac:dyDescent="0.2">
      <c r="A239" s="10"/>
      <c r="E239" s="12"/>
    </row>
    <row r="240" spans="1:5" x14ac:dyDescent="0.2">
      <c r="A240" s="10"/>
      <c r="E240" s="12"/>
    </row>
    <row r="241" spans="1:5" x14ac:dyDescent="0.2">
      <c r="A241" s="10"/>
      <c r="E241" s="12"/>
    </row>
    <row r="242" spans="1:5" x14ac:dyDescent="0.2">
      <c r="A242" s="10"/>
      <c r="E242" s="12"/>
    </row>
    <row r="243" spans="1:5" x14ac:dyDescent="0.2">
      <c r="A243" s="10"/>
      <c r="E243" s="12"/>
    </row>
    <row r="244" spans="1:5" x14ac:dyDescent="0.2">
      <c r="A244" s="10"/>
      <c r="E244" s="12"/>
    </row>
    <row r="245" spans="1:5" x14ac:dyDescent="0.2">
      <c r="A245" s="10"/>
      <c r="E245" s="12"/>
    </row>
    <row r="246" spans="1:5" x14ac:dyDescent="0.2">
      <c r="A246" s="10"/>
      <c r="E246" s="12"/>
    </row>
    <row r="247" spans="1:5" x14ac:dyDescent="0.2">
      <c r="A247" s="10"/>
      <c r="E247" s="12"/>
    </row>
    <row r="248" spans="1:5" x14ac:dyDescent="0.2">
      <c r="A248" s="10"/>
      <c r="E248" s="12"/>
    </row>
    <row r="249" spans="1:5" x14ac:dyDescent="0.2">
      <c r="A249" s="10"/>
      <c r="E249" s="12"/>
    </row>
    <row r="250" spans="1:5" x14ac:dyDescent="0.2">
      <c r="A250" s="10"/>
      <c r="E250" s="12"/>
    </row>
    <row r="251" spans="1:5" x14ac:dyDescent="0.2">
      <c r="A251" s="10"/>
      <c r="E251" s="12"/>
    </row>
    <row r="252" spans="1:5" x14ac:dyDescent="0.2">
      <c r="A252" s="10"/>
      <c r="E252" s="12"/>
    </row>
    <row r="253" spans="1:5" x14ac:dyDescent="0.2">
      <c r="A253" s="10"/>
      <c r="E253" s="12"/>
    </row>
    <row r="254" spans="1:5" x14ac:dyDescent="0.2">
      <c r="A254" s="10"/>
      <c r="E254" s="12"/>
    </row>
    <row r="255" spans="1:5" x14ac:dyDescent="0.2">
      <c r="A255" s="10"/>
      <c r="E255" s="12"/>
    </row>
    <row r="256" spans="1:5" x14ac:dyDescent="0.2">
      <c r="A256" s="10"/>
      <c r="E256" s="12"/>
    </row>
    <row r="257" spans="1:5" x14ac:dyDescent="0.2">
      <c r="A257" s="10"/>
      <c r="E257" s="12"/>
    </row>
    <row r="258" spans="1:5" x14ac:dyDescent="0.2">
      <c r="A258" s="10"/>
      <c r="E258" s="12"/>
    </row>
    <row r="259" spans="1:5" x14ac:dyDescent="0.2">
      <c r="A259" s="10"/>
      <c r="E259" s="12"/>
    </row>
    <row r="260" spans="1:5" x14ac:dyDescent="0.2">
      <c r="A260" s="10"/>
      <c r="E260" s="12"/>
    </row>
    <row r="261" spans="1:5" x14ac:dyDescent="0.2">
      <c r="A261" s="10"/>
      <c r="E261" s="12"/>
    </row>
    <row r="262" spans="1:5" x14ac:dyDescent="0.2">
      <c r="A262" s="10"/>
      <c r="E262" s="12"/>
    </row>
    <row r="263" spans="1:5" x14ac:dyDescent="0.2">
      <c r="A263" s="10"/>
      <c r="E263" s="12"/>
    </row>
    <row r="264" spans="1:5" x14ac:dyDescent="0.2">
      <c r="A264" s="10"/>
      <c r="E264" s="12"/>
    </row>
    <row r="265" spans="1:5" x14ac:dyDescent="0.2">
      <c r="A265" s="10"/>
      <c r="E265" s="12"/>
    </row>
    <row r="266" spans="1:5" x14ac:dyDescent="0.2">
      <c r="A266" s="10"/>
      <c r="E266" s="12"/>
    </row>
    <row r="267" spans="1:5" x14ac:dyDescent="0.2">
      <c r="A267" s="10"/>
      <c r="E267" s="12"/>
    </row>
    <row r="268" spans="1:5" x14ac:dyDescent="0.2">
      <c r="A268" s="10"/>
      <c r="E268" s="12"/>
    </row>
    <row r="269" spans="1:5" x14ac:dyDescent="0.2">
      <c r="A269" s="10"/>
      <c r="E269" s="12"/>
    </row>
    <row r="270" spans="1:5" x14ac:dyDescent="0.2">
      <c r="A270" s="10"/>
      <c r="E270" s="12"/>
    </row>
    <row r="271" spans="1:5" x14ac:dyDescent="0.2">
      <c r="A271" s="10"/>
      <c r="E271" s="12"/>
    </row>
    <row r="272" spans="1:5" x14ac:dyDescent="0.2">
      <c r="A272" s="10"/>
      <c r="E272" s="12"/>
    </row>
    <row r="273" spans="1:5" x14ac:dyDescent="0.2">
      <c r="A273" s="10"/>
      <c r="E273" s="12"/>
    </row>
    <row r="274" spans="1:5" x14ac:dyDescent="0.2">
      <c r="A274" s="10"/>
      <c r="E274" s="12"/>
    </row>
    <row r="275" spans="1:5" x14ac:dyDescent="0.2">
      <c r="A275" s="10"/>
      <c r="E275" s="12"/>
    </row>
    <row r="276" spans="1:5" x14ac:dyDescent="0.2">
      <c r="A276" s="10"/>
      <c r="E276" s="12"/>
    </row>
    <row r="277" spans="1:5" x14ac:dyDescent="0.2">
      <c r="A277" s="10"/>
      <c r="E277" s="12"/>
    </row>
    <row r="278" spans="1:5" x14ac:dyDescent="0.2">
      <c r="A278" s="10"/>
      <c r="E278" s="12"/>
    </row>
    <row r="279" spans="1:5" x14ac:dyDescent="0.2">
      <c r="A279" s="10"/>
      <c r="E279" s="12"/>
    </row>
    <row r="280" spans="1:5" x14ac:dyDescent="0.2">
      <c r="A280" s="10"/>
      <c r="E280" s="12"/>
    </row>
    <row r="281" spans="1:5" x14ac:dyDescent="0.2">
      <c r="A281" s="10"/>
      <c r="E281" s="12"/>
    </row>
    <row r="282" spans="1:5" x14ac:dyDescent="0.2">
      <c r="A282" s="10"/>
      <c r="E282" s="12"/>
    </row>
    <row r="283" spans="1:5" x14ac:dyDescent="0.2">
      <c r="A283" s="10"/>
      <c r="E283" s="12"/>
    </row>
    <row r="284" spans="1:5" x14ac:dyDescent="0.2">
      <c r="A284" s="10"/>
      <c r="E284" s="12"/>
    </row>
    <row r="285" spans="1:5" x14ac:dyDescent="0.2">
      <c r="A285" s="10"/>
      <c r="E285" s="12"/>
    </row>
    <row r="286" spans="1:5" x14ac:dyDescent="0.2">
      <c r="A286" s="10"/>
      <c r="E286" s="12"/>
    </row>
    <row r="287" spans="1:5" x14ac:dyDescent="0.2">
      <c r="A287" s="10"/>
      <c r="E287" s="12"/>
    </row>
    <row r="288" spans="1:5" x14ac:dyDescent="0.2">
      <c r="A288" s="10"/>
      <c r="E288" s="12"/>
    </row>
    <row r="289" spans="1:5" x14ac:dyDescent="0.2">
      <c r="A289" s="10"/>
      <c r="E289" s="12"/>
    </row>
    <row r="290" spans="1:5" x14ac:dyDescent="0.2">
      <c r="A290" s="10"/>
      <c r="E290" s="12"/>
    </row>
    <row r="291" spans="1:5" x14ac:dyDescent="0.2">
      <c r="A291" s="10"/>
      <c r="E291" s="12"/>
    </row>
    <row r="292" spans="1:5" x14ac:dyDescent="0.2">
      <c r="A292" s="10"/>
      <c r="E292" s="12"/>
    </row>
    <row r="293" spans="1:5" x14ac:dyDescent="0.2">
      <c r="A293" s="10"/>
      <c r="E293" s="12"/>
    </row>
    <row r="294" spans="1:5" x14ac:dyDescent="0.2">
      <c r="A294" s="10"/>
      <c r="E294" s="12"/>
    </row>
    <row r="295" spans="1:5" x14ac:dyDescent="0.2">
      <c r="A295" s="10"/>
      <c r="E295" s="12"/>
    </row>
    <row r="296" spans="1:5" x14ac:dyDescent="0.2">
      <c r="A296" s="10"/>
      <c r="E296" s="12"/>
    </row>
    <row r="297" spans="1:5" x14ac:dyDescent="0.2">
      <c r="A297" s="10"/>
      <c r="E297" s="12"/>
    </row>
    <row r="298" spans="1:5" x14ac:dyDescent="0.2">
      <c r="A298" s="10"/>
      <c r="E298" s="12"/>
    </row>
    <row r="299" spans="1:5" x14ac:dyDescent="0.2">
      <c r="A299" s="10"/>
      <c r="E299" s="12"/>
    </row>
    <row r="300" spans="1:5" x14ac:dyDescent="0.2">
      <c r="A300" s="10"/>
      <c r="E300" s="12"/>
    </row>
    <row r="301" spans="1:5" x14ac:dyDescent="0.2">
      <c r="A301" s="10"/>
      <c r="E301" s="12"/>
    </row>
    <row r="302" spans="1:5" x14ac:dyDescent="0.2">
      <c r="A302" s="10"/>
      <c r="E302" s="12"/>
    </row>
    <row r="303" spans="1:5" x14ac:dyDescent="0.2">
      <c r="A303" s="10"/>
      <c r="E303" s="12"/>
    </row>
    <row r="304" spans="1:5" x14ac:dyDescent="0.2">
      <c r="A304" s="10"/>
      <c r="E304" s="12"/>
    </row>
    <row r="305" spans="1:5" x14ac:dyDescent="0.2">
      <c r="A305" s="10"/>
      <c r="E305" s="12"/>
    </row>
    <row r="306" spans="1:5" x14ac:dyDescent="0.2">
      <c r="A306" s="10"/>
      <c r="E306" s="12"/>
    </row>
    <row r="307" spans="1:5" x14ac:dyDescent="0.2">
      <c r="A307" s="10"/>
      <c r="E307" s="12"/>
    </row>
    <row r="308" spans="1:5" x14ac:dyDescent="0.2">
      <c r="A308" s="10"/>
      <c r="E308" s="12"/>
    </row>
    <row r="309" spans="1:5" x14ac:dyDescent="0.2">
      <c r="A309" s="10"/>
      <c r="E309" s="12"/>
    </row>
    <row r="310" spans="1:5" x14ac:dyDescent="0.2">
      <c r="A310" s="10"/>
      <c r="E310" s="12"/>
    </row>
    <row r="311" spans="1:5" x14ac:dyDescent="0.2">
      <c r="A311" s="10"/>
      <c r="E311" s="12"/>
    </row>
    <row r="312" spans="1:5" x14ac:dyDescent="0.2">
      <c r="A312" s="10"/>
      <c r="E312" s="12"/>
    </row>
    <row r="313" spans="1:5" x14ac:dyDescent="0.2">
      <c r="A313" s="10"/>
      <c r="E313" s="12"/>
    </row>
    <row r="314" spans="1:5" x14ac:dyDescent="0.2">
      <c r="A314" s="10"/>
      <c r="E314" s="12"/>
    </row>
    <row r="315" spans="1:5" x14ac:dyDescent="0.2">
      <c r="A315" s="10"/>
      <c r="E315" s="12"/>
    </row>
    <row r="316" spans="1:5" x14ac:dyDescent="0.2">
      <c r="A316" s="10"/>
      <c r="E316" s="12"/>
    </row>
    <row r="317" spans="1:5" x14ac:dyDescent="0.2">
      <c r="A317" s="10"/>
      <c r="E317" s="12"/>
    </row>
    <row r="318" spans="1:5" x14ac:dyDescent="0.2">
      <c r="A318" s="10"/>
      <c r="E318" s="12"/>
    </row>
    <row r="319" spans="1:5" x14ac:dyDescent="0.2">
      <c r="A319" s="10"/>
      <c r="E319" s="12"/>
    </row>
    <row r="320" spans="1:5" x14ac:dyDescent="0.2">
      <c r="A320" s="10"/>
      <c r="E320" s="12"/>
    </row>
    <row r="321" spans="1:5" x14ac:dyDescent="0.2">
      <c r="A321" s="10"/>
      <c r="E321" s="12"/>
    </row>
    <row r="322" spans="1:5" x14ac:dyDescent="0.2">
      <c r="A322" s="10"/>
      <c r="E322" s="12"/>
    </row>
    <row r="323" spans="1:5" x14ac:dyDescent="0.2">
      <c r="A323" s="10"/>
      <c r="E323" s="12"/>
    </row>
    <row r="324" spans="1:5" x14ac:dyDescent="0.2">
      <c r="A324" s="10"/>
      <c r="E324" s="12"/>
    </row>
    <row r="325" spans="1:5" x14ac:dyDescent="0.2">
      <c r="A325" s="10"/>
      <c r="E325" s="12"/>
    </row>
    <row r="326" spans="1:5" x14ac:dyDescent="0.2">
      <c r="A326" s="10"/>
      <c r="E326" s="12"/>
    </row>
    <row r="327" spans="1:5" x14ac:dyDescent="0.2">
      <c r="A327" s="10"/>
      <c r="E327" s="12"/>
    </row>
    <row r="328" spans="1:5" x14ac:dyDescent="0.2">
      <c r="A328" s="10"/>
      <c r="E328" s="12"/>
    </row>
    <row r="329" spans="1:5" x14ac:dyDescent="0.2">
      <c r="A329" s="10"/>
      <c r="E329" s="12"/>
    </row>
    <row r="330" spans="1:5" x14ac:dyDescent="0.2">
      <c r="A330" s="10"/>
      <c r="E330" s="12"/>
    </row>
    <row r="331" spans="1:5" x14ac:dyDescent="0.2">
      <c r="A331" s="10"/>
      <c r="E331" s="12"/>
    </row>
    <row r="332" spans="1:5" x14ac:dyDescent="0.2">
      <c r="A332" s="10"/>
      <c r="E332" s="12"/>
    </row>
    <row r="333" spans="1:5" x14ac:dyDescent="0.2">
      <c r="A333" s="10"/>
      <c r="E333" s="12"/>
    </row>
    <row r="334" spans="1:5" x14ac:dyDescent="0.2">
      <c r="A334" s="10"/>
      <c r="E334" s="12"/>
    </row>
    <row r="335" spans="1:5" x14ac:dyDescent="0.2">
      <c r="A335" s="10"/>
      <c r="E335" s="12"/>
    </row>
    <row r="336" spans="1:5" x14ac:dyDescent="0.2">
      <c r="A336" s="10"/>
      <c r="E336" s="12"/>
    </row>
    <row r="337" spans="1:5" x14ac:dyDescent="0.2">
      <c r="A337" s="10"/>
      <c r="E337" s="12"/>
    </row>
    <row r="338" spans="1:5" x14ac:dyDescent="0.2">
      <c r="A338" s="10"/>
      <c r="E338" s="12"/>
    </row>
    <row r="339" spans="1:5" x14ac:dyDescent="0.2">
      <c r="A339" s="10"/>
      <c r="E339" s="12"/>
    </row>
    <row r="340" spans="1:5" x14ac:dyDescent="0.2">
      <c r="A340" s="10"/>
      <c r="E340" s="12"/>
    </row>
    <row r="341" spans="1:5" x14ac:dyDescent="0.2">
      <c r="A341" s="10"/>
      <c r="E341" s="12"/>
    </row>
    <row r="342" spans="1:5" x14ac:dyDescent="0.2">
      <c r="A342" s="10"/>
      <c r="E342" s="12"/>
    </row>
    <row r="343" spans="1:5" x14ac:dyDescent="0.2">
      <c r="A343" s="10"/>
      <c r="E343" s="12"/>
    </row>
    <row r="344" spans="1:5" x14ac:dyDescent="0.2">
      <c r="A344" s="10"/>
      <c r="E344" s="12"/>
    </row>
    <row r="345" spans="1:5" x14ac:dyDescent="0.2">
      <c r="A345" s="10"/>
      <c r="E345" s="12"/>
    </row>
    <row r="346" spans="1:5" x14ac:dyDescent="0.2">
      <c r="A346" s="10"/>
      <c r="E346" s="12"/>
    </row>
    <row r="347" spans="1:5" x14ac:dyDescent="0.2">
      <c r="A347" s="10"/>
      <c r="E347" s="12"/>
    </row>
    <row r="348" spans="1:5" x14ac:dyDescent="0.2">
      <c r="A348" s="10"/>
      <c r="E348" s="12"/>
    </row>
    <row r="349" spans="1:5" x14ac:dyDescent="0.2">
      <c r="A349" s="10"/>
      <c r="E349" s="12"/>
    </row>
    <row r="350" spans="1:5" x14ac:dyDescent="0.2">
      <c r="A350" s="10"/>
      <c r="E350" s="12"/>
    </row>
    <row r="351" spans="1:5" x14ac:dyDescent="0.2">
      <c r="A351" s="10"/>
      <c r="E351" s="12"/>
    </row>
    <row r="352" spans="1:5" x14ac:dyDescent="0.2">
      <c r="A352" s="10"/>
      <c r="E352" s="12"/>
    </row>
    <row r="353" spans="1:5" x14ac:dyDescent="0.2">
      <c r="A353" s="10"/>
      <c r="E353" s="12"/>
    </row>
    <row r="354" spans="1:5" x14ac:dyDescent="0.2">
      <c r="A354" s="10"/>
      <c r="E354" s="12"/>
    </row>
    <row r="355" spans="1:5" x14ac:dyDescent="0.2">
      <c r="A355" s="10"/>
      <c r="E355" s="12"/>
    </row>
    <row r="356" spans="1:5" x14ac:dyDescent="0.2">
      <c r="A356" s="10"/>
      <c r="E356" s="12"/>
    </row>
    <row r="357" spans="1:5" x14ac:dyDescent="0.2">
      <c r="A357" s="10"/>
      <c r="E357" s="12"/>
    </row>
    <row r="358" spans="1:5" x14ac:dyDescent="0.2">
      <c r="A358" s="10"/>
      <c r="E358" s="12"/>
    </row>
    <row r="359" spans="1:5" x14ac:dyDescent="0.2">
      <c r="A359" s="10"/>
      <c r="E359" s="12"/>
    </row>
    <row r="360" spans="1:5" x14ac:dyDescent="0.2">
      <c r="A360" s="10"/>
      <c r="E360" s="12"/>
    </row>
    <row r="361" spans="1:5" x14ac:dyDescent="0.2">
      <c r="A361" s="10"/>
      <c r="E361" s="12"/>
    </row>
    <row r="362" spans="1:5" x14ac:dyDescent="0.2">
      <c r="A362" s="10"/>
      <c r="E362" s="12"/>
    </row>
    <row r="363" spans="1:5" x14ac:dyDescent="0.2">
      <c r="A363" s="10"/>
      <c r="E363" s="12"/>
    </row>
    <row r="364" spans="1:5" x14ac:dyDescent="0.2">
      <c r="A364" s="10"/>
      <c r="E364" s="12"/>
    </row>
    <row r="365" spans="1:5" x14ac:dyDescent="0.2">
      <c r="A365" s="10"/>
      <c r="E365" s="12"/>
    </row>
    <row r="366" spans="1:5" x14ac:dyDescent="0.2">
      <c r="A366" s="10"/>
      <c r="E366" s="12"/>
    </row>
    <row r="367" spans="1:5" x14ac:dyDescent="0.2">
      <c r="A367" s="10"/>
      <c r="E367" s="12"/>
    </row>
    <row r="368" spans="1:5" x14ac:dyDescent="0.2">
      <c r="A368" s="10"/>
      <c r="E368" s="12"/>
    </row>
    <row r="369" spans="1:5" x14ac:dyDescent="0.2">
      <c r="A369" s="10"/>
      <c r="E369" s="12"/>
    </row>
    <row r="370" spans="1:5" x14ac:dyDescent="0.2">
      <c r="A370" s="10"/>
      <c r="E370" s="12"/>
    </row>
    <row r="371" spans="1:5" x14ac:dyDescent="0.2">
      <c r="A371" s="10"/>
      <c r="E371" s="12"/>
    </row>
    <row r="372" spans="1:5" x14ac:dyDescent="0.2">
      <c r="A372" s="10"/>
      <c r="E372" s="12"/>
    </row>
    <row r="373" spans="1:5" x14ac:dyDescent="0.2">
      <c r="A373" s="10"/>
      <c r="E373" s="12"/>
    </row>
    <row r="374" spans="1:5" x14ac:dyDescent="0.2">
      <c r="A374" s="10"/>
      <c r="E374" s="12"/>
    </row>
    <row r="375" spans="1:5" x14ac:dyDescent="0.2">
      <c r="A375" s="10"/>
      <c r="E375" s="12"/>
    </row>
    <row r="376" spans="1:5" x14ac:dyDescent="0.2">
      <c r="A376" s="10"/>
      <c r="E376" s="12"/>
    </row>
    <row r="377" spans="1:5" x14ac:dyDescent="0.2">
      <c r="A377" s="10"/>
      <c r="E377" s="12"/>
    </row>
    <row r="378" spans="1:5" x14ac:dyDescent="0.2">
      <c r="A378" s="10"/>
      <c r="E378" s="12"/>
    </row>
    <row r="379" spans="1:5" x14ac:dyDescent="0.2">
      <c r="A379" s="10"/>
      <c r="E379" s="12"/>
    </row>
    <row r="380" spans="1:5" x14ac:dyDescent="0.2">
      <c r="A380" s="10"/>
      <c r="E380" s="12"/>
    </row>
    <row r="381" spans="1:5" x14ac:dyDescent="0.2">
      <c r="A381" s="10"/>
      <c r="E381" s="12"/>
    </row>
    <row r="382" spans="1:5" x14ac:dyDescent="0.2">
      <c r="A382" s="10"/>
      <c r="E382" s="12"/>
    </row>
    <row r="383" spans="1:5" x14ac:dyDescent="0.2">
      <c r="A383" s="10"/>
      <c r="E383" s="12"/>
    </row>
    <row r="384" spans="1:5" x14ac:dyDescent="0.2">
      <c r="A384" s="10"/>
      <c r="E384" s="12"/>
    </row>
    <row r="385" spans="1:5" x14ac:dyDescent="0.2">
      <c r="A385" s="10"/>
      <c r="E385" s="12"/>
    </row>
    <row r="386" spans="1:5" x14ac:dyDescent="0.2">
      <c r="A386" s="10"/>
      <c r="E386" s="12"/>
    </row>
    <row r="387" spans="1:5" x14ac:dyDescent="0.2">
      <c r="A387" s="10"/>
      <c r="E387" s="12"/>
    </row>
    <row r="388" spans="1:5" x14ac:dyDescent="0.2">
      <c r="A388" s="10"/>
      <c r="E388" s="12"/>
    </row>
    <row r="389" spans="1:5" x14ac:dyDescent="0.2">
      <c r="A389" s="10"/>
      <c r="E389" s="12"/>
    </row>
    <row r="390" spans="1:5" x14ac:dyDescent="0.2">
      <c r="A390" s="10"/>
      <c r="E390" s="12"/>
    </row>
    <row r="391" spans="1:5" x14ac:dyDescent="0.2">
      <c r="A391" s="10"/>
      <c r="E391" s="12"/>
    </row>
    <row r="392" spans="1:5" x14ac:dyDescent="0.2">
      <c r="A392" s="10"/>
      <c r="E392" s="12"/>
    </row>
    <row r="393" spans="1:5" x14ac:dyDescent="0.2">
      <c r="A393" s="10"/>
      <c r="E393" s="12"/>
    </row>
    <row r="394" spans="1:5" x14ac:dyDescent="0.2">
      <c r="A394" s="10"/>
      <c r="E394" s="12"/>
    </row>
    <row r="395" spans="1:5" x14ac:dyDescent="0.2">
      <c r="A395" s="10"/>
      <c r="E395" s="12"/>
    </row>
    <row r="396" spans="1:5" x14ac:dyDescent="0.2">
      <c r="A396" s="10"/>
      <c r="E396" s="12"/>
    </row>
    <row r="397" spans="1:5" x14ac:dyDescent="0.2">
      <c r="A397" s="10"/>
      <c r="E397" s="12"/>
    </row>
    <row r="398" spans="1:5" x14ac:dyDescent="0.2">
      <c r="A398" s="10"/>
      <c r="E398" s="12"/>
    </row>
    <row r="399" spans="1:5" x14ac:dyDescent="0.2">
      <c r="A399" s="10"/>
      <c r="E399" s="12"/>
    </row>
    <row r="400" spans="1:5" x14ac:dyDescent="0.2">
      <c r="A400" s="10"/>
      <c r="E400" s="12"/>
    </row>
    <row r="401" spans="1:5" x14ac:dyDescent="0.2">
      <c r="A401" s="10"/>
      <c r="E401" s="12"/>
    </row>
    <row r="402" spans="1:5" x14ac:dyDescent="0.2">
      <c r="A402" s="10"/>
      <c r="E402" s="12"/>
    </row>
    <row r="403" spans="1:5" x14ac:dyDescent="0.2">
      <c r="A403" s="10"/>
      <c r="E403" s="12"/>
    </row>
    <row r="404" spans="1:5" x14ac:dyDescent="0.2">
      <c r="A404" s="10"/>
      <c r="E404" s="12"/>
    </row>
    <row r="405" spans="1:5" x14ac:dyDescent="0.2">
      <c r="A405" s="10"/>
      <c r="E405" s="12"/>
    </row>
    <row r="406" spans="1:5" x14ac:dyDescent="0.2">
      <c r="A406" s="10"/>
      <c r="E406" s="12"/>
    </row>
    <row r="407" spans="1:5" x14ac:dyDescent="0.2">
      <c r="A407" s="10"/>
      <c r="E407" s="12"/>
    </row>
    <row r="408" spans="1:5" x14ac:dyDescent="0.2">
      <c r="A408" s="10"/>
      <c r="E408" s="12"/>
    </row>
    <row r="409" spans="1:5" x14ac:dyDescent="0.2">
      <c r="A409" s="10"/>
      <c r="E409" s="12"/>
    </row>
    <row r="410" spans="1:5" x14ac:dyDescent="0.2">
      <c r="A410" s="10"/>
      <c r="E410" s="12"/>
    </row>
    <row r="411" spans="1:5" x14ac:dyDescent="0.2">
      <c r="A411" s="10"/>
      <c r="E411" s="12"/>
    </row>
    <row r="412" spans="1:5" x14ac:dyDescent="0.2">
      <c r="A412" s="10"/>
      <c r="E412" s="12"/>
    </row>
    <row r="413" spans="1:5" x14ac:dyDescent="0.2">
      <c r="A413" s="10"/>
      <c r="E413" s="12"/>
    </row>
    <row r="414" spans="1:5" x14ac:dyDescent="0.2">
      <c r="A414" s="10"/>
      <c r="E414" s="12"/>
    </row>
    <row r="415" spans="1:5" x14ac:dyDescent="0.2">
      <c r="A415" s="10"/>
      <c r="E415" s="12"/>
    </row>
    <row r="416" spans="1:5" x14ac:dyDescent="0.2">
      <c r="A416" s="10"/>
      <c r="E416" s="12"/>
    </row>
    <row r="417" spans="1:5" x14ac:dyDescent="0.2">
      <c r="A417" s="10"/>
      <c r="E417" s="12"/>
    </row>
    <row r="418" spans="1:5" x14ac:dyDescent="0.2">
      <c r="A418" s="10"/>
      <c r="E418" s="12"/>
    </row>
    <row r="419" spans="1:5" x14ac:dyDescent="0.2">
      <c r="A419" s="10"/>
      <c r="E419" s="12"/>
    </row>
    <row r="420" spans="1:5" x14ac:dyDescent="0.2">
      <c r="A420" s="10"/>
      <c r="E420" s="12"/>
    </row>
    <row r="421" spans="1:5" x14ac:dyDescent="0.2">
      <c r="A421" s="10"/>
      <c r="E421" s="12"/>
    </row>
    <row r="422" spans="1:5" x14ac:dyDescent="0.2">
      <c r="A422" s="10"/>
      <c r="E422" s="12"/>
    </row>
    <row r="423" spans="1:5" x14ac:dyDescent="0.2">
      <c r="A423" s="10"/>
      <c r="E423" s="12"/>
    </row>
    <row r="424" spans="1:5" x14ac:dyDescent="0.2">
      <c r="A424" s="10"/>
      <c r="E424" s="12"/>
    </row>
    <row r="425" spans="1:5" x14ac:dyDescent="0.2">
      <c r="A425" s="10"/>
      <c r="E425" s="12"/>
    </row>
    <row r="426" spans="1:5" x14ac:dyDescent="0.2">
      <c r="A426" s="10"/>
      <c r="E426" s="12"/>
    </row>
    <row r="427" spans="1:5" x14ac:dyDescent="0.2">
      <c r="A427" s="10"/>
      <c r="E427" s="12"/>
    </row>
    <row r="428" spans="1:5" x14ac:dyDescent="0.2">
      <c r="A428" s="10"/>
      <c r="E428" s="12"/>
    </row>
    <row r="429" spans="1:5" x14ac:dyDescent="0.2">
      <c r="A429" s="10"/>
      <c r="E429" s="12"/>
    </row>
    <row r="430" spans="1:5" x14ac:dyDescent="0.2">
      <c r="A430" s="10"/>
      <c r="E430" s="12"/>
    </row>
    <row r="431" spans="1:5" x14ac:dyDescent="0.2">
      <c r="A431" s="10"/>
      <c r="E431" s="12"/>
    </row>
    <row r="432" spans="1:5" x14ac:dyDescent="0.2">
      <c r="A432" s="10"/>
      <c r="E432" s="12"/>
    </row>
    <row r="433" spans="1:5" x14ac:dyDescent="0.2">
      <c r="A433" s="10"/>
      <c r="E433" s="12"/>
    </row>
    <row r="434" spans="1:5" x14ac:dyDescent="0.2">
      <c r="A434" s="10"/>
      <c r="E434" s="12"/>
    </row>
    <row r="435" spans="1:5" x14ac:dyDescent="0.2">
      <c r="A435" s="10"/>
      <c r="E435" s="12"/>
    </row>
    <row r="436" spans="1:5" x14ac:dyDescent="0.2">
      <c r="A436" s="10"/>
      <c r="E436" s="12"/>
    </row>
    <row r="437" spans="1:5" x14ac:dyDescent="0.2">
      <c r="A437" s="10"/>
      <c r="E437" s="12"/>
    </row>
    <row r="438" spans="1:5" x14ac:dyDescent="0.2">
      <c r="A438" s="10"/>
      <c r="E438" s="12"/>
    </row>
    <row r="439" spans="1:5" x14ac:dyDescent="0.2">
      <c r="A439" s="10"/>
      <c r="E439" s="12"/>
    </row>
    <row r="440" spans="1:5" x14ac:dyDescent="0.2">
      <c r="A440" s="10"/>
      <c r="E440" s="12"/>
    </row>
    <row r="441" spans="1:5" x14ac:dyDescent="0.2">
      <c r="A441" s="10"/>
      <c r="E441" s="12"/>
    </row>
    <row r="442" spans="1:5" x14ac:dyDescent="0.2">
      <c r="A442" s="10"/>
      <c r="E442" s="12"/>
    </row>
    <row r="443" spans="1:5" x14ac:dyDescent="0.2">
      <c r="A443" s="10"/>
      <c r="E443" s="12"/>
    </row>
    <row r="444" spans="1:5" x14ac:dyDescent="0.2">
      <c r="A444" s="10"/>
      <c r="E444" s="12"/>
    </row>
    <row r="445" spans="1:5" x14ac:dyDescent="0.2">
      <c r="A445" s="10"/>
      <c r="E445" s="12"/>
    </row>
    <row r="446" spans="1:5" x14ac:dyDescent="0.2">
      <c r="A446" s="10"/>
      <c r="E446" s="12"/>
    </row>
    <row r="447" spans="1:5" x14ac:dyDescent="0.2">
      <c r="A447" s="10"/>
      <c r="E447" s="12"/>
    </row>
    <row r="448" spans="1:5" x14ac:dyDescent="0.2">
      <c r="A448" s="10"/>
      <c r="E448" s="12"/>
    </row>
    <row r="449" spans="1:5" x14ac:dyDescent="0.2">
      <c r="A449" s="10"/>
      <c r="E449" s="12"/>
    </row>
    <row r="450" spans="1:5" x14ac:dyDescent="0.2">
      <c r="A450" s="10"/>
      <c r="E450" s="12"/>
    </row>
    <row r="451" spans="1:5" x14ac:dyDescent="0.2">
      <c r="A451" s="10"/>
      <c r="E451" s="12"/>
    </row>
    <row r="452" spans="1:5" x14ac:dyDescent="0.2">
      <c r="A452" s="10"/>
      <c r="E452" s="12"/>
    </row>
    <row r="453" spans="1:5" x14ac:dyDescent="0.2">
      <c r="A453" s="10"/>
      <c r="E453" s="12"/>
    </row>
    <row r="454" spans="1:5" x14ac:dyDescent="0.2">
      <c r="A454" s="10"/>
      <c r="E454" s="12"/>
    </row>
    <row r="455" spans="1:5" x14ac:dyDescent="0.2">
      <c r="A455" s="10"/>
      <c r="E455" s="12"/>
    </row>
    <row r="456" spans="1:5" x14ac:dyDescent="0.2">
      <c r="A456" s="10"/>
      <c r="E456" s="12"/>
    </row>
    <row r="457" spans="1:5" x14ac:dyDescent="0.2">
      <c r="A457" s="10"/>
      <c r="E457" s="12"/>
    </row>
    <row r="458" spans="1:5" x14ac:dyDescent="0.2">
      <c r="A458" s="10"/>
      <c r="E458" s="12"/>
    </row>
    <row r="459" spans="1:5" x14ac:dyDescent="0.2">
      <c r="A459" s="10"/>
      <c r="E459" s="12"/>
    </row>
    <row r="460" spans="1:5" x14ac:dyDescent="0.2">
      <c r="A460" s="10"/>
      <c r="E460" s="12"/>
    </row>
    <row r="461" spans="1:5" x14ac:dyDescent="0.2">
      <c r="A461" s="10"/>
      <c r="E461" s="12"/>
    </row>
    <row r="462" spans="1:5" x14ac:dyDescent="0.2">
      <c r="A462" s="10"/>
      <c r="E462" s="12"/>
    </row>
    <row r="463" spans="1:5" x14ac:dyDescent="0.2">
      <c r="A463" s="10"/>
      <c r="E463" s="12"/>
    </row>
    <row r="464" spans="1:5" x14ac:dyDescent="0.2">
      <c r="A464" s="10"/>
      <c r="E464" s="12"/>
    </row>
    <row r="465" spans="1:5" x14ac:dyDescent="0.2">
      <c r="A465" s="10"/>
      <c r="E465" s="12"/>
    </row>
    <row r="466" spans="1:5" x14ac:dyDescent="0.2">
      <c r="A466" s="10"/>
      <c r="E466" s="12"/>
    </row>
    <row r="467" spans="1:5" x14ac:dyDescent="0.2">
      <c r="A467" s="10"/>
      <c r="E467" s="12"/>
    </row>
    <row r="468" spans="1:5" x14ac:dyDescent="0.2">
      <c r="A468" s="10"/>
      <c r="E468" s="12"/>
    </row>
    <row r="469" spans="1:5" x14ac:dyDescent="0.2">
      <c r="A469" s="10"/>
      <c r="E469" s="12"/>
    </row>
    <row r="470" spans="1:5" x14ac:dyDescent="0.2">
      <c r="A470" s="10"/>
      <c r="E470" s="12"/>
    </row>
    <row r="471" spans="1:5" x14ac:dyDescent="0.2">
      <c r="A471" s="10"/>
      <c r="E471" s="12"/>
    </row>
    <row r="472" spans="1:5" x14ac:dyDescent="0.2">
      <c r="A472" s="10"/>
      <c r="E472" s="12"/>
    </row>
    <row r="473" spans="1:5" x14ac:dyDescent="0.2">
      <c r="A473" s="10"/>
      <c r="E473" s="12"/>
    </row>
    <row r="474" spans="1:5" x14ac:dyDescent="0.2">
      <c r="A474" s="10"/>
      <c r="E474" s="12"/>
    </row>
    <row r="475" spans="1:5" x14ac:dyDescent="0.2">
      <c r="A475" s="10"/>
      <c r="E475" s="12"/>
    </row>
    <row r="476" spans="1:5" x14ac:dyDescent="0.2">
      <c r="A476" s="10"/>
      <c r="E476" s="12"/>
    </row>
    <row r="477" spans="1:5" x14ac:dyDescent="0.2">
      <c r="A477" s="10"/>
      <c r="E477" s="12"/>
    </row>
    <row r="478" spans="1:5" x14ac:dyDescent="0.2">
      <c r="A478" s="10"/>
      <c r="E478" s="12"/>
    </row>
    <row r="479" spans="1:5" x14ac:dyDescent="0.2">
      <c r="A479" s="10"/>
      <c r="E479" s="12"/>
    </row>
    <row r="480" spans="1:5" x14ac:dyDescent="0.2">
      <c r="A480" s="10"/>
      <c r="E480" s="12"/>
    </row>
    <row r="481" spans="1:5" x14ac:dyDescent="0.2">
      <c r="A481" s="10"/>
      <c r="E481" s="12"/>
    </row>
    <row r="482" spans="1:5" x14ac:dyDescent="0.2">
      <c r="A482" s="10"/>
      <c r="E482" s="12"/>
    </row>
    <row r="483" spans="1:5" x14ac:dyDescent="0.2">
      <c r="A483" s="10"/>
      <c r="E483" s="12"/>
    </row>
    <row r="484" spans="1:5" x14ac:dyDescent="0.2">
      <c r="A484" s="10"/>
      <c r="E484" s="12"/>
    </row>
    <row r="485" spans="1:5" x14ac:dyDescent="0.2">
      <c r="A485" s="10"/>
      <c r="E485" s="12"/>
    </row>
    <row r="486" spans="1:5" x14ac:dyDescent="0.2">
      <c r="A486" s="10"/>
      <c r="E486" s="12"/>
    </row>
    <row r="487" spans="1:5" x14ac:dyDescent="0.2">
      <c r="A487" s="10"/>
      <c r="E487" s="12"/>
    </row>
    <row r="488" spans="1:5" x14ac:dyDescent="0.2">
      <c r="A488" s="10"/>
      <c r="E488" s="12"/>
    </row>
    <row r="489" spans="1:5" x14ac:dyDescent="0.2">
      <c r="A489" s="10"/>
      <c r="E489" s="12"/>
    </row>
    <row r="490" spans="1:5" x14ac:dyDescent="0.2">
      <c r="A490" s="10"/>
      <c r="E490" s="12"/>
    </row>
    <row r="491" spans="1:5" x14ac:dyDescent="0.2">
      <c r="A491" s="10"/>
      <c r="E491" s="12"/>
    </row>
    <row r="492" spans="1:5" x14ac:dyDescent="0.2">
      <c r="A492" s="10"/>
      <c r="E492" s="12"/>
    </row>
    <row r="493" spans="1:5" x14ac:dyDescent="0.2">
      <c r="A493" s="10"/>
      <c r="E493" s="12"/>
    </row>
    <row r="494" spans="1:5" x14ac:dyDescent="0.2">
      <c r="A494" s="10"/>
      <c r="E494" s="12"/>
    </row>
    <row r="495" spans="1:5" x14ac:dyDescent="0.2">
      <c r="A495" s="10"/>
      <c r="E495" s="12"/>
    </row>
    <row r="496" spans="1:5" x14ac:dyDescent="0.2">
      <c r="A496" s="10"/>
      <c r="E496" s="12"/>
    </row>
    <row r="497" spans="1:5" x14ac:dyDescent="0.2">
      <c r="A497" s="10"/>
      <c r="E497" s="12"/>
    </row>
    <row r="498" spans="1:5" x14ac:dyDescent="0.2">
      <c r="A498" s="10"/>
      <c r="E498" s="12"/>
    </row>
    <row r="499" spans="1:5" x14ac:dyDescent="0.2">
      <c r="A499" s="10"/>
      <c r="E499" s="12"/>
    </row>
    <row r="500" spans="1:5" x14ac:dyDescent="0.2">
      <c r="A500" s="10"/>
      <c r="E500" s="12"/>
    </row>
    <row r="501" spans="1:5" x14ac:dyDescent="0.2">
      <c r="A501" s="10"/>
      <c r="E501" s="12"/>
    </row>
    <row r="502" spans="1:5" x14ac:dyDescent="0.2">
      <c r="A502" s="10"/>
      <c r="E502" s="12"/>
    </row>
    <row r="503" spans="1:5" x14ac:dyDescent="0.2">
      <c r="A503" s="10"/>
      <c r="E503" s="12"/>
    </row>
    <row r="504" spans="1:5" x14ac:dyDescent="0.2">
      <c r="A504" s="10"/>
      <c r="E504" s="12"/>
    </row>
    <row r="505" spans="1:5" x14ac:dyDescent="0.2">
      <c r="A505" s="10"/>
      <c r="E505" s="12"/>
    </row>
    <row r="506" spans="1:5" x14ac:dyDescent="0.2">
      <c r="A506" s="10"/>
      <c r="E506" s="12"/>
    </row>
    <row r="507" spans="1:5" x14ac:dyDescent="0.2">
      <c r="A507" s="10"/>
      <c r="E507" s="12"/>
    </row>
    <row r="508" spans="1:5" x14ac:dyDescent="0.2">
      <c r="A508" s="10"/>
      <c r="E508" s="12"/>
    </row>
    <row r="509" spans="1:5" x14ac:dyDescent="0.2">
      <c r="A509" s="10"/>
      <c r="E509" s="12"/>
    </row>
    <row r="510" spans="1:5" x14ac:dyDescent="0.2">
      <c r="A510" s="10"/>
      <c r="E510" s="12"/>
    </row>
    <row r="511" spans="1:5" x14ac:dyDescent="0.2">
      <c r="A511" s="10"/>
      <c r="E511" s="12"/>
    </row>
    <row r="512" spans="1:5" x14ac:dyDescent="0.2">
      <c r="A512" s="10"/>
      <c r="E512" s="12"/>
    </row>
    <row r="513" spans="1:5" x14ac:dyDescent="0.2">
      <c r="A513" s="10"/>
      <c r="E513" s="12"/>
    </row>
    <row r="514" spans="1:5" x14ac:dyDescent="0.2">
      <c r="A514" s="10"/>
      <c r="E514" s="12"/>
    </row>
    <row r="515" spans="1:5" x14ac:dyDescent="0.2">
      <c r="A515" s="10"/>
      <c r="E515" s="12"/>
    </row>
    <row r="516" spans="1:5" x14ac:dyDescent="0.2">
      <c r="A516" s="10"/>
      <c r="E516" s="12"/>
    </row>
    <row r="517" spans="1:5" x14ac:dyDescent="0.2">
      <c r="A517" s="10"/>
      <c r="E517" s="12"/>
    </row>
    <row r="518" spans="1:5" x14ac:dyDescent="0.2">
      <c r="A518" s="10"/>
      <c r="E518" s="12"/>
    </row>
    <row r="519" spans="1:5" x14ac:dyDescent="0.2">
      <c r="A519" s="10"/>
      <c r="E519" s="12"/>
    </row>
    <row r="520" spans="1:5" x14ac:dyDescent="0.2">
      <c r="A520" s="10"/>
      <c r="E520" s="12"/>
    </row>
    <row r="521" spans="1:5" x14ac:dyDescent="0.2">
      <c r="A521" s="10"/>
      <c r="E521" s="12"/>
    </row>
    <row r="522" spans="1:5" x14ac:dyDescent="0.2">
      <c r="A522" s="10"/>
      <c r="E522" s="12"/>
    </row>
    <row r="523" spans="1:5" x14ac:dyDescent="0.2">
      <c r="A523" s="10"/>
      <c r="E523" s="12"/>
    </row>
    <row r="524" spans="1:5" x14ac:dyDescent="0.2">
      <c r="A524" s="10"/>
      <c r="E524" s="12"/>
    </row>
    <row r="525" spans="1:5" x14ac:dyDescent="0.2">
      <c r="A525" s="10"/>
      <c r="E525" s="12"/>
    </row>
    <row r="526" spans="1:5" x14ac:dyDescent="0.2">
      <c r="A526" s="10"/>
      <c r="E526" s="12"/>
    </row>
    <row r="527" spans="1:5" x14ac:dyDescent="0.2">
      <c r="A527" s="10"/>
      <c r="E527" s="12"/>
    </row>
    <row r="528" spans="1:5" x14ac:dyDescent="0.2">
      <c r="A528" s="10"/>
      <c r="E528" s="12"/>
    </row>
    <row r="529" spans="1:5" x14ac:dyDescent="0.2">
      <c r="A529" s="10"/>
      <c r="E529" s="12"/>
    </row>
    <row r="530" spans="1:5" x14ac:dyDescent="0.2">
      <c r="A530" s="10"/>
      <c r="E530" s="12"/>
    </row>
    <row r="531" spans="1:5" x14ac:dyDescent="0.2">
      <c r="A531" s="10"/>
      <c r="E531" s="12"/>
    </row>
    <row r="532" spans="1:5" x14ac:dyDescent="0.2">
      <c r="A532" s="10"/>
      <c r="E532" s="12"/>
    </row>
    <row r="533" spans="1:5" x14ac:dyDescent="0.2">
      <c r="A533" s="10"/>
      <c r="E533" s="12"/>
    </row>
    <row r="534" spans="1:5" x14ac:dyDescent="0.2">
      <c r="A534" s="10"/>
      <c r="E534" s="12"/>
    </row>
    <row r="535" spans="1:5" x14ac:dyDescent="0.2">
      <c r="A535" s="10"/>
      <c r="E535" s="12"/>
    </row>
    <row r="536" spans="1:5" x14ac:dyDescent="0.2">
      <c r="A536" s="10"/>
      <c r="E536" s="12"/>
    </row>
    <row r="537" spans="1:5" x14ac:dyDescent="0.2">
      <c r="A537" s="10"/>
      <c r="E537" s="12"/>
    </row>
    <row r="538" spans="1:5" x14ac:dyDescent="0.2">
      <c r="A538" s="10"/>
      <c r="E538" s="12"/>
    </row>
    <row r="539" spans="1:5" x14ac:dyDescent="0.2">
      <c r="A539" s="10"/>
      <c r="E539" s="12"/>
    </row>
    <row r="540" spans="1:5" x14ac:dyDescent="0.2">
      <c r="A540" s="10"/>
      <c r="E540" s="12"/>
    </row>
    <row r="541" spans="1:5" x14ac:dyDescent="0.2">
      <c r="A541" s="10"/>
      <c r="E541" s="12"/>
    </row>
    <row r="542" spans="1:5" x14ac:dyDescent="0.2">
      <c r="A542" s="10"/>
      <c r="E542" s="12"/>
    </row>
    <row r="543" spans="1:5" x14ac:dyDescent="0.2">
      <c r="A543" s="10"/>
      <c r="E543" s="12"/>
    </row>
    <row r="544" spans="1:5" x14ac:dyDescent="0.2">
      <c r="A544" s="10"/>
      <c r="E544" s="12"/>
    </row>
    <row r="545" spans="1:5" x14ac:dyDescent="0.2">
      <c r="A545" s="10"/>
      <c r="E545" s="12"/>
    </row>
    <row r="546" spans="1:5" x14ac:dyDescent="0.2">
      <c r="A546" s="10"/>
      <c r="E546" s="12"/>
    </row>
    <row r="547" spans="1:5" x14ac:dyDescent="0.2">
      <c r="A547" s="10"/>
      <c r="E547" s="12"/>
    </row>
    <row r="548" spans="1:5" x14ac:dyDescent="0.2">
      <c r="A548" s="10"/>
      <c r="E548" s="12"/>
    </row>
    <row r="549" spans="1:5" x14ac:dyDescent="0.2">
      <c r="A549" s="10"/>
      <c r="E549" s="12"/>
    </row>
    <row r="550" spans="1:5" x14ac:dyDescent="0.2">
      <c r="A550" s="10"/>
      <c r="E550" s="12"/>
    </row>
    <row r="551" spans="1:5" x14ac:dyDescent="0.2">
      <c r="A551" s="10"/>
      <c r="E551" s="12"/>
    </row>
    <row r="552" spans="1:5" x14ac:dyDescent="0.2">
      <c r="A552" s="10"/>
      <c r="E552" s="12"/>
    </row>
    <row r="553" spans="1:5" x14ac:dyDescent="0.2">
      <c r="A553" s="10"/>
      <c r="E553" s="12"/>
    </row>
    <row r="554" spans="1:5" x14ac:dyDescent="0.2">
      <c r="A554" s="10"/>
      <c r="E554" s="12"/>
    </row>
    <row r="555" spans="1:5" x14ac:dyDescent="0.2">
      <c r="A555" s="10"/>
      <c r="E555" s="12"/>
    </row>
    <row r="556" spans="1:5" x14ac:dyDescent="0.2">
      <c r="A556" s="10"/>
      <c r="E556" s="12"/>
    </row>
    <row r="557" spans="1:5" x14ac:dyDescent="0.2">
      <c r="A557" s="10"/>
      <c r="E557" s="12"/>
    </row>
    <row r="558" spans="1:5" x14ac:dyDescent="0.2">
      <c r="A558" s="10"/>
      <c r="E558" s="12"/>
    </row>
    <row r="559" spans="1:5" x14ac:dyDescent="0.2">
      <c r="A559" s="10"/>
      <c r="E559" s="12"/>
    </row>
    <row r="560" spans="1:5" x14ac:dyDescent="0.2">
      <c r="A560" s="10"/>
      <c r="E560" s="12"/>
    </row>
    <row r="561" spans="1:5" x14ac:dyDescent="0.2">
      <c r="A561" s="10"/>
      <c r="E561" s="12"/>
    </row>
    <row r="562" spans="1:5" x14ac:dyDescent="0.2">
      <c r="A562" s="10"/>
      <c r="E562" s="12"/>
    </row>
    <row r="563" spans="1:5" x14ac:dyDescent="0.2">
      <c r="A563" s="10"/>
      <c r="E563" s="12"/>
    </row>
    <row r="564" spans="1:5" x14ac:dyDescent="0.2">
      <c r="A564" s="10"/>
      <c r="E564" s="12"/>
    </row>
    <row r="565" spans="1:5" x14ac:dyDescent="0.2">
      <c r="A565" s="10"/>
      <c r="E565" s="12"/>
    </row>
    <row r="566" spans="1:5" x14ac:dyDescent="0.2">
      <c r="A566" s="10"/>
      <c r="E566" s="12"/>
    </row>
    <row r="567" spans="1:5" x14ac:dyDescent="0.2">
      <c r="A567" s="10"/>
      <c r="E567" s="12"/>
    </row>
    <row r="568" spans="1:5" x14ac:dyDescent="0.2">
      <c r="A568" s="10"/>
      <c r="E568" s="12"/>
    </row>
    <row r="569" spans="1:5" x14ac:dyDescent="0.2">
      <c r="A569" s="10"/>
      <c r="E569" s="12"/>
    </row>
    <row r="570" spans="1:5" x14ac:dyDescent="0.2">
      <c r="A570" s="10"/>
      <c r="E570" s="12"/>
    </row>
    <row r="571" spans="1:5" x14ac:dyDescent="0.2">
      <c r="A571" s="10"/>
      <c r="E571" s="12"/>
    </row>
    <row r="572" spans="1:5" x14ac:dyDescent="0.2">
      <c r="A572" s="10"/>
      <c r="E572" s="12"/>
    </row>
    <row r="573" spans="1:5" x14ac:dyDescent="0.2">
      <c r="A573" s="10"/>
      <c r="E573" s="12"/>
    </row>
    <row r="574" spans="1:5" x14ac:dyDescent="0.2">
      <c r="A574" s="10"/>
      <c r="E574" s="12"/>
    </row>
    <row r="575" spans="1:5" x14ac:dyDescent="0.2">
      <c r="A575" s="10"/>
      <c r="E575" s="12"/>
    </row>
    <row r="576" spans="1:5" x14ac:dyDescent="0.2">
      <c r="A576" s="10"/>
      <c r="E576" s="12"/>
    </row>
    <row r="577" spans="1:5" x14ac:dyDescent="0.2">
      <c r="A577" s="10"/>
      <c r="E577" s="12"/>
    </row>
    <row r="578" spans="1:5" x14ac:dyDescent="0.2">
      <c r="A578" s="10"/>
      <c r="E578" s="12"/>
    </row>
    <row r="579" spans="1:5" x14ac:dyDescent="0.2">
      <c r="A579" s="10"/>
      <c r="E579" s="12"/>
    </row>
    <row r="580" spans="1:5" x14ac:dyDescent="0.2">
      <c r="A580" s="10"/>
      <c r="E580" s="12"/>
    </row>
    <row r="581" spans="1:5" x14ac:dyDescent="0.2">
      <c r="A581" s="10"/>
      <c r="E581" s="12"/>
    </row>
    <row r="582" spans="1:5" x14ac:dyDescent="0.2">
      <c r="A582" s="10"/>
      <c r="E582" s="12"/>
    </row>
    <row r="583" spans="1:5" x14ac:dyDescent="0.2">
      <c r="A583" s="10"/>
      <c r="E583" s="12"/>
    </row>
    <row r="584" spans="1:5" x14ac:dyDescent="0.2">
      <c r="A584" s="10"/>
      <c r="E584" s="12"/>
    </row>
    <row r="585" spans="1:5" x14ac:dyDescent="0.2">
      <c r="A585" s="10"/>
      <c r="E585" s="12"/>
    </row>
    <row r="586" spans="1:5" x14ac:dyDescent="0.2">
      <c r="A586" s="10"/>
      <c r="E586" s="12"/>
    </row>
    <row r="587" spans="1:5" x14ac:dyDescent="0.2">
      <c r="A587" s="10"/>
      <c r="E587" s="12"/>
    </row>
    <row r="588" spans="1:5" x14ac:dyDescent="0.2">
      <c r="A588" s="10"/>
      <c r="E588" s="12"/>
    </row>
    <row r="589" spans="1:5" x14ac:dyDescent="0.2">
      <c r="A589" s="10"/>
      <c r="E589" s="12"/>
    </row>
    <row r="590" spans="1:5" x14ac:dyDescent="0.2">
      <c r="A590" s="10"/>
      <c r="E590" s="12"/>
    </row>
    <row r="591" spans="1:5" x14ac:dyDescent="0.2">
      <c r="A591" s="10"/>
      <c r="E591" s="12"/>
    </row>
    <row r="592" spans="1:5" x14ac:dyDescent="0.2">
      <c r="A592" s="10"/>
      <c r="E592" s="12"/>
    </row>
    <row r="593" spans="1:5" x14ac:dyDescent="0.2">
      <c r="A593" s="10"/>
      <c r="E593" s="12"/>
    </row>
    <row r="594" spans="1:5" x14ac:dyDescent="0.2">
      <c r="A594" s="10"/>
      <c r="E594" s="12"/>
    </row>
    <row r="595" spans="1:5" x14ac:dyDescent="0.2">
      <c r="A595" s="10"/>
      <c r="E595" s="12"/>
    </row>
    <row r="596" spans="1:5" x14ac:dyDescent="0.2">
      <c r="A596" s="10"/>
      <c r="E596" s="12"/>
    </row>
    <row r="597" spans="1:5" x14ac:dyDescent="0.2">
      <c r="A597" s="10"/>
      <c r="E597" s="12"/>
    </row>
    <row r="598" spans="1:5" x14ac:dyDescent="0.2">
      <c r="A598" s="10"/>
      <c r="E598" s="12"/>
    </row>
    <row r="599" spans="1:5" x14ac:dyDescent="0.2">
      <c r="A599" s="10"/>
      <c r="E599" s="12"/>
    </row>
    <row r="600" spans="1:5" x14ac:dyDescent="0.2">
      <c r="A600" s="10"/>
      <c r="E600" s="12"/>
    </row>
    <row r="601" spans="1:5" x14ac:dyDescent="0.2">
      <c r="A601" s="10"/>
      <c r="E601" s="12"/>
    </row>
    <row r="602" spans="1:5" x14ac:dyDescent="0.2">
      <c r="A602" s="10"/>
      <c r="E602" s="12"/>
    </row>
    <row r="603" spans="1:5" x14ac:dyDescent="0.2">
      <c r="A603" s="10"/>
      <c r="E603" s="12"/>
    </row>
    <row r="604" spans="1:5" x14ac:dyDescent="0.2">
      <c r="A604" s="10"/>
      <c r="E604" s="12"/>
    </row>
    <row r="605" spans="1:5" x14ac:dyDescent="0.2">
      <c r="A605" s="10"/>
      <c r="E605" s="12"/>
    </row>
    <row r="606" spans="1:5" x14ac:dyDescent="0.2">
      <c r="A606" s="10"/>
      <c r="E606" s="12"/>
    </row>
    <row r="607" spans="1:5" x14ac:dyDescent="0.2">
      <c r="A607" s="10"/>
      <c r="E607" s="12"/>
    </row>
    <row r="608" spans="1:5" x14ac:dyDescent="0.2">
      <c r="A608" s="10"/>
      <c r="E608" s="12"/>
    </row>
    <row r="609" spans="1:5" x14ac:dyDescent="0.2">
      <c r="A609" s="10"/>
      <c r="E609" s="12"/>
    </row>
    <row r="610" spans="1:5" x14ac:dyDescent="0.2">
      <c r="A610" s="10"/>
      <c r="E610" s="12"/>
    </row>
    <row r="611" spans="1:5" x14ac:dyDescent="0.2">
      <c r="A611" s="10"/>
      <c r="E611" s="12"/>
    </row>
    <row r="612" spans="1:5" x14ac:dyDescent="0.2">
      <c r="A612" s="10"/>
      <c r="E612" s="12"/>
    </row>
    <row r="613" spans="1:5" x14ac:dyDescent="0.2">
      <c r="A613" s="10"/>
      <c r="E613" s="12"/>
    </row>
    <row r="614" spans="1:5" x14ac:dyDescent="0.2">
      <c r="A614" s="10"/>
      <c r="E614" s="12"/>
    </row>
    <row r="615" spans="1:5" x14ac:dyDescent="0.2">
      <c r="A615" s="10"/>
      <c r="E615" s="12"/>
    </row>
    <row r="616" spans="1:5" x14ac:dyDescent="0.2">
      <c r="A616" s="10"/>
      <c r="E616" s="12"/>
    </row>
    <row r="617" spans="1:5" x14ac:dyDescent="0.2">
      <c r="A617" s="10"/>
      <c r="E617" s="12"/>
    </row>
    <row r="618" spans="1:5" x14ac:dyDescent="0.2">
      <c r="A618" s="10"/>
      <c r="E618" s="12"/>
    </row>
    <row r="619" spans="1:5" x14ac:dyDescent="0.2">
      <c r="A619" s="10"/>
      <c r="E619" s="12"/>
    </row>
    <row r="620" spans="1:5" x14ac:dyDescent="0.2">
      <c r="A620" s="10"/>
      <c r="E620" s="12"/>
    </row>
    <row r="621" spans="1:5" x14ac:dyDescent="0.2">
      <c r="A621" s="10"/>
      <c r="E621" s="12"/>
    </row>
    <row r="622" spans="1:5" x14ac:dyDescent="0.2">
      <c r="A622" s="10"/>
      <c r="E622" s="12"/>
    </row>
    <row r="623" spans="1:5" x14ac:dyDescent="0.2">
      <c r="A623" s="10"/>
      <c r="E623" s="12"/>
    </row>
    <row r="624" spans="1:5" x14ac:dyDescent="0.2">
      <c r="A624" s="10"/>
      <c r="E624" s="12"/>
    </row>
    <row r="625" spans="1:5" x14ac:dyDescent="0.2">
      <c r="A625" s="10"/>
      <c r="E625" s="12"/>
    </row>
    <row r="626" spans="1:5" x14ac:dyDescent="0.2">
      <c r="A626" s="10"/>
      <c r="E626" s="12"/>
    </row>
    <row r="627" spans="1:5" x14ac:dyDescent="0.2">
      <c r="A627" s="10"/>
      <c r="E627" s="12"/>
    </row>
    <row r="628" spans="1:5" x14ac:dyDescent="0.2">
      <c r="A628" s="10"/>
      <c r="E628" s="12"/>
    </row>
    <row r="629" spans="1:5" x14ac:dyDescent="0.2">
      <c r="A629" s="10"/>
      <c r="E629" s="12"/>
    </row>
    <row r="630" spans="1:5" x14ac:dyDescent="0.2">
      <c r="A630" s="10"/>
      <c r="E630" s="12"/>
    </row>
    <row r="631" spans="1:5" x14ac:dyDescent="0.2">
      <c r="A631" s="10"/>
      <c r="E631" s="12"/>
    </row>
    <row r="632" spans="1:5" x14ac:dyDescent="0.2">
      <c r="A632" s="10"/>
      <c r="E632" s="12"/>
    </row>
    <row r="633" spans="1:5" x14ac:dyDescent="0.2">
      <c r="A633" s="10"/>
      <c r="E633" s="12"/>
    </row>
    <row r="634" spans="1:5" x14ac:dyDescent="0.2">
      <c r="A634" s="10"/>
      <c r="E634" s="12"/>
    </row>
    <row r="635" spans="1:5" x14ac:dyDescent="0.2">
      <c r="A635" s="10"/>
      <c r="E635" s="12"/>
    </row>
    <row r="636" spans="1:5" x14ac:dyDescent="0.2">
      <c r="A636" s="10"/>
      <c r="E636" s="12"/>
    </row>
    <row r="637" spans="1:5" x14ac:dyDescent="0.2">
      <c r="A637" s="10"/>
      <c r="E637" s="12"/>
    </row>
    <row r="638" spans="1:5" x14ac:dyDescent="0.2">
      <c r="A638" s="10"/>
      <c r="E638" s="12"/>
    </row>
    <row r="639" spans="1:5" x14ac:dyDescent="0.2">
      <c r="A639" s="10"/>
      <c r="E639" s="12"/>
    </row>
    <row r="640" spans="1:5" x14ac:dyDescent="0.2">
      <c r="A640" s="10"/>
      <c r="E640" s="12"/>
    </row>
    <row r="641" spans="1:5" x14ac:dyDescent="0.2">
      <c r="A641" s="10"/>
      <c r="E641" s="12"/>
    </row>
    <row r="642" spans="1:5" x14ac:dyDescent="0.2">
      <c r="A642" s="10"/>
      <c r="E642" s="12"/>
    </row>
    <row r="643" spans="1:5" x14ac:dyDescent="0.2">
      <c r="A643" s="10"/>
      <c r="E643" s="12"/>
    </row>
    <row r="644" spans="1:5" x14ac:dyDescent="0.2">
      <c r="A644" s="10"/>
      <c r="E644" s="12"/>
    </row>
    <row r="645" spans="1:5" x14ac:dyDescent="0.2">
      <c r="A645" s="10"/>
      <c r="E645" s="12"/>
    </row>
    <row r="646" spans="1:5" x14ac:dyDescent="0.2">
      <c r="A646" s="10"/>
      <c r="E646" s="12"/>
    </row>
    <row r="647" spans="1:5" x14ac:dyDescent="0.2">
      <c r="A647" s="10"/>
      <c r="E647" s="12"/>
    </row>
    <row r="648" spans="1:5" x14ac:dyDescent="0.2">
      <c r="A648" s="10"/>
      <c r="E648" s="12"/>
    </row>
    <row r="649" spans="1:5" x14ac:dyDescent="0.2">
      <c r="A649" s="10"/>
      <c r="E649" s="12"/>
    </row>
    <row r="650" spans="1:5" x14ac:dyDescent="0.2">
      <c r="A650" s="10"/>
      <c r="E650" s="12"/>
    </row>
    <row r="651" spans="1:5" x14ac:dyDescent="0.2">
      <c r="A651" s="10"/>
      <c r="E651" s="12"/>
    </row>
    <row r="652" spans="1:5" x14ac:dyDescent="0.2">
      <c r="A652" s="10"/>
      <c r="E652" s="12"/>
    </row>
    <row r="653" spans="1:5" x14ac:dyDescent="0.2">
      <c r="A653" s="10"/>
      <c r="E653" s="12"/>
    </row>
    <row r="654" spans="1:5" x14ac:dyDescent="0.2">
      <c r="A654" s="10"/>
      <c r="E654" s="12"/>
    </row>
    <row r="655" spans="1:5" x14ac:dyDescent="0.2">
      <c r="A655" s="10"/>
      <c r="E655" s="12"/>
    </row>
    <row r="656" spans="1:5" x14ac:dyDescent="0.2">
      <c r="A656" s="10"/>
      <c r="E656" s="12"/>
    </row>
    <row r="657" spans="1:5" x14ac:dyDescent="0.2">
      <c r="A657" s="10"/>
      <c r="E657" s="12"/>
    </row>
    <row r="658" spans="1:5" x14ac:dyDescent="0.2">
      <c r="A658" s="10"/>
      <c r="E658" s="12"/>
    </row>
    <row r="659" spans="1:5" x14ac:dyDescent="0.2">
      <c r="A659" s="10"/>
      <c r="E659" s="12"/>
    </row>
    <row r="660" spans="1:5" x14ac:dyDescent="0.2">
      <c r="A660" s="10"/>
      <c r="E660" s="12"/>
    </row>
    <row r="661" spans="1:5" x14ac:dyDescent="0.2">
      <c r="A661" s="10"/>
      <c r="E661" s="12"/>
    </row>
    <row r="662" spans="1:5" x14ac:dyDescent="0.2">
      <c r="A662" s="10"/>
      <c r="E662" s="12"/>
    </row>
    <row r="663" spans="1:5" x14ac:dyDescent="0.2">
      <c r="A663" s="10"/>
      <c r="E663" s="12"/>
    </row>
    <row r="664" spans="1:5" x14ac:dyDescent="0.2">
      <c r="A664" s="10"/>
      <c r="E664" s="12"/>
    </row>
    <row r="665" spans="1:5" x14ac:dyDescent="0.2">
      <c r="A665" s="10"/>
      <c r="E665" s="12"/>
    </row>
    <row r="666" spans="1:5" x14ac:dyDescent="0.2">
      <c r="A666" s="10"/>
      <c r="E666" s="12"/>
    </row>
    <row r="667" spans="1:5" x14ac:dyDescent="0.2">
      <c r="A667" s="10"/>
      <c r="E667" s="12"/>
    </row>
    <row r="668" spans="1:5" x14ac:dyDescent="0.2">
      <c r="A668" s="10"/>
      <c r="E668" s="12"/>
    </row>
    <row r="669" spans="1:5" x14ac:dyDescent="0.2">
      <c r="A669" s="10"/>
      <c r="E669" s="12"/>
    </row>
    <row r="670" spans="1:5" x14ac:dyDescent="0.2">
      <c r="A670" s="10"/>
      <c r="E670" s="12"/>
    </row>
    <row r="671" spans="1:5" x14ac:dyDescent="0.2">
      <c r="A671" s="10"/>
      <c r="E671" s="12"/>
    </row>
    <row r="672" spans="1:5" x14ac:dyDescent="0.2">
      <c r="A672" s="10"/>
      <c r="E672" s="12"/>
    </row>
    <row r="673" spans="1:5" x14ac:dyDescent="0.2">
      <c r="A673" s="10"/>
      <c r="E673" s="12"/>
    </row>
    <row r="674" spans="1:5" x14ac:dyDescent="0.2">
      <c r="A674" s="10"/>
      <c r="E674" s="12"/>
    </row>
    <row r="675" spans="1:5" x14ac:dyDescent="0.2">
      <c r="A675" s="10"/>
      <c r="E675" s="12"/>
    </row>
    <row r="676" spans="1:5" x14ac:dyDescent="0.2">
      <c r="A676" s="10"/>
      <c r="E676" s="12"/>
    </row>
    <row r="677" spans="1:5" x14ac:dyDescent="0.2">
      <c r="A677" s="10"/>
      <c r="E677" s="12"/>
    </row>
    <row r="678" spans="1:5" x14ac:dyDescent="0.2">
      <c r="A678" s="10"/>
      <c r="E678" s="12"/>
    </row>
    <row r="679" spans="1:5" x14ac:dyDescent="0.2">
      <c r="A679" s="10"/>
      <c r="E679" s="12"/>
    </row>
    <row r="680" spans="1:5" x14ac:dyDescent="0.2">
      <c r="A680" s="10"/>
      <c r="E680" s="12"/>
    </row>
    <row r="681" spans="1:5" x14ac:dyDescent="0.2">
      <c r="A681" s="10"/>
      <c r="E681" s="12"/>
    </row>
    <row r="682" spans="1:5" x14ac:dyDescent="0.2">
      <c r="A682" s="10"/>
      <c r="E682" s="12"/>
    </row>
    <row r="683" spans="1:5" x14ac:dyDescent="0.2">
      <c r="A683" s="10"/>
      <c r="E683" s="12"/>
    </row>
    <row r="684" spans="1:5" x14ac:dyDescent="0.2">
      <c r="A684" s="10"/>
      <c r="E684" s="12"/>
    </row>
    <row r="685" spans="1:5" x14ac:dyDescent="0.2">
      <c r="A685" s="10"/>
      <c r="E685" s="12"/>
    </row>
    <row r="686" spans="1:5" x14ac:dyDescent="0.2">
      <c r="A686" s="10"/>
      <c r="E686" s="12"/>
    </row>
    <row r="687" spans="1:5" x14ac:dyDescent="0.2">
      <c r="A687" s="10"/>
      <c r="E687" s="12"/>
    </row>
    <row r="688" spans="1:5" x14ac:dyDescent="0.2">
      <c r="A688" s="10"/>
      <c r="E688" s="12"/>
    </row>
    <row r="689" spans="1:5" x14ac:dyDescent="0.2">
      <c r="A689" s="10"/>
      <c r="E689" s="12"/>
    </row>
    <row r="690" spans="1:5" x14ac:dyDescent="0.2">
      <c r="A690" s="10"/>
      <c r="E690" s="12"/>
    </row>
    <row r="691" spans="1:5" x14ac:dyDescent="0.2">
      <c r="A691" s="10"/>
      <c r="E691" s="12"/>
    </row>
    <row r="692" spans="1:5" x14ac:dyDescent="0.2">
      <c r="A692" s="10"/>
      <c r="E692" s="12"/>
    </row>
    <row r="693" spans="1:5" x14ac:dyDescent="0.2">
      <c r="A693" s="10"/>
      <c r="E693" s="12"/>
    </row>
    <row r="694" spans="1:5" x14ac:dyDescent="0.2">
      <c r="A694" s="10"/>
      <c r="E694" s="12"/>
    </row>
    <row r="695" spans="1:5" x14ac:dyDescent="0.2">
      <c r="A695" s="10"/>
      <c r="E695" s="12"/>
    </row>
    <row r="696" spans="1:5" x14ac:dyDescent="0.2">
      <c r="A696" s="10"/>
      <c r="E696" s="12"/>
    </row>
    <row r="697" spans="1:5" x14ac:dyDescent="0.2">
      <c r="A697" s="10"/>
      <c r="E697" s="12"/>
    </row>
    <row r="698" spans="1:5" x14ac:dyDescent="0.2">
      <c r="A698" s="10"/>
      <c r="E698" s="12"/>
    </row>
    <row r="699" spans="1:5" x14ac:dyDescent="0.2">
      <c r="A699" s="10"/>
      <c r="E699" s="12"/>
    </row>
    <row r="700" spans="1:5" x14ac:dyDescent="0.2">
      <c r="A700" s="10"/>
      <c r="E700" s="12"/>
    </row>
    <row r="701" spans="1:5" x14ac:dyDescent="0.2">
      <c r="A701" s="10"/>
      <c r="E701" s="12"/>
    </row>
    <row r="702" spans="1:5" x14ac:dyDescent="0.2">
      <c r="A702" s="10"/>
      <c r="E702" s="12"/>
    </row>
    <row r="703" spans="1:5" x14ac:dyDescent="0.2">
      <c r="A703" s="10"/>
      <c r="E703" s="12"/>
    </row>
    <row r="704" spans="1:5" x14ac:dyDescent="0.2">
      <c r="A704" s="10"/>
      <c r="E704" s="12"/>
    </row>
    <row r="705" spans="1:11" x14ac:dyDescent="0.2">
      <c r="A705" s="10"/>
      <c r="E705" s="12"/>
    </row>
    <row r="706" spans="1:11" x14ac:dyDescent="0.2">
      <c r="A706" s="10"/>
      <c r="E706" s="12"/>
    </row>
    <row r="707" spans="1:11" x14ac:dyDescent="0.2">
      <c r="A707" s="10"/>
      <c r="E707" s="12"/>
    </row>
    <row r="708" spans="1:11" x14ac:dyDescent="0.2">
      <c r="A708" s="10"/>
      <c r="E708" s="12"/>
    </row>
    <row r="709" spans="1:11" x14ac:dyDescent="0.2">
      <c r="A709" s="10"/>
      <c r="E709" s="12"/>
    </row>
    <row r="710" spans="1:11" x14ac:dyDescent="0.2">
      <c r="A710" s="10"/>
      <c r="E710" s="12"/>
    </row>
    <row r="711" spans="1:11" x14ac:dyDescent="0.2">
      <c r="A711" s="10"/>
      <c r="E711" s="12"/>
    </row>
    <row r="712" spans="1:11" x14ac:dyDescent="0.2">
      <c r="A712" s="10"/>
      <c r="E712" s="12"/>
    </row>
    <row r="713" spans="1:11" x14ac:dyDescent="0.2">
      <c r="A713" s="10"/>
      <c r="E713" s="12"/>
    </row>
    <row r="714" spans="1:11" x14ac:dyDescent="0.2">
      <c r="A714" s="10"/>
      <c r="E714" s="12"/>
    </row>
    <row r="715" spans="1:11" x14ac:dyDescent="0.2">
      <c r="A715" s="10"/>
      <c r="E715" s="12"/>
    </row>
    <row r="716" spans="1:11" x14ac:dyDescent="0.2">
      <c r="A716" s="10"/>
      <c r="E716" s="12"/>
    </row>
    <row r="717" spans="1:11" x14ac:dyDescent="0.2">
      <c r="A717" s="10"/>
      <c r="E717" s="12"/>
    </row>
    <row r="718" spans="1:11" x14ac:dyDescent="0.2">
      <c r="A718" s="10"/>
      <c r="E718" s="12"/>
    </row>
    <row r="719" spans="1:11" x14ac:dyDescent="0.2">
      <c r="A719" s="10"/>
      <c r="E719" s="12"/>
    </row>
    <row r="720" spans="1:11" x14ac:dyDescent="0.2">
      <c r="A720" s="10"/>
      <c r="E720" s="11"/>
      <c r="G720" s="10"/>
      <c r="K720" s="10"/>
    </row>
    <row r="721" spans="1:11" x14ac:dyDescent="0.2">
      <c r="A721" s="10"/>
      <c r="E721" s="11"/>
      <c r="G721" s="10"/>
      <c r="K721" s="10"/>
    </row>
    <row r="722" spans="1:11" x14ac:dyDescent="0.2">
      <c r="A722" s="10"/>
      <c r="E722" s="11"/>
      <c r="G722" s="10"/>
      <c r="K722" s="10"/>
    </row>
    <row r="723" spans="1:11" x14ac:dyDescent="0.2">
      <c r="A723" s="10"/>
      <c r="E723" s="11"/>
      <c r="G723" s="10"/>
      <c r="K723" s="10"/>
    </row>
    <row r="724" spans="1:11" x14ac:dyDescent="0.2">
      <c r="A724" s="10"/>
      <c r="E724" s="11"/>
      <c r="G724" s="10"/>
      <c r="K724" s="10"/>
    </row>
    <row r="725" spans="1:11" x14ac:dyDescent="0.2">
      <c r="A725" s="10"/>
      <c r="E725" s="11"/>
      <c r="G725" s="10"/>
      <c r="K725" s="10"/>
    </row>
    <row r="726" spans="1:11" x14ac:dyDescent="0.2">
      <c r="A726" s="10"/>
      <c r="E726" s="11"/>
      <c r="G726" s="10"/>
      <c r="K726" s="10"/>
    </row>
    <row r="727" spans="1:11" x14ac:dyDescent="0.2">
      <c r="A727" s="10"/>
      <c r="E727" s="12"/>
    </row>
    <row r="728" spans="1:11" x14ac:dyDescent="0.2">
      <c r="A728" s="10"/>
      <c r="E728" s="12"/>
    </row>
    <row r="729" spans="1:11" x14ac:dyDescent="0.2">
      <c r="A729" s="10"/>
      <c r="E729" s="12"/>
    </row>
    <row r="730" spans="1:11" x14ac:dyDescent="0.2">
      <c r="A730" s="10"/>
      <c r="E730" s="12"/>
    </row>
    <row r="731" spans="1:11" x14ac:dyDescent="0.2">
      <c r="A731" s="10"/>
      <c r="E731" s="12"/>
    </row>
    <row r="732" spans="1:11" x14ac:dyDescent="0.2">
      <c r="A732" s="10"/>
      <c r="E732" s="12"/>
    </row>
    <row r="733" spans="1:11" x14ac:dyDescent="0.2">
      <c r="A733" s="10"/>
      <c r="E733" s="12"/>
    </row>
    <row r="734" spans="1:11" x14ac:dyDescent="0.2">
      <c r="A734" s="10"/>
      <c r="E734" s="12"/>
    </row>
    <row r="735" spans="1:11" x14ac:dyDescent="0.2">
      <c r="A735" s="10"/>
      <c r="E735" s="12"/>
    </row>
    <row r="736" spans="1:11" x14ac:dyDescent="0.2">
      <c r="A736" s="10"/>
      <c r="E736" s="12"/>
    </row>
    <row r="737" spans="1:5" x14ac:dyDescent="0.2">
      <c r="A737" s="10"/>
      <c r="E737" s="12"/>
    </row>
    <row r="738" spans="1:5" x14ac:dyDescent="0.2">
      <c r="A738" s="10"/>
      <c r="E738" s="12"/>
    </row>
    <row r="739" spans="1:5" x14ac:dyDescent="0.2">
      <c r="A739" s="10"/>
      <c r="E739" s="12"/>
    </row>
    <row r="740" spans="1:5" x14ac:dyDescent="0.2">
      <c r="A740" s="10"/>
      <c r="E740" s="12"/>
    </row>
    <row r="741" spans="1:5" x14ac:dyDescent="0.2">
      <c r="A741" s="10"/>
      <c r="E741" s="12"/>
    </row>
    <row r="742" spans="1:5" x14ac:dyDescent="0.2">
      <c r="A742" s="10"/>
      <c r="E742" s="12"/>
    </row>
    <row r="743" spans="1:5" x14ac:dyDescent="0.2">
      <c r="A743" s="10"/>
      <c r="E743" s="12"/>
    </row>
    <row r="744" spans="1:5" x14ac:dyDescent="0.2">
      <c r="A744" s="10"/>
      <c r="E744" s="12"/>
    </row>
    <row r="745" spans="1:5" x14ac:dyDescent="0.2">
      <c r="A745" s="10"/>
      <c r="E745" s="12"/>
    </row>
    <row r="746" spans="1:5" x14ac:dyDescent="0.2">
      <c r="A746" s="10"/>
      <c r="E746" s="12"/>
    </row>
    <row r="747" spans="1:5" x14ac:dyDescent="0.2">
      <c r="A747" s="10"/>
      <c r="E747" s="12"/>
    </row>
    <row r="748" spans="1:5" x14ac:dyDescent="0.2">
      <c r="A748" s="10"/>
      <c r="E748" s="12"/>
    </row>
    <row r="749" spans="1:5" x14ac:dyDescent="0.2">
      <c r="A749" s="10"/>
      <c r="E749" s="12"/>
    </row>
    <row r="750" spans="1:5" x14ac:dyDescent="0.2">
      <c r="A750" s="10"/>
      <c r="E750" s="12"/>
    </row>
    <row r="751" spans="1:5" x14ac:dyDescent="0.2">
      <c r="A751" s="10"/>
      <c r="E751" s="12"/>
    </row>
    <row r="752" spans="1:5" x14ac:dyDescent="0.2">
      <c r="A752" s="10"/>
      <c r="E752" s="12"/>
    </row>
    <row r="753" spans="1:5" x14ac:dyDescent="0.2">
      <c r="A753" s="10"/>
      <c r="E753" s="12"/>
    </row>
    <row r="754" spans="1:5" x14ac:dyDescent="0.2">
      <c r="A754" s="10"/>
      <c r="E754" s="12"/>
    </row>
    <row r="755" spans="1:5" x14ac:dyDescent="0.2">
      <c r="A755" s="10"/>
      <c r="E755" s="12"/>
    </row>
    <row r="756" spans="1:5" x14ac:dyDescent="0.2">
      <c r="A756" s="10"/>
      <c r="E756" s="12"/>
    </row>
    <row r="757" spans="1:5" x14ac:dyDescent="0.2">
      <c r="A757" s="10"/>
      <c r="E757" s="12"/>
    </row>
    <row r="758" spans="1:5" x14ac:dyDescent="0.2">
      <c r="A758" s="10"/>
      <c r="E758" s="12"/>
    </row>
    <row r="759" spans="1:5" x14ac:dyDescent="0.2">
      <c r="A759" s="10"/>
      <c r="E759" s="12"/>
    </row>
    <row r="760" spans="1:5" x14ac:dyDescent="0.2">
      <c r="A760" s="10"/>
      <c r="E760" s="12"/>
    </row>
    <row r="761" spans="1:5" x14ac:dyDescent="0.2">
      <c r="A761" s="10"/>
      <c r="E761" s="12"/>
    </row>
    <row r="762" spans="1:5" x14ac:dyDescent="0.2">
      <c r="A762" s="10"/>
      <c r="E762" s="12"/>
    </row>
    <row r="763" spans="1:5" x14ac:dyDescent="0.2">
      <c r="A763" s="10"/>
      <c r="E763" s="12"/>
    </row>
    <row r="764" spans="1:5" x14ac:dyDescent="0.2">
      <c r="A764" s="10"/>
      <c r="E764" s="12"/>
    </row>
    <row r="765" spans="1:5" x14ac:dyDescent="0.2">
      <c r="A765" s="10"/>
      <c r="E765" s="12"/>
    </row>
    <row r="766" spans="1:5" x14ac:dyDescent="0.2">
      <c r="A766" s="10"/>
      <c r="E766" s="12"/>
    </row>
    <row r="767" spans="1:5" x14ac:dyDescent="0.2">
      <c r="A767" s="10"/>
      <c r="E767" s="12"/>
    </row>
    <row r="768" spans="1:5" x14ac:dyDescent="0.2">
      <c r="A768" s="10"/>
      <c r="E768" s="12"/>
    </row>
    <row r="769" spans="1:11" x14ac:dyDescent="0.2">
      <c r="A769" s="10"/>
      <c r="E769" s="12"/>
    </row>
    <row r="770" spans="1:11" x14ac:dyDescent="0.2">
      <c r="A770" s="10"/>
      <c r="E770" s="12"/>
    </row>
    <row r="771" spans="1:11" x14ac:dyDescent="0.2">
      <c r="A771" s="10"/>
      <c r="E771" s="12"/>
    </row>
    <row r="772" spans="1:11" x14ac:dyDescent="0.2">
      <c r="A772" s="10"/>
      <c r="E772" s="12"/>
    </row>
    <row r="773" spans="1:11" x14ac:dyDescent="0.2">
      <c r="A773" s="10"/>
      <c r="E773" s="12"/>
    </row>
    <row r="774" spans="1:11" x14ac:dyDescent="0.2">
      <c r="A774" s="10"/>
      <c r="E774" s="12"/>
    </row>
    <row r="775" spans="1:11" x14ac:dyDescent="0.2">
      <c r="A775" s="10"/>
      <c r="E775" s="12"/>
    </row>
    <row r="776" spans="1:11" x14ac:dyDescent="0.2">
      <c r="A776" s="10"/>
      <c r="E776" s="11"/>
      <c r="G776" s="10"/>
      <c r="K776" s="10"/>
    </row>
    <row r="777" spans="1:11" x14ac:dyDescent="0.2">
      <c r="A777" s="10"/>
      <c r="E777" s="12"/>
      <c r="G777" s="10"/>
      <c r="K777" s="10"/>
    </row>
    <row r="778" spans="1:11" x14ac:dyDescent="0.2">
      <c r="A778" s="10"/>
      <c r="E778" s="12"/>
    </row>
    <row r="779" spans="1:11" x14ac:dyDescent="0.2">
      <c r="A779" s="10"/>
      <c r="E779" s="12"/>
    </row>
    <row r="780" spans="1:11" x14ac:dyDescent="0.2">
      <c r="A780" s="10"/>
      <c r="E780" s="12"/>
    </row>
    <row r="781" spans="1:11" x14ac:dyDescent="0.2">
      <c r="A781" s="10"/>
      <c r="E78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86"/>
  <sheetViews>
    <sheetView zoomScale="150" zoomScaleNormal="70" workbookViewId="0">
      <pane xSplit="1" ySplit="7" topLeftCell="B410" activePane="bottomRight" state="frozen"/>
      <selection pane="topRight" activeCell="B1" sqref="B1"/>
      <selection pane="bottomLeft" activeCell="A7" sqref="A7"/>
      <selection pane="bottomRight" activeCell="C2" activeCellId="6" sqref="AO1:AO1048576 AP1:AP1048576 AQ1:AQ1048576 AR1:AR1048576 AH1:AN1048576 AC1:AG1048576 C1:M1048576"/>
    </sheetView>
  </sheetViews>
  <sheetFormatPr baseColWidth="10" defaultColWidth="8.83203125" defaultRowHeight="15" x14ac:dyDescent="0.2"/>
  <cols>
    <col min="1" max="1" width="12.5" customWidth="1"/>
  </cols>
  <sheetData>
    <row r="1" spans="1:31" s="18" customFormat="1" ht="28.75" customHeight="1" x14ac:dyDescent="0.2">
      <c r="C1" s="27" t="s">
        <v>73</v>
      </c>
      <c r="D1" s="27"/>
      <c r="E1" s="27"/>
      <c r="F1" s="27"/>
      <c r="G1" s="27"/>
      <c r="H1" s="27" t="s">
        <v>63</v>
      </c>
      <c r="I1" s="27"/>
      <c r="J1" s="27"/>
      <c r="K1" s="27"/>
      <c r="L1" s="27"/>
      <c r="M1" s="27"/>
      <c r="N1" s="27" t="s">
        <v>64</v>
      </c>
      <c r="O1" s="27"/>
      <c r="P1" s="27"/>
      <c r="Q1" s="27"/>
      <c r="R1" s="27"/>
      <c r="S1" s="27"/>
      <c r="T1" s="27"/>
      <c r="U1" s="27"/>
    </row>
    <row r="2" spans="1:31" s="3" customFormat="1" ht="82.5" customHeight="1" x14ac:dyDescent="0.2">
      <c r="A2">
        <v>1960</v>
      </c>
      <c r="C2" s="4" t="s">
        <v>15</v>
      </c>
      <c r="D2" s="4" t="s">
        <v>16</v>
      </c>
      <c r="E2" s="15" t="s">
        <v>40</v>
      </c>
      <c r="F2" s="4" t="s">
        <v>19</v>
      </c>
      <c r="G2" s="4" t="s">
        <v>20</v>
      </c>
      <c r="H2" s="4" t="s">
        <v>17</v>
      </c>
      <c r="I2" s="4" t="s">
        <v>18</v>
      </c>
      <c r="J2" s="4" t="s">
        <v>61</v>
      </c>
      <c r="K2" s="6" t="s">
        <v>21</v>
      </c>
      <c r="L2" s="15" t="s">
        <v>38</v>
      </c>
      <c r="M2" s="15" t="s">
        <v>39</v>
      </c>
      <c r="N2" s="15" t="s">
        <v>33</v>
      </c>
      <c r="O2" s="15" t="s">
        <v>60</v>
      </c>
      <c r="P2" s="15" t="s">
        <v>34</v>
      </c>
      <c r="Q2" s="15" t="s">
        <v>35</v>
      </c>
      <c r="R2" s="15" t="s">
        <v>32</v>
      </c>
      <c r="S2" s="15" t="s">
        <v>36</v>
      </c>
      <c r="T2" s="15" t="s">
        <v>37</v>
      </c>
      <c r="U2" s="15" t="s">
        <v>41</v>
      </c>
      <c r="V2"/>
      <c r="W2"/>
      <c r="X2"/>
      <c r="Y2"/>
      <c r="Z2"/>
      <c r="AA2" s="5" t="s">
        <v>14</v>
      </c>
      <c r="AB2" s="5" t="s">
        <v>22</v>
      </c>
      <c r="AC2" s="5" t="s">
        <v>23</v>
      </c>
      <c r="AD2" s="5" t="s">
        <v>24</v>
      </c>
      <c r="AE2" s="5" t="s">
        <v>25</v>
      </c>
    </row>
    <row r="3" spans="1:31" x14ac:dyDescent="0.2">
      <c r="A3">
        <v>2024</v>
      </c>
      <c r="B3" s="2">
        <v>1</v>
      </c>
      <c r="C3" s="2">
        <v>9</v>
      </c>
      <c r="D3" s="2">
        <v>10</v>
      </c>
      <c r="E3" s="2">
        <v>11</v>
      </c>
      <c r="F3" s="2">
        <v>12</v>
      </c>
      <c r="G3" s="2">
        <v>13</v>
      </c>
      <c r="H3" s="2">
        <v>14</v>
      </c>
      <c r="I3" s="2">
        <v>15</v>
      </c>
      <c r="J3" s="2">
        <v>16</v>
      </c>
      <c r="K3" s="2">
        <v>17</v>
      </c>
      <c r="L3" s="2">
        <v>18</v>
      </c>
      <c r="M3" s="2">
        <v>19</v>
      </c>
      <c r="N3" s="2">
        <v>20</v>
      </c>
      <c r="O3" s="2">
        <v>21</v>
      </c>
      <c r="P3" s="2">
        <v>22</v>
      </c>
      <c r="Q3" s="2">
        <v>23</v>
      </c>
      <c r="R3" s="2">
        <v>24</v>
      </c>
      <c r="S3" s="2">
        <v>25</v>
      </c>
      <c r="T3" s="2">
        <v>26</v>
      </c>
      <c r="U3" s="2">
        <v>27</v>
      </c>
    </row>
    <row r="4" spans="1:31" x14ac:dyDescent="0.2">
      <c r="B4" s="2" t="s">
        <v>72</v>
      </c>
      <c r="C4" s="2" t="s">
        <v>72</v>
      </c>
      <c r="D4" s="2" t="s">
        <v>72</v>
      </c>
      <c r="E4" s="2" t="s">
        <v>72</v>
      </c>
      <c r="F4" s="2" t="s">
        <v>72</v>
      </c>
      <c r="G4" s="2" t="s">
        <v>72</v>
      </c>
      <c r="H4" s="2" t="s">
        <v>72</v>
      </c>
      <c r="I4" s="2" t="s">
        <v>72</v>
      </c>
      <c r="K4" s="2" t="s">
        <v>72</v>
      </c>
      <c r="L4" s="2" t="s">
        <v>72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2" t="s">
        <v>99</v>
      </c>
      <c r="S4" s="2" t="s">
        <v>99</v>
      </c>
      <c r="T4" s="2"/>
      <c r="U4" s="2"/>
    </row>
    <row r="5" spans="1:31" x14ac:dyDescent="0.2">
      <c r="A5" t="s">
        <v>11</v>
      </c>
      <c r="B5" t="s">
        <v>0</v>
      </c>
      <c r="C5" t="s">
        <v>2</v>
      </c>
      <c r="D5" s="7" t="s">
        <v>3</v>
      </c>
      <c r="F5" s="7" t="s">
        <v>6</v>
      </c>
      <c r="G5" s="7" t="s">
        <v>7</v>
      </c>
      <c r="H5" t="s">
        <v>4</v>
      </c>
      <c r="I5" t="s">
        <v>5</v>
      </c>
      <c r="J5" t="s">
        <v>62</v>
      </c>
      <c r="K5" t="s">
        <v>8</v>
      </c>
      <c r="N5" t="s">
        <v>42</v>
      </c>
      <c r="AA5" s="9" t="s">
        <v>1</v>
      </c>
      <c r="AB5" s="9" t="s">
        <v>26</v>
      </c>
      <c r="AC5" s="8" t="str">
        <f>[1]RawData!AD3</f>
        <v>UR_RY</v>
      </c>
      <c r="AD5" s="8" t="str">
        <f>[1]RawData!AE3</f>
        <v>Vacancies_RY</v>
      </c>
      <c r="AE5" s="8" t="s">
        <v>9</v>
      </c>
    </row>
    <row r="6" spans="1:31" ht="64" x14ac:dyDescent="0.2">
      <c r="B6" t="s">
        <v>10</v>
      </c>
      <c r="C6" t="s">
        <v>12</v>
      </c>
      <c r="D6" t="s">
        <v>13</v>
      </c>
      <c r="E6" s="16" t="s">
        <v>92</v>
      </c>
      <c r="F6" t="s">
        <v>29</v>
      </c>
      <c r="G6" t="s">
        <v>30</v>
      </c>
      <c r="H6" t="s">
        <v>175</v>
      </c>
      <c r="I6" t="s">
        <v>174</v>
      </c>
      <c r="J6" s="25" t="s">
        <v>173</v>
      </c>
      <c r="K6" t="s">
        <v>176</v>
      </c>
      <c r="L6" s="17" t="s">
        <v>58</v>
      </c>
      <c r="M6" s="13" t="s">
        <v>44</v>
      </c>
      <c r="N6" t="s">
        <v>93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 s="13" t="s">
        <v>45</v>
      </c>
      <c r="V6" s="13"/>
      <c r="W6" s="13"/>
    </row>
    <row r="7" spans="1:31" x14ac:dyDescent="0.2">
      <c r="A7" s="1" t="e">
        <f ca="1">[2]!FAMEData("FAMEDATE",A2,A3, 0,A5, "Down", "No Heading", "Normal")</f>
        <v>#NAME?</v>
      </c>
      <c r="B7" t="e">
        <f ca="1">[2]!FAMEData(B6, $A$2, $A$3, 0,$A$5,"Down","No Heading","Normal")</f>
        <v>#NAME?</v>
      </c>
      <c r="C7" t="e">
        <f ca="1">[2]!FAMEData(C6, $A$2, $A$3, 0,$A$5,"Down","No Heading","Normal")</f>
        <v>#NAME?</v>
      </c>
      <c r="D7" t="e">
        <f ca="1">[2]!FAMEData(D6, $A$2, $A$3, 0,$A$5,"Down","No Heading","Normal")</f>
        <v>#NAME?</v>
      </c>
      <c r="E7" t="e">
        <f ca="1">[2]!FAMEData(E6, $A$2, $A$3, 0,$A$5,"Down","No Heading","Normal")</f>
        <v>#NAME?</v>
      </c>
      <c r="F7" t="e">
        <f ca="1">[2]!FAMEData(F6, $A$2, $A$3, 0,$A$5,"Down","No Heading","Normal")</f>
        <v>#NAME?</v>
      </c>
      <c r="G7" t="e">
        <f ca="1">[2]!FAMEData(G6, $A$2, $A$3, 0,$A$5,"Down","No Heading","Normal")</f>
        <v>#NAME?</v>
      </c>
      <c r="H7" t="e">
        <f ca="1">[2]!FAMEData(H6, $A$2, $A$3, 0,$A$5,"Down","No Heading","Normal")</f>
        <v>#NAME?</v>
      </c>
      <c r="I7" t="e">
        <f ca="1">[2]!FAMEData(I6, $A$2, $A$3, 0,$A$5,"Down","No Heading","Normal")</f>
        <v>#NAME?</v>
      </c>
      <c r="J7" t="e">
        <f ca="1">[2]!FAMEData(J6, $A$2, $A$3, 0,$A$5,"Down","No Heading","Normal")</f>
        <v>#NAME?</v>
      </c>
      <c r="K7" t="e">
        <f ca="1">[2]!FAMEData(K6, $A$2, $A$3, 0,$A$5,"Down","No Heading","Normal")</f>
        <v>#NAME?</v>
      </c>
      <c r="L7" t="e">
        <f ca="1">[2]!FAMEData(L6, $A$2, $A$3, 0,$A$5,"Down","No Heading","Normal")</f>
        <v>#NAME?</v>
      </c>
      <c r="M7" t="e">
        <f ca="1">[2]!FAMEData(M6, $A$2, $A$3, 0,$A$5,"Down","No Heading","Normal")</f>
        <v>#NAME?</v>
      </c>
      <c r="N7" t="e">
        <f ca="1">[2]!FAMEData(N6, $A$2, $A$3, 0,$A$5,"Down","No Heading","Normal")</f>
        <v>#NAME?</v>
      </c>
      <c r="O7" t="e">
        <f ca="1">[2]!FAMEData(O6, $A$2, $A$3, 0,$A$5,"Down","No Heading","Normal")</f>
        <v>#NAME?</v>
      </c>
      <c r="P7" t="e">
        <f ca="1">[2]!FAMEData(P6, $A$2, $A$3, 0,$A$5,"Down","No Heading","Normal")</f>
        <v>#NAME?</v>
      </c>
      <c r="Q7" t="e">
        <f ca="1">[2]!FAMEData(Q6, $A$2, $A$3, 0,$A$5,"Down","No Heading","Normal")</f>
        <v>#NAME?</v>
      </c>
      <c r="R7" t="e">
        <f ca="1">[2]!FAMEData(R6, $A$2, $A$3, 0,$A$5,"Down","No Heading","Normal")</f>
        <v>#NAME?</v>
      </c>
      <c r="S7" t="e">
        <f ca="1">[2]!FAMEData(S6, $A$2, $A$3, 0,$A$5,"Down","No Heading","Normal")</f>
        <v>#NAME?</v>
      </c>
      <c r="T7" t="e">
        <f ca="1">[2]!FAMEData(T6, $A$2, $A$3, 0,$A$5,"Down","No Heading","Normal")</f>
        <v>#NAME?</v>
      </c>
      <c r="U7" t="e">
        <f ca="1">[2]!FAMEData(U6, $A$2, $A$3, 0,$A$5,"Down","No Heading","Normal")</f>
        <v>#NAME?</v>
      </c>
    </row>
    <row r="8" spans="1:31" x14ac:dyDescent="0.2">
      <c r="A8" s="1">
        <v>21975</v>
      </c>
      <c r="C8">
        <v>41.3</v>
      </c>
      <c r="F8" s="7"/>
      <c r="G8" s="7"/>
      <c r="AB8" t="e">
        <f ca="1">[2]!FAMEData(AB7, $A$2, $A$3, 0,$A$5,"Down","No Heading","Normal")</f>
        <v>#NAME?</v>
      </c>
      <c r="AC8" t="e">
        <f ca="1">[2]!FAMEData(AC7, $A$2, $A$3, 0,$A$5,"Down","No Heading","Normal")</f>
        <v>#NAME?</v>
      </c>
    </row>
    <row r="9" spans="1:31" x14ac:dyDescent="0.2">
      <c r="A9" s="1">
        <v>22006</v>
      </c>
      <c r="C9">
        <v>41.3</v>
      </c>
      <c r="F9" s="7"/>
      <c r="G9" s="7"/>
    </row>
    <row r="10" spans="1:31" x14ac:dyDescent="0.2">
      <c r="A10" s="1">
        <v>22036</v>
      </c>
      <c r="C10">
        <v>41.3</v>
      </c>
      <c r="F10" s="7"/>
      <c r="G10" s="7"/>
    </row>
    <row r="11" spans="1:31" x14ac:dyDescent="0.2">
      <c r="A11" s="1">
        <v>22067</v>
      </c>
      <c r="C11">
        <v>41.3</v>
      </c>
      <c r="F11" s="7"/>
      <c r="G11" s="7"/>
    </row>
    <row r="12" spans="1:31" x14ac:dyDescent="0.2">
      <c r="A12" s="1">
        <v>22097</v>
      </c>
      <c r="C12">
        <v>41.3</v>
      </c>
      <c r="F12" s="7"/>
      <c r="G12" s="7"/>
    </row>
    <row r="13" spans="1:31" x14ac:dyDescent="0.2">
      <c r="A13" s="1">
        <v>22128</v>
      </c>
      <c r="C13">
        <v>41.3</v>
      </c>
      <c r="F13" s="7"/>
      <c r="G13" s="7"/>
    </row>
    <row r="14" spans="1:31" x14ac:dyDescent="0.2">
      <c r="A14" s="1">
        <v>22159</v>
      </c>
      <c r="C14">
        <v>41.4</v>
      </c>
      <c r="F14" s="7"/>
      <c r="G14" s="7"/>
    </row>
    <row r="15" spans="1:31" x14ac:dyDescent="0.2">
      <c r="A15" s="1">
        <v>22189</v>
      </c>
      <c r="C15">
        <v>41.7</v>
      </c>
      <c r="F15" s="7"/>
      <c r="G15" s="7"/>
      <c r="L15" s="14"/>
    </row>
    <row r="16" spans="1:31" x14ac:dyDescent="0.2">
      <c r="A16" s="1">
        <v>22220</v>
      </c>
      <c r="C16">
        <v>41.9</v>
      </c>
      <c r="F16" s="7"/>
      <c r="G16" s="7"/>
      <c r="L16" s="14"/>
    </row>
    <row r="17" spans="1:12" x14ac:dyDescent="0.2">
      <c r="A17" s="1">
        <v>22250</v>
      </c>
      <c r="C17">
        <v>41.9</v>
      </c>
      <c r="F17" s="7"/>
      <c r="G17" s="7"/>
      <c r="L17" s="14"/>
    </row>
    <row r="18" spans="1:12" x14ac:dyDescent="0.2">
      <c r="A18" s="1">
        <v>22281</v>
      </c>
      <c r="C18">
        <v>41.7</v>
      </c>
      <c r="F18" s="7"/>
      <c r="G18" s="7"/>
      <c r="L18" s="14"/>
    </row>
    <row r="19" spans="1:12" x14ac:dyDescent="0.2">
      <c r="A19" s="1">
        <v>22312</v>
      </c>
      <c r="C19">
        <v>41.3</v>
      </c>
      <c r="F19" s="7"/>
      <c r="G19" s="7"/>
      <c r="L19" s="14"/>
    </row>
    <row r="20" spans="1:12" x14ac:dyDescent="0.2">
      <c r="A20" s="1">
        <v>22340</v>
      </c>
      <c r="C20">
        <v>41.1</v>
      </c>
      <c r="F20" s="7"/>
      <c r="G20" s="7"/>
      <c r="L20" s="14"/>
    </row>
    <row r="21" spans="1:12" x14ac:dyDescent="0.2">
      <c r="A21" s="1">
        <v>22371</v>
      </c>
      <c r="C21">
        <v>41.3</v>
      </c>
      <c r="F21" s="7"/>
      <c r="G21" s="7"/>
      <c r="L21" s="14"/>
    </row>
    <row r="22" spans="1:12" x14ac:dyDescent="0.2">
      <c r="A22" s="1">
        <v>22401</v>
      </c>
      <c r="C22">
        <v>41.7</v>
      </c>
      <c r="F22" s="7"/>
      <c r="G22" s="7"/>
      <c r="L22" s="14"/>
    </row>
    <row r="23" spans="1:12" x14ac:dyDescent="0.2">
      <c r="A23" s="1">
        <v>22432</v>
      </c>
      <c r="C23">
        <v>42</v>
      </c>
      <c r="F23" s="7"/>
      <c r="G23" s="7"/>
      <c r="L23" s="14"/>
    </row>
    <row r="24" spans="1:12" x14ac:dyDescent="0.2">
      <c r="A24" s="1">
        <v>22462</v>
      </c>
      <c r="C24">
        <v>42.1</v>
      </c>
      <c r="F24" s="7"/>
      <c r="G24" s="7"/>
      <c r="L24" s="14"/>
    </row>
    <row r="25" spans="1:12" x14ac:dyDescent="0.2">
      <c r="A25" s="1">
        <v>22493</v>
      </c>
      <c r="C25">
        <v>41.9</v>
      </c>
      <c r="F25" s="7"/>
      <c r="G25" s="7"/>
      <c r="L25" s="14"/>
    </row>
    <row r="26" spans="1:12" x14ac:dyDescent="0.2">
      <c r="A26" s="1">
        <v>22524</v>
      </c>
      <c r="C26">
        <v>41.7</v>
      </c>
      <c r="F26" s="7"/>
      <c r="G26" s="7"/>
      <c r="L26" s="14"/>
    </row>
    <row r="27" spans="1:12" x14ac:dyDescent="0.2">
      <c r="A27" s="1">
        <v>22554</v>
      </c>
      <c r="C27">
        <v>41.6</v>
      </c>
      <c r="F27" s="7"/>
      <c r="G27" s="7"/>
      <c r="L27" s="14"/>
    </row>
    <row r="28" spans="1:12" x14ac:dyDescent="0.2">
      <c r="A28" s="1">
        <v>22585</v>
      </c>
      <c r="C28">
        <v>41.5</v>
      </c>
      <c r="F28" s="7"/>
      <c r="G28" s="7"/>
      <c r="L28" s="14"/>
    </row>
    <row r="29" spans="1:12" x14ac:dyDescent="0.2">
      <c r="A29" s="1">
        <v>22615</v>
      </c>
      <c r="C29">
        <v>41.5</v>
      </c>
      <c r="F29" s="7"/>
      <c r="G29" s="7"/>
      <c r="L29" s="14"/>
    </row>
    <row r="30" spans="1:12" x14ac:dyDescent="0.2">
      <c r="A30" s="1">
        <v>22646</v>
      </c>
      <c r="C30">
        <v>41.4</v>
      </c>
      <c r="F30" s="7"/>
      <c r="G30" s="7"/>
      <c r="L30" s="14"/>
    </row>
    <row r="31" spans="1:12" x14ac:dyDescent="0.2">
      <c r="A31" s="1">
        <v>22677</v>
      </c>
      <c r="C31">
        <v>41.4</v>
      </c>
      <c r="E31" s="7"/>
      <c r="F31" s="7"/>
      <c r="G31" s="7"/>
      <c r="L31" s="14"/>
    </row>
    <row r="32" spans="1:12" x14ac:dyDescent="0.2">
      <c r="A32" s="1">
        <v>22705</v>
      </c>
      <c r="C32">
        <v>41.4</v>
      </c>
      <c r="E32" s="7"/>
      <c r="F32" s="7"/>
      <c r="G32" s="7"/>
      <c r="L32" s="14"/>
    </row>
    <row r="33" spans="1:12" x14ac:dyDescent="0.2">
      <c r="A33" s="1">
        <v>22736</v>
      </c>
      <c r="C33">
        <v>41.6</v>
      </c>
      <c r="E33" s="7"/>
      <c r="F33" s="7"/>
      <c r="G33" s="7"/>
      <c r="L33" s="14"/>
    </row>
    <row r="34" spans="1:12" x14ac:dyDescent="0.2">
      <c r="A34" s="1">
        <v>22766</v>
      </c>
      <c r="C34">
        <v>41.9</v>
      </c>
      <c r="E34" s="7"/>
      <c r="F34" s="7"/>
      <c r="G34" s="7"/>
      <c r="L34" s="14"/>
    </row>
    <row r="35" spans="1:12" x14ac:dyDescent="0.2">
      <c r="A35" s="1">
        <v>22797</v>
      </c>
      <c r="C35">
        <v>42.2</v>
      </c>
      <c r="E35" s="7"/>
      <c r="F35" s="7"/>
      <c r="G35" s="7"/>
      <c r="L35" s="14"/>
    </row>
    <row r="36" spans="1:12" x14ac:dyDescent="0.2">
      <c r="A36" s="1">
        <v>22827</v>
      </c>
      <c r="C36">
        <v>42.4</v>
      </c>
      <c r="E36" s="7"/>
      <c r="F36" s="7"/>
      <c r="G36" s="7"/>
      <c r="L36" s="14"/>
    </row>
    <row r="37" spans="1:12" x14ac:dyDescent="0.2">
      <c r="A37" s="1">
        <v>22858</v>
      </c>
      <c r="C37">
        <v>42.4</v>
      </c>
      <c r="E37" s="7"/>
      <c r="F37" s="7"/>
      <c r="G37" s="7"/>
      <c r="L37" s="14"/>
    </row>
    <row r="38" spans="1:12" x14ac:dyDescent="0.2">
      <c r="A38" s="1">
        <v>22889</v>
      </c>
      <c r="C38">
        <v>42.5</v>
      </c>
      <c r="E38" s="7"/>
      <c r="F38" s="7"/>
      <c r="G38" s="7"/>
      <c r="L38" s="14"/>
    </row>
    <row r="39" spans="1:12" x14ac:dyDescent="0.2">
      <c r="A39" s="1">
        <v>22919</v>
      </c>
      <c r="C39">
        <v>42.4</v>
      </c>
      <c r="E39" s="7"/>
      <c r="F39" s="7"/>
      <c r="G39" s="7"/>
      <c r="L39" s="14"/>
    </row>
    <row r="40" spans="1:12" x14ac:dyDescent="0.2">
      <c r="A40" s="1">
        <v>22950</v>
      </c>
      <c r="C40">
        <v>42.2</v>
      </c>
      <c r="E40" s="7"/>
      <c r="F40" s="7"/>
      <c r="G40" s="7"/>
      <c r="L40" s="14"/>
    </row>
    <row r="41" spans="1:12" x14ac:dyDescent="0.2">
      <c r="A41" s="1">
        <v>22980</v>
      </c>
      <c r="C41">
        <v>42</v>
      </c>
      <c r="E41" s="7"/>
      <c r="F41" s="7"/>
      <c r="G41" s="7"/>
      <c r="L41" s="14"/>
    </row>
    <row r="42" spans="1:12" x14ac:dyDescent="0.2">
      <c r="A42" s="1">
        <v>23011</v>
      </c>
      <c r="C42">
        <v>41.7</v>
      </c>
      <c r="E42" s="7"/>
      <c r="F42" s="7"/>
      <c r="G42" s="7"/>
      <c r="L42" s="14"/>
    </row>
    <row r="43" spans="1:12" x14ac:dyDescent="0.2">
      <c r="A43" s="1">
        <v>23042</v>
      </c>
      <c r="C43">
        <v>41.4</v>
      </c>
      <c r="E43" s="7"/>
      <c r="F43" s="7"/>
      <c r="G43" s="7"/>
      <c r="L43" s="19">
        <v>10.557266634756999</v>
      </c>
    </row>
    <row r="44" spans="1:12" x14ac:dyDescent="0.2">
      <c r="A44" s="1">
        <v>23070</v>
      </c>
      <c r="C44">
        <v>41.4</v>
      </c>
      <c r="E44" s="7"/>
      <c r="F44" s="7"/>
      <c r="G44" s="7"/>
      <c r="L44" s="19">
        <v>10.625930433085999</v>
      </c>
    </row>
    <row r="45" spans="1:12" x14ac:dyDescent="0.2">
      <c r="A45" s="1">
        <v>23101</v>
      </c>
      <c r="C45">
        <v>41.8</v>
      </c>
      <c r="E45" s="7"/>
      <c r="F45" s="7"/>
      <c r="G45" s="7"/>
      <c r="L45" s="19">
        <v>10.4811103386761</v>
      </c>
    </row>
    <row r="46" spans="1:12" x14ac:dyDescent="0.2">
      <c r="A46" s="1">
        <v>23131</v>
      </c>
      <c r="C46">
        <v>42.3</v>
      </c>
      <c r="E46" s="7"/>
      <c r="F46" s="7"/>
      <c r="G46" s="7"/>
      <c r="L46" s="19">
        <v>10.4927728960319</v>
      </c>
    </row>
    <row r="47" spans="1:12" x14ac:dyDescent="0.2">
      <c r="A47" s="1">
        <v>23162</v>
      </c>
      <c r="C47">
        <v>42.9</v>
      </c>
      <c r="E47" s="7"/>
      <c r="F47" s="7"/>
      <c r="G47" s="7"/>
      <c r="L47" s="19">
        <v>10.585568693662101</v>
      </c>
    </row>
    <row r="48" spans="1:12" x14ac:dyDescent="0.2">
      <c r="A48" s="1">
        <v>23192</v>
      </c>
      <c r="C48">
        <v>43.5</v>
      </c>
      <c r="E48" s="7"/>
      <c r="F48" s="7"/>
      <c r="G48" s="7"/>
      <c r="L48" s="19">
        <v>10.7742610190757</v>
      </c>
    </row>
    <row r="49" spans="1:12" x14ac:dyDescent="0.2">
      <c r="A49" s="1">
        <v>23223</v>
      </c>
      <c r="C49">
        <v>43.9</v>
      </c>
      <c r="E49" s="7"/>
      <c r="F49" s="7"/>
      <c r="G49" s="7"/>
      <c r="L49" s="19">
        <v>10.8413419262891</v>
      </c>
    </row>
    <row r="50" spans="1:12" x14ac:dyDescent="0.2">
      <c r="A50" s="1">
        <v>23254</v>
      </c>
      <c r="C50">
        <v>44.2</v>
      </c>
      <c r="E50" s="7"/>
      <c r="F50" s="7"/>
      <c r="G50" s="7"/>
      <c r="L50" s="19">
        <v>11.0652317517282</v>
      </c>
    </row>
    <row r="51" spans="1:12" x14ac:dyDescent="0.2">
      <c r="A51" s="1">
        <v>23284</v>
      </c>
      <c r="C51">
        <v>44.4</v>
      </c>
      <c r="E51" s="7"/>
      <c r="F51" s="7"/>
      <c r="G51" s="7"/>
      <c r="L51" s="19">
        <v>10.7734884191185</v>
      </c>
    </row>
    <row r="52" spans="1:12" x14ac:dyDescent="0.2">
      <c r="A52" s="1">
        <v>23315</v>
      </c>
      <c r="C52">
        <v>44.6</v>
      </c>
      <c r="E52" s="7"/>
      <c r="F52" s="7"/>
      <c r="G52" s="7"/>
      <c r="L52" s="19">
        <v>10.753323817213101</v>
      </c>
    </row>
    <row r="53" spans="1:12" x14ac:dyDescent="0.2">
      <c r="A53" s="1">
        <v>23345</v>
      </c>
      <c r="C53">
        <v>45</v>
      </c>
      <c r="E53" s="7"/>
      <c r="F53" s="7"/>
      <c r="G53" s="7"/>
      <c r="L53" s="19">
        <v>11.0042146350326</v>
      </c>
    </row>
    <row r="54" spans="1:12" x14ac:dyDescent="0.2">
      <c r="A54" s="1">
        <v>23376</v>
      </c>
      <c r="C54">
        <v>45.5</v>
      </c>
      <c r="E54" s="7"/>
      <c r="F54" s="7"/>
      <c r="G54" s="7"/>
      <c r="L54" s="19">
        <v>11.4319663509372</v>
      </c>
    </row>
    <row r="55" spans="1:12" x14ac:dyDescent="0.2">
      <c r="A55" s="1">
        <v>23407</v>
      </c>
      <c r="C55">
        <v>46.2</v>
      </c>
      <c r="E55" s="7"/>
      <c r="F55" s="7"/>
      <c r="G55" s="7"/>
      <c r="L55" s="19">
        <v>11.3380016279584</v>
      </c>
    </row>
    <row r="56" spans="1:12" x14ac:dyDescent="0.2">
      <c r="A56" s="1">
        <v>23436</v>
      </c>
      <c r="C56">
        <v>46.6</v>
      </c>
      <c r="E56" s="7"/>
      <c r="F56" s="7"/>
      <c r="G56" s="7"/>
      <c r="L56" s="19">
        <v>11.478314722796799</v>
      </c>
    </row>
    <row r="57" spans="1:12" x14ac:dyDescent="0.2">
      <c r="A57" s="1">
        <v>23467</v>
      </c>
      <c r="C57">
        <v>46.7</v>
      </c>
      <c r="E57" s="7"/>
      <c r="F57" s="7"/>
      <c r="G57" s="7"/>
      <c r="L57" s="19">
        <v>11.3207128001821</v>
      </c>
    </row>
    <row r="58" spans="1:12" x14ac:dyDescent="0.2">
      <c r="A58" s="1">
        <v>23497</v>
      </c>
      <c r="C58">
        <v>46.5</v>
      </c>
      <c r="E58" s="7"/>
      <c r="F58" s="7"/>
      <c r="G58" s="7"/>
      <c r="L58" s="19">
        <v>11.6507189835025</v>
      </c>
    </row>
    <row r="59" spans="1:12" x14ac:dyDescent="0.2">
      <c r="A59" s="1">
        <v>23528</v>
      </c>
      <c r="C59">
        <v>46.3</v>
      </c>
      <c r="E59" s="7"/>
      <c r="F59" s="7"/>
      <c r="G59" s="7"/>
      <c r="L59" s="19">
        <v>11.764517486565699</v>
      </c>
    </row>
    <row r="60" spans="1:12" x14ac:dyDescent="0.2">
      <c r="A60" s="1">
        <v>23558</v>
      </c>
      <c r="C60">
        <v>46.3</v>
      </c>
      <c r="E60" s="7"/>
      <c r="F60" s="7"/>
      <c r="G60" s="7"/>
      <c r="L60" s="19">
        <v>11.617765868082699</v>
      </c>
    </row>
    <row r="61" spans="1:12" x14ac:dyDescent="0.2">
      <c r="A61" s="1">
        <v>23589</v>
      </c>
      <c r="C61">
        <v>46.5</v>
      </c>
      <c r="E61" s="7"/>
      <c r="F61" s="7"/>
      <c r="G61" s="7"/>
      <c r="L61" s="19">
        <v>11.676305808483701</v>
      </c>
    </row>
    <row r="62" spans="1:12" x14ac:dyDescent="0.2">
      <c r="A62" s="1">
        <v>23620</v>
      </c>
      <c r="C62">
        <v>46.8</v>
      </c>
      <c r="E62" s="7"/>
      <c r="F62" s="7"/>
      <c r="G62" s="7"/>
      <c r="L62" s="19">
        <v>11.9241421687294</v>
      </c>
    </row>
    <row r="63" spans="1:12" x14ac:dyDescent="0.2">
      <c r="A63" s="1">
        <v>23650</v>
      </c>
      <c r="C63">
        <v>47.3</v>
      </c>
      <c r="E63" s="7"/>
      <c r="F63" s="7"/>
      <c r="G63" s="7"/>
      <c r="L63" s="19">
        <v>11.913137328050899</v>
      </c>
    </row>
    <row r="64" spans="1:12" x14ac:dyDescent="0.2">
      <c r="A64" s="1">
        <v>23681</v>
      </c>
      <c r="C64">
        <v>47.9</v>
      </c>
      <c r="E64" s="7"/>
      <c r="F64" s="7"/>
      <c r="G64" s="7"/>
      <c r="L64" s="19">
        <v>11.9039478341942</v>
      </c>
    </row>
    <row r="65" spans="1:12" x14ac:dyDescent="0.2">
      <c r="A65" s="1">
        <v>23711</v>
      </c>
      <c r="C65">
        <v>48.2</v>
      </c>
      <c r="E65" s="7"/>
      <c r="F65" s="7"/>
      <c r="G65" s="7"/>
      <c r="L65" s="19">
        <v>11.8247094786863</v>
      </c>
    </row>
    <row r="66" spans="1:12" x14ac:dyDescent="0.2">
      <c r="A66" s="1">
        <v>23742</v>
      </c>
      <c r="C66">
        <v>48.3</v>
      </c>
      <c r="E66" s="7"/>
      <c r="F66" s="7"/>
      <c r="G66" s="7"/>
      <c r="L66" s="19">
        <v>12.002282674269701</v>
      </c>
    </row>
    <row r="67" spans="1:12" x14ac:dyDescent="0.2">
      <c r="A67" s="1">
        <v>23773</v>
      </c>
      <c r="C67">
        <v>48.2</v>
      </c>
      <c r="E67" s="7"/>
      <c r="F67" s="7"/>
      <c r="G67" s="7"/>
      <c r="L67" s="19">
        <v>11.9408461369094</v>
      </c>
    </row>
    <row r="68" spans="1:12" x14ac:dyDescent="0.2">
      <c r="A68" s="1">
        <v>23801</v>
      </c>
      <c r="C68">
        <v>48.1</v>
      </c>
      <c r="E68" s="7"/>
      <c r="F68" s="7"/>
      <c r="G68" s="7"/>
      <c r="L68" s="19">
        <v>12.096738925416201</v>
      </c>
    </row>
    <row r="69" spans="1:12" x14ac:dyDescent="0.2">
      <c r="A69" s="1">
        <v>23832</v>
      </c>
      <c r="C69">
        <v>48.1</v>
      </c>
      <c r="E69" s="7"/>
      <c r="F69" s="7"/>
      <c r="G69" s="7"/>
      <c r="L69" s="19">
        <v>12.1983344420719</v>
      </c>
    </row>
    <row r="70" spans="1:12" x14ac:dyDescent="0.2">
      <c r="A70" s="1">
        <v>23862</v>
      </c>
      <c r="C70">
        <v>48.1</v>
      </c>
      <c r="E70" s="7"/>
      <c r="F70" s="7"/>
      <c r="G70" s="7"/>
      <c r="L70" s="19">
        <v>11.9464846650122</v>
      </c>
    </row>
    <row r="71" spans="1:12" x14ac:dyDescent="0.2">
      <c r="A71" s="1">
        <v>23893</v>
      </c>
      <c r="C71">
        <v>48.1</v>
      </c>
      <c r="E71" s="7"/>
      <c r="F71" s="7"/>
      <c r="G71" s="7"/>
      <c r="L71" s="19">
        <v>12.6334437078413</v>
      </c>
    </row>
    <row r="72" spans="1:12" x14ac:dyDescent="0.2">
      <c r="A72" s="1">
        <v>23923</v>
      </c>
      <c r="C72">
        <v>48.1</v>
      </c>
      <c r="E72" s="7"/>
      <c r="F72" s="7"/>
      <c r="G72" s="7"/>
      <c r="L72" s="19">
        <v>12.471596641105499</v>
      </c>
    </row>
    <row r="73" spans="1:12" x14ac:dyDescent="0.2">
      <c r="A73" s="1">
        <v>23954</v>
      </c>
      <c r="C73">
        <v>48.1</v>
      </c>
      <c r="E73" s="7"/>
      <c r="F73" s="7"/>
      <c r="G73" s="7"/>
      <c r="L73" s="19">
        <v>12.519809666843701</v>
      </c>
    </row>
    <row r="74" spans="1:12" x14ac:dyDescent="0.2">
      <c r="A74" s="1">
        <v>23985</v>
      </c>
      <c r="C74">
        <v>48.1</v>
      </c>
      <c r="E74" s="7"/>
      <c r="F74" s="7"/>
      <c r="G74" s="7"/>
      <c r="L74" s="19">
        <v>12.50609743922</v>
      </c>
    </row>
    <row r="75" spans="1:12" x14ac:dyDescent="0.2">
      <c r="A75" s="1">
        <v>24015</v>
      </c>
      <c r="C75">
        <v>48.2</v>
      </c>
      <c r="E75" s="7"/>
      <c r="F75" s="7"/>
      <c r="G75" s="7"/>
      <c r="L75" s="19">
        <v>12.7517012754279</v>
      </c>
    </row>
    <row r="76" spans="1:12" x14ac:dyDescent="0.2">
      <c r="A76" s="1">
        <v>24046</v>
      </c>
      <c r="C76">
        <v>48.5</v>
      </c>
      <c r="E76" s="7"/>
      <c r="F76" s="7"/>
      <c r="G76" s="7"/>
      <c r="L76" s="19">
        <v>13.022968866060101</v>
      </c>
    </row>
    <row r="77" spans="1:12" x14ac:dyDescent="0.2">
      <c r="A77" s="1">
        <v>24076</v>
      </c>
      <c r="C77">
        <v>48.8</v>
      </c>
      <c r="E77" s="7"/>
      <c r="F77" s="7"/>
      <c r="G77" s="7"/>
      <c r="L77" s="19">
        <v>12.953180968865601</v>
      </c>
    </row>
    <row r="78" spans="1:12" x14ac:dyDescent="0.2">
      <c r="A78" s="1">
        <v>24107</v>
      </c>
      <c r="C78">
        <v>49.1</v>
      </c>
      <c r="E78" s="7"/>
      <c r="F78" s="7"/>
      <c r="G78" s="7"/>
      <c r="L78" s="19">
        <v>12.8591728733628</v>
      </c>
    </row>
    <row r="79" spans="1:12" x14ac:dyDescent="0.2">
      <c r="A79" s="1">
        <v>24138</v>
      </c>
      <c r="C79">
        <v>49.3</v>
      </c>
      <c r="E79" s="7"/>
      <c r="F79" s="7"/>
      <c r="G79" s="7"/>
      <c r="L79" s="19">
        <v>13.025057083990101</v>
      </c>
    </row>
    <row r="80" spans="1:12" x14ac:dyDescent="0.2">
      <c r="A80" s="1">
        <v>24166</v>
      </c>
      <c r="C80">
        <v>49.3</v>
      </c>
      <c r="E80" s="7"/>
      <c r="F80" s="7"/>
      <c r="G80" s="7"/>
      <c r="L80" s="19">
        <v>12.9921504486669</v>
      </c>
    </row>
    <row r="81" spans="1:12" x14ac:dyDescent="0.2">
      <c r="A81" s="1">
        <v>24197</v>
      </c>
      <c r="C81">
        <v>49.3</v>
      </c>
      <c r="E81" s="7"/>
      <c r="F81" s="7"/>
      <c r="G81" s="7"/>
      <c r="L81" s="19">
        <v>13.2922163543299</v>
      </c>
    </row>
    <row r="82" spans="1:12" x14ac:dyDescent="0.2">
      <c r="A82" s="1">
        <v>24227</v>
      </c>
      <c r="C82">
        <v>49.2</v>
      </c>
      <c r="E82" s="7"/>
      <c r="F82" s="7"/>
      <c r="G82" s="7"/>
      <c r="L82" s="19">
        <v>13.346291997912401</v>
      </c>
    </row>
    <row r="83" spans="1:12" x14ac:dyDescent="0.2">
      <c r="A83" s="1">
        <v>24258</v>
      </c>
      <c r="C83">
        <v>49.2</v>
      </c>
      <c r="E83" s="7"/>
      <c r="F83" s="7"/>
      <c r="G83" s="7"/>
      <c r="L83" s="19">
        <v>13.243650513700601</v>
      </c>
    </row>
    <row r="84" spans="1:12" x14ac:dyDescent="0.2">
      <c r="A84" s="1">
        <v>24288</v>
      </c>
      <c r="C84">
        <v>49.4</v>
      </c>
      <c r="E84" s="7"/>
      <c r="F84" s="7"/>
      <c r="G84" s="7"/>
      <c r="L84" s="19">
        <v>13.275376600776401</v>
      </c>
    </row>
    <row r="85" spans="1:12" x14ac:dyDescent="0.2">
      <c r="A85" s="1">
        <v>24319</v>
      </c>
      <c r="C85">
        <v>49.6</v>
      </c>
      <c r="E85" s="7"/>
      <c r="F85" s="7"/>
      <c r="G85" s="7"/>
      <c r="L85" s="19">
        <v>13.3798256046709</v>
      </c>
    </row>
    <row r="86" spans="1:12" x14ac:dyDescent="0.2">
      <c r="A86" s="1">
        <v>24350</v>
      </c>
      <c r="C86">
        <v>49.5</v>
      </c>
      <c r="E86" s="7"/>
      <c r="F86" s="7"/>
      <c r="G86" s="7"/>
      <c r="L86" s="19">
        <v>13.3938004878505</v>
      </c>
    </row>
    <row r="87" spans="1:12" x14ac:dyDescent="0.2">
      <c r="A87" s="1">
        <v>24380</v>
      </c>
      <c r="C87">
        <v>49</v>
      </c>
      <c r="E87" s="7"/>
      <c r="F87" s="7"/>
      <c r="G87" s="7"/>
      <c r="L87" s="19">
        <v>13.289142001742499</v>
      </c>
    </row>
    <row r="88" spans="1:12" x14ac:dyDescent="0.2">
      <c r="A88" s="1">
        <v>24411</v>
      </c>
      <c r="C88">
        <v>48.4</v>
      </c>
      <c r="E88" s="7"/>
      <c r="F88" s="7"/>
      <c r="G88" s="7"/>
      <c r="L88" s="19">
        <v>13.326336843462499</v>
      </c>
    </row>
    <row r="89" spans="1:12" x14ac:dyDescent="0.2">
      <c r="A89" s="1">
        <v>24441</v>
      </c>
      <c r="C89">
        <v>48</v>
      </c>
      <c r="E89" s="7"/>
      <c r="F89" s="7"/>
      <c r="G89" s="7"/>
      <c r="L89" s="19">
        <v>13.508749443233301</v>
      </c>
    </row>
    <row r="90" spans="1:12" x14ac:dyDescent="0.2">
      <c r="A90" s="1">
        <v>24472</v>
      </c>
      <c r="C90">
        <v>48</v>
      </c>
      <c r="E90" s="7"/>
      <c r="F90" s="7"/>
      <c r="G90" s="7"/>
      <c r="L90" s="19">
        <v>13.4582179522387</v>
      </c>
    </row>
    <row r="91" spans="1:12" x14ac:dyDescent="0.2">
      <c r="A91" s="1">
        <v>24503</v>
      </c>
      <c r="C91">
        <v>48.4</v>
      </c>
      <c r="E91" s="7"/>
      <c r="F91" s="7"/>
      <c r="G91" s="7"/>
      <c r="L91" s="19">
        <v>13.553401017177</v>
      </c>
    </row>
    <row r="92" spans="1:12" x14ac:dyDescent="0.2">
      <c r="A92" s="1">
        <v>24531</v>
      </c>
      <c r="C92">
        <v>48.8</v>
      </c>
      <c r="E92" s="7"/>
      <c r="F92" s="7"/>
      <c r="G92" s="7"/>
      <c r="L92" s="19">
        <v>13.565034099411299</v>
      </c>
    </row>
    <row r="93" spans="1:12" x14ac:dyDescent="0.2">
      <c r="A93" s="1">
        <v>24562</v>
      </c>
      <c r="C93">
        <v>49.2</v>
      </c>
      <c r="E93" s="7"/>
      <c r="F93" s="7"/>
      <c r="G93" s="7"/>
      <c r="L93" s="19">
        <v>13.0311762010652</v>
      </c>
    </row>
    <row r="94" spans="1:12" x14ac:dyDescent="0.2">
      <c r="A94" s="1">
        <v>24592</v>
      </c>
      <c r="C94">
        <v>49.3</v>
      </c>
      <c r="E94" s="7"/>
      <c r="F94" s="7"/>
      <c r="G94" s="7"/>
      <c r="L94" s="19">
        <v>13.3478749520785</v>
      </c>
    </row>
    <row r="95" spans="1:12" x14ac:dyDescent="0.2">
      <c r="A95" s="1">
        <v>24623</v>
      </c>
      <c r="C95">
        <v>49.3</v>
      </c>
      <c r="E95" s="7"/>
      <c r="F95" s="7"/>
      <c r="G95" s="7"/>
      <c r="L95" s="19">
        <v>13.5019921055697</v>
      </c>
    </row>
    <row r="96" spans="1:12" x14ac:dyDescent="0.2">
      <c r="A96" s="1">
        <v>24653</v>
      </c>
      <c r="C96">
        <v>49.2</v>
      </c>
      <c r="E96" s="7"/>
      <c r="F96" s="7"/>
      <c r="G96" s="7"/>
      <c r="L96" s="19">
        <v>13.767738712328301</v>
      </c>
    </row>
    <row r="97" spans="1:12" x14ac:dyDescent="0.2">
      <c r="A97" s="1">
        <v>24684</v>
      </c>
      <c r="C97">
        <v>49.1</v>
      </c>
      <c r="E97" s="7"/>
      <c r="F97" s="7"/>
      <c r="G97" s="7"/>
      <c r="L97" s="19">
        <v>13.888931685473199</v>
      </c>
    </row>
    <row r="98" spans="1:12" x14ac:dyDescent="0.2">
      <c r="A98" s="1">
        <v>24715</v>
      </c>
      <c r="C98">
        <v>49.1</v>
      </c>
      <c r="E98" s="7"/>
      <c r="F98" s="7"/>
      <c r="G98" s="7"/>
      <c r="L98" s="19">
        <v>13.9529140230345</v>
      </c>
    </row>
    <row r="99" spans="1:12" x14ac:dyDescent="0.2">
      <c r="A99" s="1">
        <v>24745</v>
      </c>
      <c r="C99">
        <v>49.3</v>
      </c>
      <c r="E99" s="7"/>
      <c r="F99" s="7"/>
      <c r="G99" s="7"/>
      <c r="L99" s="19">
        <v>14.135056765811999</v>
      </c>
    </row>
    <row r="100" spans="1:12" x14ac:dyDescent="0.2">
      <c r="A100" s="1">
        <v>24776</v>
      </c>
      <c r="C100">
        <v>49.7</v>
      </c>
      <c r="E100" s="7"/>
      <c r="F100" s="7"/>
      <c r="G100" s="7"/>
      <c r="L100" s="19">
        <v>14.1425311663366</v>
      </c>
    </row>
    <row r="101" spans="1:12" x14ac:dyDescent="0.2">
      <c r="A101" s="1">
        <v>24806</v>
      </c>
      <c r="C101">
        <v>50.3</v>
      </c>
      <c r="E101" s="7"/>
      <c r="F101" s="7"/>
      <c r="G101" s="7"/>
      <c r="L101" s="19">
        <v>14.3356794730154</v>
      </c>
    </row>
    <row r="102" spans="1:12" x14ac:dyDescent="0.2">
      <c r="A102" s="1">
        <v>24837</v>
      </c>
      <c r="C102">
        <v>51.1</v>
      </c>
      <c r="E102" s="7"/>
      <c r="F102" s="7"/>
      <c r="G102" s="7"/>
      <c r="L102" s="19">
        <v>14.3081060293178</v>
      </c>
    </row>
    <row r="103" spans="1:12" x14ac:dyDescent="0.2">
      <c r="A103" s="1">
        <v>24868</v>
      </c>
      <c r="C103">
        <v>51.6</v>
      </c>
      <c r="E103" s="7"/>
      <c r="F103" s="7"/>
      <c r="G103" s="7"/>
      <c r="L103" s="19">
        <v>14.4462400743784</v>
      </c>
    </row>
    <row r="104" spans="1:12" x14ac:dyDescent="0.2">
      <c r="A104" s="1">
        <v>24897</v>
      </c>
      <c r="C104">
        <v>52.3</v>
      </c>
      <c r="E104" s="7"/>
      <c r="F104" s="7"/>
      <c r="G104" s="7"/>
      <c r="L104" s="19">
        <v>14.4562250510402</v>
      </c>
    </row>
    <row r="105" spans="1:12" x14ac:dyDescent="0.2">
      <c r="A105" s="1">
        <v>24928</v>
      </c>
      <c r="C105">
        <v>52.7</v>
      </c>
      <c r="E105" s="7"/>
      <c r="F105" s="7"/>
      <c r="G105" s="7"/>
      <c r="L105" s="19">
        <v>14.755242835717899</v>
      </c>
    </row>
    <row r="106" spans="1:12" x14ac:dyDescent="0.2">
      <c r="A106" s="1">
        <v>24958</v>
      </c>
      <c r="C106">
        <v>52.5</v>
      </c>
      <c r="E106" s="7"/>
      <c r="F106" s="7"/>
      <c r="G106" s="7"/>
      <c r="L106" s="19">
        <v>14.503401761747799</v>
      </c>
    </row>
    <row r="107" spans="1:12" x14ac:dyDescent="0.2">
      <c r="A107" s="1">
        <v>24989</v>
      </c>
      <c r="C107">
        <v>53.1</v>
      </c>
      <c r="E107" s="7"/>
      <c r="F107" s="7"/>
      <c r="G107" s="7"/>
      <c r="L107" s="19">
        <v>14.9770563376303</v>
      </c>
    </row>
    <row r="108" spans="1:12" x14ac:dyDescent="0.2">
      <c r="A108" s="1">
        <v>25019</v>
      </c>
      <c r="C108">
        <v>53.2</v>
      </c>
      <c r="E108" s="7"/>
      <c r="F108" s="7"/>
      <c r="G108" s="7"/>
      <c r="L108" s="19">
        <v>14.9480983912876</v>
      </c>
    </row>
    <row r="109" spans="1:12" x14ac:dyDescent="0.2">
      <c r="A109" s="1">
        <v>25050</v>
      </c>
      <c r="C109">
        <v>53.2</v>
      </c>
      <c r="E109" s="7"/>
      <c r="F109" s="7"/>
      <c r="G109" s="7"/>
      <c r="L109" s="19">
        <v>15.044481463583701</v>
      </c>
    </row>
    <row r="110" spans="1:12" x14ac:dyDescent="0.2">
      <c r="A110" s="1">
        <v>25081</v>
      </c>
      <c r="C110">
        <v>53.5</v>
      </c>
      <c r="E110" s="7"/>
      <c r="F110" s="7"/>
      <c r="G110" s="7"/>
      <c r="L110" s="19">
        <v>15.079571461912099</v>
      </c>
    </row>
    <row r="111" spans="1:12" x14ac:dyDescent="0.2">
      <c r="A111" s="1">
        <v>25111</v>
      </c>
      <c r="C111">
        <v>53.4</v>
      </c>
      <c r="E111" s="7"/>
      <c r="F111" s="7"/>
      <c r="G111" s="7"/>
      <c r="L111" s="19">
        <v>15.2426343433222</v>
      </c>
    </row>
    <row r="112" spans="1:12" x14ac:dyDescent="0.2">
      <c r="A112" s="1">
        <v>25142</v>
      </c>
      <c r="C112">
        <v>53.1</v>
      </c>
      <c r="E112" s="7"/>
      <c r="F112" s="7"/>
      <c r="G112" s="7"/>
      <c r="L112" s="19">
        <v>15.280232311113</v>
      </c>
    </row>
    <row r="113" spans="1:12" x14ac:dyDescent="0.2">
      <c r="A113" s="1">
        <v>25172</v>
      </c>
      <c r="C113">
        <v>53.4</v>
      </c>
      <c r="E113" s="7"/>
      <c r="F113" s="7"/>
      <c r="G113" s="7"/>
      <c r="L113" s="19">
        <v>15.2711964247012</v>
      </c>
    </row>
    <row r="114" spans="1:12" x14ac:dyDescent="0.2">
      <c r="A114" s="1">
        <v>25203</v>
      </c>
      <c r="C114">
        <v>54</v>
      </c>
      <c r="E114" s="7"/>
      <c r="F114" s="7"/>
      <c r="G114" s="7"/>
      <c r="L114" s="19">
        <v>15.509050448467701</v>
      </c>
    </row>
    <row r="115" spans="1:12" x14ac:dyDescent="0.2">
      <c r="A115" s="1">
        <v>25234</v>
      </c>
      <c r="C115">
        <v>54.1</v>
      </c>
      <c r="E115" s="7"/>
      <c r="F115" s="7"/>
      <c r="G115" s="7"/>
      <c r="L115" s="19">
        <v>15.5683571981145</v>
      </c>
    </row>
    <row r="116" spans="1:12" x14ac:dyDescent="0.2">
      <c r="A116" s="1">
        <v>25262</v>
      </c>
      <c r="C116">
        <v>54.4</v>
      </c>
      <c r="E116" s="7"/>
      <c r="F116" s="7"/>
      <c r="G116" s="7"/>
      <c r="L116" s="19">
        <v>15.329910350351801</v>
      </c>
    </row>
    <row r="117" spans="1:12" x14ac:dyDescent="0.2">
      <c r="A117" s="1">
        <v>25293</v>
      </c>
      <c r="C117">
        <v>54.3</v>
      </c>
      <c r="E117" s="7"/>
      <c r="F117" s="7"/>
      <c r="G117" s="7"/>
      <c r="L117" s="19">
        <v>15.9096247112762</v>
      </c>
    </row>
    <row r="118" spans="1:12" x14ac:dyDescent="0.2">
      <c r="A118" s="1">
        <v>25323</v>
      </c>
      <c r="C118">
        <v>55.2</v>
      </c>
      <c r="E118" s="7"/>
      <c r="F118" s="7"/>
      <c r="G118" s="7"/>
      <c r="L118" s="19">
        <v>15.9314937176238</v>
      </c>
    </row>
    <row r="119" spans="1:12" x14ac:dyDescent="0.2">
      <c r="A119" s="1">
        <v>25354</v>
      </c>
      <c r="C119">
        <v>55.2</v>
      </c>
      <c r="E119" s="7"/>
      <c r="F119" s="7"/>
      <c r="G119" s="7"/>
      <c r="L119" s="19">
        <v>15.810627469315801</v>
      </c>
    </row>
    <row r="120" spans="1:12" x14ac:dyDescent="0.2">
      <c r="A120" s="1">
        <v>25384</v>
      </c>
      <c r="C120">
        <v>55.6</v>
      </c>
      <c r="E120" s="7"/>
      <c r="F120" s="7"/>
      <c r="G120" s="7"/>
      <c r="L120" s="19">
        <v>16.051684732414799</v>
      </c>
    </row>
    <row r="121" spans="1:12" x14ac:dyDescent="0.2">
      <c r="A121" s="1">
        <v>25415</v>
      </c>
      <c r="C121">
        <v>55.4</v>
      </c>
      <c r="E121" s="7"/>
      <c r="F121" s="7"/>
      <c r="G121" s="7"/>
      <c r="L121" s="19">
        <v>16.1998516962033</v>
      </c>
    </row>
    <row r="122" spans="1:12" x14ac:dyDescent="0.2">
      <c r="A122" s="1">
        <v>25446</v>
      </c>
      <c r="C122">
        <v>54.6</v>
      </c>
      <c r="E122" s="7"/>
      <c r="F122" s="7"/>
      <c r="G122" s="7"/>
      <c r="L122" s="19">
        <v>16.234290764127199</v>
      </c>
    </row>
    <row r="123" spans="1:12" x14ac:dyDescent="0.2">
      <c r="A123" s="1">
        <v>25476</v>
      </c>
      <c r="C123">
        <v>54.7</v>
      </c>
      <c r="E123" s="7"/>
      <c r="F123" s="7"/>
      <c r="G123" s="7"/>
      <c r="L123" s="19">
        <v>16.3660913971414</v>
      </c>
    </row>
    <row r="124" spans="1:12" x14ac:dyDescent="0.2">
      <c r="A124" s="1">
        <v>25507</v>
      </c>
      <c r="C124">
        <v>53.8</v>
      </c>
      <c r="E124" s="7"/>
      <c r="F124" s="7"/>
      <c r="G124" s="7"/>
      <c r="L124" s="19">
        <v>16.369652606426001</v>
      </c>
    </row>
    <row r="125" spans="1:12" x14ac:dyDescent="0.2">
      <c r="A125" s="1">
        <v>25537</v>
      </c>
      <c r="C125">
        <v>54.9</v>
      </c>
      <c r="E125" s="7"/>
      <c r="F125" s="7"/>
      <c r="G125" s="7"/>
      <c r="L125" s="19">
        <v>16.643978299267498</v>
      </c>
    </row>
    <row r="126" spans="1:12" x14ac:dyDescent="0.2">
      <c r="A126" s="1">
        <v>25568</v>
      </c>
      <c r="C126">
        <v>55.4</v>
      </c>
      <c r="E126" s="7"/>
      <c r="F126" s="7"/>
      <c r="G126" s="7"/>
      <c r="L126" s="19">
        <v>16.932831570698902</v>
      </c>
    </row>
    <row r="127" spans="1:12" x14ac:dyDescent="0.2">
      <c r="A127" s="1">
        <v>25599</v>
      </c>
      <c r="C127">
        <v>54</v>
      </c>
      <c r="E127" s="7"/>
      <c r="F127" s="7"/>
      <c r="G127" s="7"/>
      <c r="L127" s="19">
        <v>17.005696345735299</v>
      </c>
    </row>
    <row r="128" spans="1:12" x14ac:dyDescent="0.2">
      <c r="A128" s="1">
        <v>25627</v>
      </c>
      <c r="C128">
        <v>55</v>
      </c>
      <c r="E128" s="7"/>
      <c r="F128" s="7"/>
      <c r="G128" s="7"/>
      <c r="L128" s="19">
        <v>17.347958811879401</v>
      </c>
    </row>
    <row r="129" spans="1:13" x14ac:dyDescent="0.2">
      <c r="A129" s="1">
        <v>25658</v>
      </c>
      <c r="C129">
        <v>55.6</v>
      </c>
      <c r="E129" s="7"/>
      <c r="F129" s="7"/>
      <c r="G129" s="7"/>
      <c r="L129" s="19">
        <v>17.379632682928701</v>
      </c>
    </row>
    <row r="130" spans="1:13" x14ac:dyDescent="0.2">
      <c r="A130" s="1">
        <v>25688</v>
      </c>
      <c r="C130">
        <v>55.3</v>
      </c>
      <c r="E130" s="7"/>
      <c r="F130" s="7"/>
      <c r="G130" s="7"/>
      <c r="L130" s="19">
        <v>17.712054412484299</v>
      </c>
    </row>
    <row r="131" spans="1:13" x14ac:dyDescent="0.2">
      <c r="A131" s="1">
        <v>25719</v>
      </c>
      <c r="C131">
        <v>54.8</v>
      </c>
      <c r="E131" s="7"/>
      <c r="F131" s="7"/>
      <c r="G131" s="7"/>
      <c r="L131" s="19">
        <v>17.7989499080998</v>
      </c>
    </row>
    <row r="132" spans="1:13" x14ac:dyDescent="0.2">
      <c r="A132" s="1">
        <v>25749</v>
      </c>
      <c r="C132">
        <v>54.9</v>
      </c>
      <c r="E132" s="7"/>
      <c r="F132" s="7"/>
      <c r="G132" s="7"/>
      <c r="L132" s="19">
        <v>18.0557153782337</v>
      </c>
    </row>
    <row r="133" spans="1:13" x14ac:dyDescent="0.2">
      <c r="A133" s="1">
        <v>25780</v>
      </c>
      <c r="C133">
        <v>55.2</v>
      </c>
      <c r="E133" s="7"/>
      <c r="F133" s="7"/>
      <c r="G133" s="7"/>
      <c r="L133" s="19">
        <v>18.224874302361201</v>
      </c>
    </row>
    <row r="134" spans="1:13" x14ac:dyDescent="0.2">
      <c r="A134" s="1">
        <v>25811</v>
      </c>
      <c r="C134">
        <v>55.2</v>
      </c>
      <c r="E134" s="7"/>
      <c r="F134" s="7"/>
      <c r="G134" s="7"/>
      <c r="L134" s="19">
        <v>18.5492631341241</v>
      </c>
    </row>
    <row r="135" spans="1:13" x14ac:dyDescent="0.2">
      <c r="A135" s="1">
        <v>25841</v>
      </c>
      <c r="C135">
        <v>55</v>
      </c>
      <c r="E135" s="7"/>
      <c r="F135" s="7"/>
      <c r="G135" s="7"/>
      <c r="L135" s="19">
        <v>18.652773340741</v>
      </c>
    </row>
    <row r="136" spans="1:13" x14ac:dyDescent="0.2">
      <c r="A136" s="1">
        <v>25872</v>
      </c>
      <c r="C136">
        <v>55.8</v>
      </c>
      <c r="E136" s="7"/>
      <c r="F136" s="7"/>
      <c r="G136" s="7"/>
      <c r="L136" s="19">
        <v>18.945961728239801</v>
      </c>
    </row>
    <row r="137" spans="1:13" x14ac:dyDescent="0.2">
      <c r="A137" s="1">
        <v>25902</v>
      </c>
      <c r="C137">
        <v>54.9</v>
      </c>
      <c r="E137" s="7"/>
      <c r="F137" s="7"/>
      <c r="G137" s="7"/>
      <c r="L137" s="19">
        <v>18.913993049676701</v>
      </c>
    </row>
    <row r="138" spans="1:13" x14ac:dyDescent="0.2">
      <c r="A138" s="1">
        <v>25933</v>
      </c>
      <c r="C138">
        <v>55.5</v>
      </c>
      <c r="E138" s="7"/>
      <c r="F138" s="7"/>
      <c r="G138" s="7"/>
      <c r="L138" s="19">
        <v>19.2899369466273</v>
      </c>
    </row>
    <row r="139" spans="1:13" x14ac:dyDescent="0.2">
      <c r="A139" s="1">
        <v>25964</v>
      </c>
      <c r="C139">
        <v>55.8</v>
      </c>
      <c r="E139" s="7"/>
      <c r="F139" s="7"/>
      <c r="G139" s="7"/>
      <c r="L139" s="19">
        <v>19.667394205574599</v>
      </c>
      <c r="M139">
        <v>533.6</v>
      </c>
    </row>
    <row r="140" spans="1:13" x14ac:dyDescent="0.2">
      <c r="A140" s="1">
        <v>25992</v>
      </c>
      <c r="C140">
        <v>54.7</v>
      </c>
      <c r="E140" s="7"/>
      <c r="F140" s="7"/>
      <c r="G140" s="7"/>
      <c r="L140" s="19">
        <v>19.759731441199701</v>
      </c>
      <c r="M140">
        <v>552.29999999999995</v>
      </c>
    </row>
    <row r="141" spans="1:13" x14ac:dyDescent="0.2">
      <c r="A141" s="1">
        <v>26023</v>
      </c>
      <c r="C141">
        <v>54</v>
      </c>
      <c r="E141" s="7"/>
      <c r="F141" s="7"/>
      <c r="G141" s="7"/>
      <c r="H141">
        <v>3.8291720392294768</v>
      </c>
      <c r="I141">
        <v>24613</v>
      </c>
      <c r="J141">
        <v>864.3</v>
      </c>
      <c r="L141" s="19">
        <v>19.821441635276599</v>
      </c>
      <c r="M141">
        <v>573.5</v>
      </c>
    </row>
    <row r="142" spans="1:13" x14ac:dyDescent="0.2">
      <c r="A142" s="1">
        <v>26053</v>
      </c>
      <c r="C142">
        <v>54.8</v>
      </c>
      <c r="E142" s="7"/>
      <c r="F142" s="7"/>
      <c r="G142" s="7"/>
      <c r="H142">
        <v>3.902553474367497</v>
      </c>
      <c r="I142">
        <v>24575</v>
      </c>
      <c r="J142">
        <v>862.7</v>
      </c>
      <c r="L142" s="19">
        <v>19.8465146572746</v>
      </c>
      <c r="M142">
        <v>599.1</v>
      </c>
    </row>
    <row r="143" spans="1:13" x14ac:dyDescent="0.2">
      <c r="A143" s="1">
        <v>26084</v>
      </c>
      <c r="C143">
        <v>55.1</v>
      </c>
      <c r="E143" s="7"/>
      <c r="F143" s="7"/>
      <c r="G143" s="7"/>
      <c r="H143">
        <v>3.9989054804159174</v>
      </c>
      <c r="I143">
        <v>24559</v>
      </c>
      <c r="J143">
        <v>862.5</v>
      </c>
      <c r="L143" s="19">
        <v>20.2113092259195</v>
      </c>
      <c r="M143">
        <v>641.70000000000005</v>
      </c>
    </row>
    <row r="144" spans="1:13" x14ac:dyDescent="0.2">
      <c r="A144" s="1">
        <v>26114</v>
      </c>
      <c r="C144">
        <v>54.9</v>
      </c>
      <c r="E144" s="7"/>
      <c r="F144" s="7"/>
      <c r="G144" s="7"/>
      <c r="H144">
        <v>4.0818718018827393</v>
      </c>
      <c r="I144">
        <v>24556</v>
      </c>
      <c r="J144">
        <v>862.8</v>
      </c>
      <c r="L144" s="19">
        <v>20.371229592094</v>
      </c>
      <c r="M144">
        <v>655.20000000000005</v>
      </c>
    </row>
    <row r="145" spans="1:13" x14ac:dyDescent="0.2">
      <c r="A145" s="1">
        <v>26145</v>
      </c>
      <c r="C145">
        <v>54.7</v>
      </c>
      <c r="E145" s="7"/>
      <c r="F145" s="7"/>
      <c r="G145" s="7"/>
      <c r="H145">
        <v>4.1479514119439127</v>
      </c>
      <c r="I145">
        <v>24541</v>
      </c>
      <c r="J145">
        <v>862.6</v>
      </c>
      <c r="L145" s="19">
        <v>20.266637313824699</v>
      </c>
      <c r="M145">
        <v>662.9</v>
      </c>
    </row>
    <row r="146" spans="1:13" x14ac:dyDescent="0.2">
      <c r="A146" s="1">
        <v>26176</v>
      </c>
      <c r="C146">
        <v>55</v>
      </c>
      <c r="E146" s="7"/>
      <c r="F146" s="7"/>
      <c r="G146" s="7"/>
      <c r="H146">
        <v>4.1757898029402565</v>
      </c>
      <c r="I146">
        <v>24508</v>
      </c>
      <c r="J146">
        <v>862.3</v>
      </c>
      <c r="L146" s="19">
        <v>20.568735894763499</v>
      </c>
      <c r="M146">
        <v>664.1</v>
      </c>
    </row>
    <row r="147" spans="1:13" x14ac:dyDescent="0.2">
      <c r="A147" s="1">
        <v>26206</v>
      </c>
      <c r="C147">
        <v>54.5</v>
      </c>
      <c r="E147" s="7"/>
      <c r="F147" s="7"/>
      <c r="G147" s="7"/>
      <c r="H147">
        <v>4.2129992169146435</v>
      </c>
      <c r="I147">
        <v>24464</v>
      </c>
      <c r="J147">
        <v>861.3</v>
      </c>
      <c r="L147" s="19">
        <v>20.6541110256792</v>
      </c>
      <c r="M147">
        <v>684</v>
      </c>
    </row>
    <row r="148" spans="1:13" x14ac:dyDescent="0.2">
      <c r="A148" s="1">
        <v>26237</v>
      </c>
      <c r="C148">
        <v>54.6</v>
      </c>
      <c r="E148" s="7"/>
      <c r="F148" s="7"/>
      <c r="G148" s="7"/>
      <c r="H148">
        <v>4.2721643019518698</v>
      </c>
      <c r="I148">
        <v>24424</v>
      </c>
      <c r="J148">
        <v>860.8</v>
      </c>
      <c r="L148" s="19">
        <v>20.937855577415998</v>
      </c>
      <c r="M148">
        <v>715.8</v>
      </c>
    </row>
    <row r="149" spans="1:13" x14ac:dyDescent="0.2">
      <c r="A149" s="1">
        <v>26267</v>
      </c>
      <c r="C149">
        <v>54.5</v>
      </c>
      <c r="E149" s="7"/>
      <c r="F149" s="7"/>
      <c r="G149" s="7"/>
      <c r="H149">
        <v>4.3628238798949477</v>
      </c>
      <c r="I149">
        <v>24398</v>
      </c>
      <c r="J149">
        <v>860.8</v>
      </c>
      <c r="L149" s="19">
        <v>20.910337267069998</v>
      </c>
      <c r="M149">
        <v>747.6</v>
      </c>
    </row>
    <row r="150" spans="1:13" x14ac:dyDescent="0.2">
      <c r="A150" s="1">
        <v>26298</v>
      </c>
      <c r="C150">
        <v>54.8</v>
      </c>
      <c r="E150" s="7"/>
      <c r="F150" s="7"/>
      <c r="G150" s="7"/>
      <c r="H150">
        <v>4.4382638671262926</v>
      </c>
      <c r="I150">
        <v>24395</v>
      </c>
      <c r="J150">
        <v>861.7</v>
      </c>
      <c r="L150" s="19">
        <v>21.000458211289899</v>
      </c>
      <c r="M150">
        <v>757.7</v>
      </c>
    </row>
    <row r="151" spans="1:13" x14ac:dyDescent="0.2">
      <c r="A151" s="1">
        <v>26329</v>
      </c>
      <c r="C151">
        <v>53.3</v>
      </c>
      <c r="E151" s="7"/>
      <c r="F151" s="7"/>
      <c r="G151" s="7"/>
      <c r="H151">
        <v>4.4720059470245319</v>
      </c>
      <c r="I151">
        <v>24416</v>
      </c>
      <c r="J151">
        <v>863.5</v>
      </c>
      <c r="L151" s="19">
        <v>21.399953557441901</v>
      </c>
      <c r="M151">
        <v>754.1</v>
      </c>
    </row>
    <row r="152" spans="1:13" x14ac:dyDescent="0.2">
      <c r="A152" s="1">
        <v>26358</v>
      </c>
      <c r="C152">
        <v>49</v>
      </c>
      <c r="E152" s="7"/>
      <c r="F152" s="7"/>
      <c r="G152" s="7"/>
      <c r="H152">
        <v>4.4875800656147478</v>
      </c>
      <c r="I152">
        <v>24455</v>
      </c>
      <c r="J152">
        <v>866.1</v>
      </c>
      <c r="L152" s="19">
        <v>21.478132919639101</v>
      </c>
      <c r="M152">
        <v>768.5</v>
      </c>
    </row>
    <row r="153" spans="1:13" x14ac:dyDescent="0.2">
      <c r="A153" s="1">
        <v>26389</v>
      </c>
      <c r="C153">
        <v>53.8</v>
      </c>
      <c r="E153" s="7"/>
      <c r="F153" s="7"/>
      <c r="G153" s="7"/>
      <c r="H153">
        <v>4.5018709073900842</v>
      </c>
      <c r="I153">
        <v>24501</v>
      </c>
      <c r="J153">
        <v>868.7</v>
      </c>
      <c r="L153" s="19">
        <v>22.0553870505471</v>
      </c>
      <c r="M153">
        <v>779.6</v>
      </c>
    </row>
    <row r="154" spans="1:13" x14ac:dyDescent="0.2">
      <c r="A154" s="1">
        <v>26419</v>
      </c>
      <c r="C154">
        <v>55.2</v>
      </c>
      <c r="E154" s="7"/>
      <c r="F154" s="7"/>
      <c r="G154" s="7"/>
      <c r="H154">
        <v>4.5192681977423126</v>
      </c>
      <c r="I154">
        <v>24529</v>
      </c>
      <c r="J154">
        <v>870.7</v>
      </c>
      <c r="L154" s="19">
        <v>22.4160929707039</v>
      </c>
      <c r="M154">
        <v>775.9</v>
      </c>
    </row>
    <row r="155" spans="1:13" x14ac:dyDescent="0.2">
      <c r="A155" s="1">
        <v>26450</v>
      </c>
      <c r="C155">
        <v>56.2</v>
      </c>
      <c r="E155" s="7"/>
      <c r="F155" s="7"/>
      <c r="G155" s="7"/>
      <c r="H155">
        <v>4.4952128901689115</v>
      </c>
      <c r="I155">
        <v>24539</v>
      </c>
      <c r="J155">
        <v>872</v>
      </c>
      <c r="L155" s="19">
        <v>22.477109426537599</v>
      </c>
      <c r="M155">
        <v>745.8</v>
      </c>
    </row>
    <row r="156" spans="1:13" x14ac:dyDescent="0.2">
      <c r="A156" s="1">
        <v>26480</v>
      </c>
      <c r="C156">
        <v>56.5</v>
      </c>
      <c r="E156" s="7"/>
      <c r="F156" s="7"/>
      <c r="G156" s="7"/>
      <c r="H156">
        <v>4.4389066272097191</v>
      </c>
      <c r="I156">
        <v>24542</v>
      </c>
      <c r="J156">
        <v>873.1</v>
      </c>
      <c r="L156" s="19">
        <v>22.641926930903001</v>
      </c>
      <c r="M156">
        <v>722.4</v>
      </c>
    </row>
    <row r="157" spans="1:13" x14ac:dyDescent="0.2">
      <c r="A157" s="1">
        <v>26511</v>
      </c>
      <c r="C157">
        <v>55.9</v>
      </c>
      <c r="E157" s="7"/>
      <c r="F157" s="7"/>
      <c r="G157" s="7"/>
      <c r="H157">
        <v>4.3720531504500642</v>
      </c>
      <c r="I157">
        <v>24541</v>
      </c>
      <c r="J157">
        <v>873.7</v>
      </c>
      <c r="L157" s="19">
        <v>22.936937741656202</v>
      </c>
      <c r="M157">
        <v>709.8</v>
      </c>
    </row>
    <row r="158" spans="1:13" x14ac:dyDescent="0.2">
      <c r="A158" s="1">
        <v>26542</v>
      </c>
      <c r="C158">
        <v>56.4</v>
      </c>
      <c r="E158" s="7"/>
      <c r="F158" s="7"/>
      <c r="G158" s="7"/>
      <c r="H158">
        <v>4.3134351620947635</v>
      </c>
      <c r="I158">
        <v>24557</v>
      </c>
      <c r="J158">
        <v>875</v>
      </c>
      <c r="L158" s="19">
        <v>23.194520267139499</v>
      </c>
      <c r="M158">
        <v>692.7</v>
      </c>
    </row>
    <row r="159" spans="1:13" x14ac:dyDescent="0.2">
      <c r="A159" s="1">
        <v>26572</v>
      </c>
      <c r="C159">
        <v>57.3</v>
      </c>
      <c r="E159" s="7"/>
      <c r="F159" s="7"/>
      <c r="G159" s="7"/>
      <c r="H159">
        <v>4.282655246252677</v>
      </c>
      <c r="I159">
        <v>24585</v>
      </c>
      <c r="J159">
        <v>876.7</v>
      </c>
      <c r="L159" s="19">
        <v>23.552278321103501</v>
      </c>
      <c r="M159">
        <v>696.7</v>
      </c>
    </row>
    <row r="160" spans="1:13" x14ac:dyDescent="0.2">
      <c r="A160" s="1">
        <v>26603</v>
      </c>
      <c r="C160">
        <v>58</v>
      </c>
      <c r="E160" s="7"/>
      <c r="F160" s="7"/>
      <c r="G160" s="7"/>
      <c r="H160">
        <v>4.2480354780984984</v>
      </c>
      <c r="I160">
        <v>24614</v>
      </c>
      <c r="J160">
        <v>878.3</v>
      </c>
      <c r="L160" s="19">
        <v>24.0561521340361</v>
      </c>
      <c r="M160">
        <v>680.7</v>
      </c>
    </row>
    <row r="161" spans="1:13" x14ac:dyDescent="0.2">
      <c r="A161" s="1">
        <v>26633</v>
      </c>
      <c r="C161">
        <v>58.5</v>
      </c>
      <c r="E161" s="7"/>
      <c r="F161" s="7"/>
      <c r="G161" s="7"/>
      <c r="H161">
        <v>4.217195273631841</v>
      </c>
      <c r="I161">
        <v>24643</v>
      </c>
      <c r="J161">
        <v>879.8</v>
      </c>
      <c r="L161" s="19">
        <v>24.218340886101899</v>
      </c>
      <c r="M161">
        <v>666.2</v>
      </c>
    </row>
    <row r="162" spans="1:13" x14ac:dyDescent="0.2">
      <c r="A162" s="1">
        <v>26664</v>
      </c>
      <c r="C162">
        <v>58.9</v>
      </c>
      <c r="E162" s="7"/>
      <c r="F162" s="7"/>
      <c r="G162" s="7"/>
      <c r="H162">
        <v>4.1538879614891879</v>
      </c>
      <c r="I162">
        <v>24689</v>
      </c>
      <c r="J162">
        <v>881.9</v>
      </c>
      <c r="L162" s="19">
        <v>24.3892134373808</v>
      </c>
      <c r="M162">
        <v>639.4</v>
      </c>
    </row>
    <row r="163" spans="1:13" x14ac:dyDescent="0.2">
      <c r="A163" s="1">
        <v>26695</v>
      </c>
      <c r="C163">
        <v>60.7</v>
      </c>
      <c r="E163" s="7"/>
      <c r="F163" s="7"/>
      <c r="G163" s="7"/>
      <c r="H163">
        <v>4.0663643059270456</v>
      </c>
      <c r="I163">
        <v>24748</v>
      </c>
      <c r="J163">
        <v>884.4</v>
      </c>
      <c r="L163" s="19">
        <v>24.689405990381001</v>
      </c>
      <c r="M163">
        <v>603.70000000000005</v>
      </c>
    </row>
    <row r="164" spans="1:13" x14ac:dyDescent="0.2">
      <c r="A164" s="1">
        <v>26723</v>
      </c>
      <c r="C164">
        <v>60.2</v>
      </c>
      <c r="E164" s="7"/>
      <c r="F164" s="7"/>
      <c r="G164" s="7"/>
      <c r="H164">
        <v>3.9614685287632017</v>
      </c>
      <c r="I164">
        <v>24825</v>
      </c>
      <c r="J164">
        <v>887.7</v>
      </c>
      <c r="L164" s="19">
        <v>25.0580148716632</v>
      </c>
      <c r="M164">
        <v>574.29999999999995</v>
      </c>
    </row>
    <row r="165" spans="1:13" x14ac:dyDescent="0.2">
      <c r="A165" s="1">
        <v>26754</v>
      </c>
      <c r="C165">
        <v>60.9</v>
      </c>
      <c r="E165" s="7"/>
      <c r="F165" s="7"/>
      <c r="G165" s="7"/>
      <c r="H165">
        <v>3.8679791546033586</v>
      </c>
      <c r="I165">
        <v>24903</v>
      </c>
      <c r="J165">
        <v>890.6</v>
      </c>
      <c r="L165" s="19">
        <v>25.0967325215573</v>
      </c>
      <c r="M165">
        <v>560.29999999999995</v>
      </c>
    </row>
    <row r="166" spans="1:13" x14ac:dyDescent="0.2">
      <c r="A166" s="1">
        <v>26784</v>
      </c>
      <c r="C166">
        <v>60.3</v>
      </c>
      <c r="E166" s="7"/>
      <c r="F166" s="7"/>
      <c r="G166" s="7"/>
      <c r="H166">
        <v>3.8036147828432694</v>
      </c>
      <c r="I166">
        <v>24962</v>
      </c>
      <c r="J166">
        <v>893.1</v>
      </c>
      <c r="L166" s="19">
        <v>25.135146966539399</v>
      </c>
      <c r="M166">
        <v>547.20000000000005</v>
      </c>
    </row>
    <row r="167" spans="1:13" x14ac:dyDescent="0.2">
      <c r="A167" s="1">
        <v>26815</v>
      </c>
      <c r="C167">
        <v>60.3</v>
      </c>
      <c r="E167" s="7"/>
      <c r="F167" s="7"/>
      <c r="G167" s="7"/>
      <c r="H167">
        <v>3.7630474136270848</v>
      </c>
      <c r="I167">
        <v>24986</v>
      </c>
      <c r="J167">
        <v>894.1</v>
      </c>
      <c r="L167" s="19">
        <v>25.859097349223699</v>
      </c>
      <c r="M167">
        <v>537.6</v>
      </c>
    </row>
    <row r="168" spans="1:13" x14ac:dyDescent="0.2">
      <c r="A168" s="1">
        <v>26845</v>
      </c>
      <c r="C168">
        <v>61.4</v>
      </c>
      <c r="E168" s="7"/>
      <c r="F168" s="7"/>
      <c r="G168" s="7"/>
      <c r="H168">
        <v>3.7296755798720813</v>
      </c>
      <c r="I168">
        <v>24986</v>
      </c>
      <c r="J168">
        <v>894.2</v>
      </c>
      <c r="L168" s="19">
        <v>26.341000372619</v>
      </c>
      <c r="M168">
        <v>530.20000000000005</v>
      </c>
    </row>
    <row r="169" spans="1:13" x14ac:dyDescent="0.2">
      <c r="A169" s="1">
        <v>26876</v>
      </c>
      <c r="C169">
        <v>61.1</v>
      </c>
      <c r="E169" s="7"/>
      <c r="F169" s="7"/>
      <c r="G169" s="7"/>
      <c r="H169">
        <v>3.6904211013419714</v>
      </c>
      <c r="I169">
        <v>24975</v>
      </c>
      <c r="J169">
        <v>893.8</v>
      </c>
      <c r="L169" s="19">
        <v>26.610514298368798</v>
      </c>
      <c r="M169">
        <v>506.3</v>
      </c>
    </row>
    <row r="170" spans="1:13" x14ac:dyDescent="0.2">
      <c r="A170" s="1">
        <v>26907</v>
      </c>
      <c r="C170">
        <v>61.1</v>
      </c>
      <c r="E170" s="7"/>
      <c r="F170" s="7"/>
      <c r="G170" s="7"/>
      <c r="H170">
        <v>3.6398023776439712</v>
      </c>
      <c r="I170">
        <v>24965</v>
      </c>
      <c r="J170">
        <v>893.4</v>
      </c>
      <c r="L170" s="19">
        <v>26.653497676718001</v>
      </c>
      <c r="M170">
        <v>486.8</v>
      </c>
    </row>
    <row r="171" spans="1:13" x14ac:dyDescent="0.2">
      <c r="A171" s="1">
        <v>26937</v>
      </c>
      <c r="C171">
        <v>60.9</v>
      </c>
      <c r="E171" s="7"/>
      <c r="F171" s="7"/>
      <c r="G171" s="7"/>
      <c r="H171">
        <v>3.5792887756284024</v>
      </c>
      <c r="I171">
        <v>24972</v>
      </c>
      <c r="J171">
        <v>893.7</v>
      </c>
      <c r="L171" s="19">
        <v>27.000646648029701</v>
      </c>
      <c r="M171">
        <v>469.4</v>
      </c>
    </row>
    <row r="172" spans="1:13" x14ac:dyDescent="0.2">
      <c r="A172" s="1">
        <v>26968</v>
      </c>
      <c r="C172">
        <v>61.4</v>
      </c>
      <c r="E172" s="7"/>
      <c r="F172" s="7"/>
      <c r="G172" s="7"/>
      <c r="H172">
        <v>3.5255048847356836</v>
      </c>
      <c r="I172">
        <v>24984</v>
      </c>
      <c r="J172">
        <v>894</v>
      </c>
      <c r="L172" s="19">
        <v>27.0869508642566</v>
      </c>
      <c r="M172">
        <v>456.5</v>
      </c>
    </row>
    <row r="173" spans="1:13" x14ac:dyDescent="0.2">
      <c r="A173" s="1">
        <v>26998</v>
      </c>
      <c r="C173">
        <v>60.8</v>
      </c>
      <c r="E173" s="7"/>
      <c r="F173" s="7"/>
      <c r="G173" s="7"/>
      <c r="H173">
        <v>3.4790331299714263</v>
      </c>
      <c r="I173">
        <v>24997</v>
      </c>
      <c r="J173">
        <v>894.1</v>
      </c>
      <c r="L173" s="19">
        <v>27.442285316354099</v>
      </c>
      <c r="M173">
        <v>441.2</v>
      </c>
    </row>
    <row r="174" spans="1:13" x14ac:dyDescent="0.2">
      <c r="A174" s="1">
        <v>27029</v>
      </c>
      <c r="C174">
        <v>60.2</v>
      </c>
      <c r="E174" s="7"/>
      <c r="F174" s="7"/>
      <c r="G174" s="7"/>
      <c r="H174">
        <v>3.4302931973577473</v>
      </c>
      <c r="I174">
        <v>24999</v>
      </c>
      <c r="J174">
        <v>893.9</v>
      </c>
      <c r="L174" s="19">
        <v>27.659816176522298</v>
      </c>
      <c r="M174">
        <v>422.6</v>
      </c>
    </row>
    <row r="175" spans="1:13" x14ac:dyDescent="0.2">
      <c r="A175" s="1">
        <v>27060</v>
      </c>
      <c r="C175">
        <v>55.9</v>
      </c>
      <c r="E175" s="7"/>
      <c r="F175" s="7"/>
      <c r="G175" s="7"/>
      <c r="H175">
        <v>3.4450795612544414</v>
      </c>
      <c r="I175">
        <v>25000</v>
      </c>
      <c r="J175">
        <v>893.6</v>
      </c>
      <c r="L175" s="19">
        <v>26.7584117440082</v>
      </c>
      <c r="M175">
        <v>468.7</v>
      </c>
    </row>
    <row r="176" spans="1:13" x14ac:dyDescent="0.2">
      <c r="A176" s="1">
        <v>27088</v>
      </c>
      <c r="C176">
        <v>55.9</v>
      </c>
      <c r="E176" s="7"/>
      <c r="F176" s="7"/>
      <c r="G176" s="7"/>
      <c r="H176">
        <v>3.4904822580022397</v>
      </c>
      <c r="I176">
        <v>24995</v>
      </c>
      <c r="J176">
        <v>892.8</v>
      </c>
      <c r="L176" s="19">
        <v>27.620989447242</v>
      </c>
      <c r="M176">
        <v>486.6</v>
      </c>
    </row>
    <row r="177" spans="1:13" x14ac:dyDescent="0.2">
      <c r="A177" s="1">
        <v>27119</v>
      </c>
      <c r="C177">
        <v>57.8</v>
      </c>
      <c r="E177" s="7"/>
      <c r="F177" s="7"/>
      <c r="G177" s="7"/>
      <c r="H177">
        <v>3.562743660014668</v>
      </c>
      <c r="I177">
        <v>24984</v>
      </c>
      <c r="J177">
        <v>891.6</v>
      </c>
      <c r="L177" s="19">
        <v>29.2212077885398</v>
      </c>
      <c r="M177">
        <v>494.8</v>
      </c>
    </row>
    <row r="178" spans="1:13" x14ac:dyDescent="0.2">
      <c r="A178" s="1">
        <v>27149</v>
      </c>
      <c r="C178">
        <v>60.9</v>
      </c>
      <c r="E178" s="7"/>
      <c r="F178" s="7"/>
      <c r="G178" s="7"/>
      <c r="H178">
        <v>3.5925139880378159</v>
      </c>
      <c r="I178">
        <v>24984</v>
      </c>
      <c r="J178">
        <v>890.9</v>
      </c>
      <c r="L178" s="19">
        <v>28.9625989635982</v>
      </c>
      <c r="M178">
        <v>497.4</v>
      </c>
    </row>
    <row r="179" spans="1:13" x14ac:dyDescent="0.2">
      <c r="A179" s="1">
        <v>27180</v>
      </c>
      <c r="C179">
        <v>61.5</v>
      </c>
      <c r="E179" s="7"/>
      <c r="F179" s="7"/>
      <c r="G179" s="7"/>
      <c r="H179">
        <v>3.5998148005247317</v>
      </c>
      <c r="I179">
        <v>24985</v>
      </c>
      <c r="J179">
        <v>890</v>
      </c>
      <c r="L179" s="19">
        <v>29.815893113792399</v>
      </c>
      <c r="M179">
        <v>494.3</v>
      </c>
    </row>
    <row r="180" spans="1:13" x14ac:dyDescent="0.2">
      <c r="A180" s="1">
        <v>27210</v>
      </c>
      <c r="C180">
        <v>61.8</v>
      </c>
      <c r="E180" s="7"/>
      <c r="F180" s="7"/>
      <c r="G180" s="7"/>
      <c r="H180">
        <v>3.6123212151586412</v>
      </c>
      <c r="I180">
        <v>25002</v>
      </c>
      <c r="J180">
        <v>889.6</v>
      </c>
      <c r="L180" s="19">
        <v>30.556692631117301</v>
      </c>
      <c r="M180">
        <v>508.9</v>
      </c>
    </row>
    <row r="181" spans="1:13" x14ac:dyDescent="0.2">
      <c r="A181" s="1">
        <v>27241</v>
      </c>
      <c r="C181">
        <v>61.5</v>
      </c>
      <c r="E181" s="7"/>
      <c r="F181" s="7"/>
      <c r="G181" s="7"/>
      <c r="H181">
        <v>3.6246677708871</v>
      </c>
      <c r="I181">
        <v>25020</v>
      </c>
      <c r="J181">
        <v>889</v>
      </c>
      <c r="L181" s="19">
        <v>31.471963264116901</v>
      </c>
      <c r="M181">
        <v>510.8</v>
      </c>
    </row>
    <row r="182" spans="1:13" x14ac:dyDescent="0.2">
      <c r="A182" s="1">
        <v>27272</v>
      </c>
      <c r="C182">
        <v>61.7</v>
      </c>
      <c r="E182" s="7"/>
      <c r="F182" s="7"/>
      <c r="G182" s="7"/>
      <c r="H182">
        <v>3.6583958453548759</v>
      </c>
      <c r="I182">
        <v>25044</v>
      </c>
      <c r="J182">
        <v>888.7</v>
      </c>
      <c r="L182" s="19">
        <v>32.310566399455801</v>
      </c>
      <c r="M182">
        <v>530.20000000000005</v>
      </c>
    </row>
    <row r="183" spans="1:13" x14ac:dyDescent="0.2">
      <c r="A183" s="1">
        <v>27302</v>
      </c>
      <c r="C183">
        <v>60.7</v>
      </c>
      <c r="E183" s="7"/>
      <c r="F183" s="7"/>
      <c r="G183" s="7"/>
      <c r="H183">
        <v>3.6812173378419919</v>
      </c>
      <c r="I183">
        <v>25066</v>
      </c>
      <c r="J183">
        <v>888.1</v>
      </c>
      <c r="L183" s="19">
        <v>33.031398008857799</v>
      </c>
      <c r="M183">
        <v>534.29999999999995</v>
      </c>
    </row>
    <row r="184" spans="1:13" x14ac:dyDescent="0.2">
      <c r="A184" s="1">
        <v>27333</v>
      </c>
      <c r="C184">
        <v>59.4</v>
      </c>
      <c r="E184" s="7"/>
      <c r="F184" s="7"/>
      <c r="G184" s="7"/>
      <c r="H184">
        <v>3.7055525689271178</v>
      </c>
      <c r="I184">
        <v>25077</v>
      </c>
      <c r="J184">
        <v>887.1</v>
      </c>
      <c r="L184" s="19">
        <v>33.651356199355199</v>
      </c>
      <c r="M184">
        <v>539.70000000000005</v>
      </c>
    </row>
    <row r="185" spans="1:13" x14ac:dyDescent="0.2">
      <c r="A185" s="1">
        <v>27363</v>
      </c>
      <c r="C185">
        <v>59.3</v>
      </c>
      <c r="E185" s="7"/>
      <c r="F185" s="7"/>
      <c r="G185" s="7"/>
      <c r="H185">
        <v>3.7206266318537859</v>
      </c>
      <c r="I185">
        <v>25075</v>
      </c>
      <c r="J185">
        <v>885.3</v>
      </c>
      <c r="L185" s="19">
        <v>34.866131128916301</v>
      </c>
      <c r="M185">
        <v>544.9</v>
      </c>
    </row>
    <row r="186" spans="1:13" x14ac:dyDescent="0.2">
      <c r="A186" s="1">
        <v>27394</v>
      </c>
      <c r="C186">
        <v>58.4</v>
      </c>
      <c r="E186" s="7"/>
      <c r="F186" s="7"/>
      <c r="G186" s="7"/>
      <c r="H186">
        <v>3.7479359471602471</v>
      </c>
      <c r="I186">
        <v>25065</v>
      </c>
      <c r="J186">
        <v>883.5</v>
      </c>
      <c r="L186" s="19">
        <v>35.905191622038203</v>
      </c>
      <c r="M186">
        <v>558.5</v>
      </c>
    </row>
    <row r="187" spans="1:13" x14ac:dyDescent="0.2">
      <c r="A187" s="1">
        <v>27425</v>
      </c>
      <c r="C187">
        <v>58.8</v>
      </c>
      <c r="E187" s="7"/>
      <c r="F187" s="7"/>
      <c r="G187" s="7"/>
      <c r="H187">
        <v>3.799024315292129</v>
      </c>
      <c r="I187">
        <v>25044</v>
      </c>
      <c r="J187">
        <v>881.4</v>
      </c>
      <c r="L187" s="19">
        <v>36.304802374369402</v>
      </c>
      <c r="M187">
        <v>587.79999999999995</v>
      </c>
    </row>
    <row r="188" spans="1:13" x14ac:dyDescent="0.2">
      <c r="A188" s="1">
        <v>27453</v>
      </c>
      <c r="C188">
        <v>58.5</v>
      </c>
      <c r="E188" s="7"/>
      <c r="F188" s="7"/>
      <c r="G188" s="7"/>
      <c r="H188">
        <v>3.8693563880883763</v>
      </c>
      <c r="I188">
        <v>25018</v>
      </c>
      <c r="J188">
        <v>879</v>
      </c>
      <c r="L188" s="19">
        <v>37.6872079109637</v>
      </c>
      <c r="M188">
        <v>609.1</v>
      </c>
    </row>
    <row r="189" spans="1:13" x14ac:dyDescent="0.2">
      <c r="A189" s="1">
        <v>27484</v>
      </c>
      <c r="C189">
        <v>57.3</v>
      </c>
      <c r="E189" s="7"/>
      <c r="F189" s="7"/>
      <c r="G189" s="7"/>
      <c r="H189">
        <v>3.9538904899135447</v>
      </c>
      <c r="I189">
        <v>24996</v>
      </c>
      <c r="J189">
        <v>876.9</v>
      </c>
      <c r="L189" s="19">
        <v>38.366022483050898</v>
      </c>
      <c r="M189">
        <v>641.70000000000005</v>
      </c>
    </row>
    <row r="190" spans="1:13" x14ac:dyDescent="0.2">
      <c r="A190" s="1">
        <v>27514</v>
      </c>
      <c r="C190">
        <v>56.3</v>
      </c>
      <c r="E190" s="7"/>
      <c r="F190" s="7"/>
      <c r="G190" s="7"/>
      <c r="H190">
        <v>4.0522373727674283</v>
      </c>
      <c r="I190">
        <v>24980</v>
      </c>
      <c r="J190">
        <v>874.8</v>
      </c>
      <c r="L190" s="19">
        <v>38.9034209136911</v>
      </c>
      <c r="M190">
        <v>683.4</v>
      </c>
    </row>
    <row r="191" spans="1:13" x14ac:dyDescent="0.2">
      <c r="A191" s="1">
        <v>27545</v>
      </c>
      <c r="C191">
        <v>55.5</v>
      </c>
      <c r="E191" s="7"/>
      <c r="F191" s="7"/>
      <c r="G191" s="7"/>
      <c r="H191">
        <v>4.1797804559760499</v>
      </c>
      <c r="I191">
        <v>24965</v>
      </c>
      <c r="J191">
        <v>873.1</v>
      </c>
      <c r="L191" s="19">
        <v>38.575786884608199</v>
      </c>
      <c r="M191">
        <v>734.4</v>
      </c>
    </row>
    <row r="192" spans="1:13" x14ac:dyDescent="0.2">
      <c r="A192" s="1">
        <v>27575</v>
      </c>
      <c r="C192">
        <v>55.9</v>
      </c>
      <c r="E192" s="7"/>
      <c r="F192" s="7"/>
      <c r="G192" s="7"/>
      <c r="H192">
        <v>4.3173191211993407</v>
      </c>
      <c r="I192">
        <v>24955</v>
      </c>
      <c r="J192">
        <v>871.4</v>
      </c>
      <c r="L192" s="19">
        <v>39.192433911047303</v>
      </c>
      <c r="M192">
        <v>774.2</v>
      </c>
    </row>
    <row r="193" spans="1:13" x14ac:dyDescent="0.2">
      <c r="A193" s="1">
        <v>27606</v>
      </c>
      <c r="C193">
        <v>55.2</v>
      </c>
      <c r="E193" s="7"/>
      <c r="F193" s="7"/>
      <c r="G193" s="7"/>
      <c r="H193">
        <v>4.4509135480905506</v>
      </c>
      <c r="I193">
        <v>24945</v>
      </c>
      <c r="J193">
        <v>870.1</v>
      </c>
      <c r="L193" s="19">
        <v>40.623706361266301</v>
      </c>
      <c r="M193">
        <v>818.7</v>
      </c>
    </row>
    <row r="194" spans="1:13" x14ac:dyDescent="0.2">
      <c r="A194" s="1">
        <v>27637</v>
      </c>
      <c r="C194">
        <v>54.5</v>
      </c>
      <c r="E194" s="7"/>
      <c r="F194" s="7"/>
      <c r="G194" s="7"/>
      <c r="H194">
        <v>4.5661576147280591</v>
      </c>
      <c r="I194">
        <v>24934</v>
      </c>
      <c r="J194">
        <v>868.9</v>
      </c>
      <c r="L194" s="19">
        <v>41.232878734776101</v>
      </c>
      <c r="M194">
        <v>845.8</v>
      </c>
    </row>
    <row r="195" spans="1:13" x14ac:dyDescent="0.2">
      <c r="A195" s="1">
        <v>27667</v>
      </c>
      <c r="C195">
        <v>55.5</v>
      </c>
      <c r="E195" s="7"/>
      <c r="F195" s="7"/>
      <c r="G195" s="7"/>
      <c r="H195">
        <v>4.6711809939171349</v>
      </c>
      <c r="I195">
        <v>24918</v>
      </c>
      <c r="J195">
        <v>867.4</v>
      </c>
      <c r="L195" s="19">
        <v>42.262148625771601</v>
      </c>
      <c r="M195">
        <v>877</v>
      </c>
    </row>
    <row r="196" spans="1:13" x14ac:dyDescent="0.2">
      <c r="A196" s="1">
        <v>27698</v>
      </c>
      <c r="C196">
        <v>56.1</v>
      </c>
      <c r="E196" s="7"/>
      <c r="F196" s="7"/>
      <c r="G196" s="7"/>
      <c r="H196">
        <v>4.7879460017591491</v>
      </c>
      <c r="I196">
        <v>24897</v>
      </c>
      <c r="J196">
        <v>865.9</v>
      </c>
      <c r="L196" s="19">
        <v>42.577399220279503</v>
      </c>
      <c r="M196">
        <v>934.4</v>
      </c>
    </row>
    <row r="197" spans="1:13" x14ac:dyDescent="0.2">
      <c r="A197" s="1">
        <v>27728</v>
      </c>
      <c r="C197">
        <v>56.2</v>
      </c>
      <c r="E197" s="7"/>
      <c r="F197" s="7"/>
      <c r="G197" s="7"/>
      <c r="H197">
        <v>4.9147748987235342</v>
      </c>
      <c r="I197">
        <v>24880</v>
      </c>
      <c r="J197">
        <v>864.7</v>
      </c>
      <c r="L197" s="19">
        <v>43.265729233166901</v>
      </c>
      <c r="M197">
        <v>970.1</v>
      </c>
    </row>
    <row r="198" spans="1:13" x14ac:dyDescent="0.2">
      <c r="A198" s="1">
        <v>27759</v>
      </c>
      <c r="C198">
        <v>55.9</v>
      </c>
      <c r="E198" s="7"/>
      <c r="F198" s="7"/>
      <c r="G198" s="7"/>
      <c r="H198">
        <v>5.0376198296604668</v>
      </c>
      <c r="I198">
        <v>24864</v>
      </c>
      <c r="J198">
        <v>863.6</v>
      </c>
      <c r="L198" s="19">
        <v>43.520828406979803</v>
      </c>
      <c r="M198">
        <v>997.1</v>
      </c>
    </row>
    <row r="199" spans="1:13" x14ac:dyDescent="0.2">
      <c r="A199" s="1">
        <v>27790</v>
      </c>
      <c r="C199">
        <v>56.3</v>
      </c>
      <c r="E199" s="7"/>
      <c r="F199" s="7"/>
      <c r="G199" s="7"/>
      <c r="H199">
        <v>5.1279114165712105</v>
      </c>
      <c r="I199">
        <v>24847</v>
      </c>
      <c r="J199">
        <v>862.7</v>
      </c>
      <c r="L199" s="19">
        <v>44.455050548162099</v>
      </c>
      <c r="M199">
        <v>1022</v>
      </c>
    </row>
    <row r="200" spans="1:13" x14ac:dyDescent="0.2">
      <c r="A200" s="1">
        <v>27819</v>
      </c>
      <c r="C200">
        <v>57</v>
      </c>
      <c r="E200" s="7"/>
      <c r="F200" s="7"/>
      <c r="G200" s="7"/>
      <c r="H200">
        <v>5.2046738964411183</v>
      </c>
      <c r="I200">
        <v>24825</v>
      </c>
      <c r="J200">
        <v>861.5</v>
      </c>
      <c r="L200" s="19">
        <v>44.761935478374099</v>
      </c>
      <c r="M200">
        <v>1042.3</v>
      </c>
    </row>
    <row r="201" spans="1:13" x14ac:dyDescent="0.2">
      <c r="A201" s="1">
        <v>27850</v>
      </c>
      <c r="C201">
        <v>57.2</v>
      </c>
      <c r="E201" s="7"/>
      <c r="F201" s="7"/>
      <c r="G201" s="7"/>
      <c r="H201">
        <v>5.2657705819459295</v>
      </c>
      <c r="I201">
        <v>24809</v>
      </c>
      <c r="J201">
        <v>860.8</v>
      </c>
      <c r="L201" s="19">
        <v>44.904742421494198</v>
      </c>
      <c r="M201">
        <v>1055.5999999999999</v>
      </c>
    </row>
    <row r="202" spans="1:13" x14ac:dyDescent="0.2">
      <c r="A202" s="1">
        <v>27880</v>
      </c>
      <c r="C202">
        <v>57.7</v>
      </c>
      <c r="E202" s="7"/>
      <c r="F202" s="7"/>
      <c r="G202" s="7"/>
      <c r="H202">
        <v>5.3160206224937943</v>
      </c>
      <c r="I202">
        <v>24793</v>
      </c>
      <c r="J202">
        <v>860.2</v>
      </c>
      <c r="L202" s="19">
        <v>45.533240375511703</v>
      </c>
      <c r="M202">
        <v>1070.0999999999999</v>
      </c>
    </row>
    <row r="203" spans="1:13" x14ac:dyDescent="0.2">
      <c r="A203" s="1">
        <v>27911</v>
      </c>
      <c r="C203">
        <v>58.5</v>
      </c>
      <c r="E203" s="7"/>
      <c r="F203" s="7"/>
      <c r="G203" s="7"/>
      <c r="H203">
        <v>5.3640285572481199</v>
      </c>
      <c r="I203">
        <v>24788</v>
      </c>
      <c r="J203">
        <v>860.2</v>
      </c>
      <c r="L203" s="19">
        <v>46.165842595633897</v>
      </c>
      <c r="M203">
        <v>1088.2</v>
      </c>
    </row>
    <row r="204" spans="1:13" x14ac:dyDescent="0.2">
      <c r="A204" s="1">
        <v>27941</v>
      </c>
      <c r="C204">
        <v>57.4</v>
      </c>
      <c r="E204" s="7"/>
      <c r="F204" s="7"/>
      <c r="G204" s="7"/>
      <c r="H204">
        <v>5.3947770311545513</v>
      </c>
      <c r="I204">
        <v>24779</v>
      </c>
      <c r="J204">
        <v>860.1</v>
      </c>
      <c r="L204" s="19">
        <v>46.657095656737297</v>
      </c>
      <c r="M204">
        <v>1085.5</v>
      </c>
    </row>
    <row r="205" spans="1:13" x14ac:dyDescent="0.2">
      <c r="A205" s="1">
        <v>27972</v>
      </c>
      <c r="C205">
        <v>57.6</v>
      </c>
      <c r="E205" s="7"/>
      <c r="F205" s="7"/>
      <c r="G205" s="7"/>
      <c r="H205">
        <v>5.4170643252529107</v>
      </c>
      <c r="I205">
        <v>24776</v>
      </c>
      <c r="J205">
        <v>860.3</v>
      </c>
      <c r="L205" s="19">
        <v>46.881359930780803</v>
      </c>
      <c r="M205">
        <v>1093</v>
      </c>
    </row>
    <row r="206" spans="1:13" x14ac:dyDescent="0.2">
      <c r="A206" s="1">
        <v>28003</v>
      </c>
      <c r="C206">
        <v>57.5</v>
      </c>
      <c r="E206" s="7"/>
      <c r="F206" s="7"/>
      <c r="G206" s="7"/>
      <c r="H206">
        <v>5.4395541474214602</v>
      </c>
      <c r="I206">
        <v>24772</v>
      </c>
      <c r="J206">
        <v>860.6</v>
      </c>
      <c r="L206" s="19">
        <v>47.747794538508998</v>
      </c>
      <c r="M206">
        <v>1107.5999999999999</v>
      </c>
    </row>
    <row r="207" spans="1:13" x14ac:dyDescent="0.2">
      <c r="A207" s="1">
        <v>28033</v>
      </c>
      <c r="C207">
        <v>58.5</v>
      </c>
      <c r="E207" s="7"/>
      <c r="F207" s="7"/>
      <c r="G207" s="7"/>
      <c r="H207">
        <v>5.4584319413695699</v>
      </c>
      <c r="I207">
        <v>24768</v>
      </c>
      <c r="J207">
        <v>861</v>
      </c>
      <c r="L207" s="19">
        <v>48.019243757212799</v>
      </c>
      <c r="M207">
        <v>1107</v>
      </c>
    </row>
    <row r="208" spans="1:13" x14ac:dyDescent="0.2">
      <c r="A208" s="1">
        <v>28064</v>
      </c>
      <c r="C208">
        <v>59.7</v>
      </c>
      <c r="E208" s="7"/>
      <c r="F208" s="7"/>
      <c r="G208" s="7"/>
      <c r="H208">
        <v>5.4650230889592795</v>
      </c>
      <c r="I208">
        <v>24771</v>
      </c>
      <c r="J208">
        <v>861.6</v>
      </c>
      <c r="L208" s="19">
        <v>48.537714026205499</v>
      </c>
      <c r="M208">
        <v>1097.8</v>
      </c>
    </row>
    <row r="209" spans="1:13" x14ac:dyDescent="0.2">
      <c r="A209" s="1">
        <v>28094</v>
      </c>
      <c r="C209">
        <v>60.2</v>
      </c>
      <c r="E209" s="7"/>
      <c r="F209" s="7"/>
      <c r="G209" s="7"/>
      <c r="H209">
        <v>5.459748187714613</v>
      </c>
      <c r="I209">
        <v>24779</v>
      </c>
      <c r="J209">
        <v>862.4</v>
      </c>
      <c r="L209" s="19">
        <v>48.776330532773699</v>
      </c>
      <c r="M209">
        <v>1105.0999999999999</v>
      </c>
    </row>
    <row r="210" spans="1:13" x14ac:dyDescent="0.2">
      <c r="A210" s="1">
        <v>28125</v>
      </c>
      <c r="C210">
        <v>60.6</v>
      </c>
      <c r="E210" s="7"/>
      <c r="F210" s="7"/>
      <c r="G210" s="7"/>
      <c r="H210">
        <v>5.4614797864225784</v>
      </c>
      <c r="I210">
        <v>24788</v>
      </c>
      <c r="J210">
        <v>863.4</v>
      </c>
      <c r="L210" s="19">
        <v>49.684834510453904</v>
      </c>
      <c r="M210">
        <v>1108.8</v>
      </c>
    </row>
    <row r="211" spans="1:13" x14ac:dyDescent="0.2">
      <c r="A211" s="1">
        <v>28156</v>
      </c>
      <c r="C211">
        <v>61.7</v>
      </c>
      <c r="E211" s="7"/>
      <c r="F211" s="7"/>
      <c r="G211" s="7"/>
      <c r="H211">
        <v>5.470417810308021</v>
      </c>
      <c r="I211">
        <v>24797</v>
      </c>
      <c r="J211">
        <v>864.3</v>
      </c>
      <c r="L211" s="19">
        <v>49.997482736344601</v>
      </c>
      <c r="M211">
        <v>1111.0999999999999</v>
      </c>
    </row>
    <row r="212" spans="1:13" x14ac:dyDescent="0.2">
      <c r="A212" s="1">
        <v>28184</v>
      </c>
      <c r="C212">
        <v>61.5</v>
      </c>
      <c r="E212" s="7"/>
      <c r="F212" s="7"/>
      <c r="G212" s="7"/>
      <c r="H212">
        <v>5.4733953346546729</v>
      </c>
      <c r="I212">
        <v>24800</v>
      </c>
      <c r="J212">
        <v>864.9</v>
      </c>
      <c r="L212" s="19">
        <v>50.043442214920603</v>
      </c>
      <c r="M212">
        <v>1107.4000000000001</v>
      </c>
    </row>
    <row r="213" spans="1:13" x14ac:dyDescent="0.2">
      <c r="A213" s="1">
        <v>28215</v>
      </c>
      <c r="C213">
        <v>61.5</v>
      </c>
      <c r="E213" s="7"/>
      <c r="F213" s="7"/>
      <c r="G213" s="7"/>
      <c r="H213">
        <v>5.4727695415221618</v>
      </c>
      <c r="I213">
        <v>24803</v>
      </c>
      <c r="J213">
        <v>865.6</v>
      </c>
      <c r="L213" s="19">
        <v>50.666368141934903</v>
      </c>
      <c r="M213">
        <v>1107.9000000000001</v>
      </c>
    </row>
    <row r="214" spans="1:13" x14ac:dyDescent="0.2">
      <c r="A214" s="1">
        <v>28245</v>
      </c>
      <c r="C214">
        <v>61</v>
      </c>
      <c r="E214" s="7"/>
      <c r="F214" s="7"/>
      <c r="G214" s="7"/>
      <c r="H214">
        <v>5.4767893894351705</v>
      </c>
      <c r="I214">
        <v>24801</v>
      </c>
      <c r="J214">
        <v>866</v>
      </c>
      <c r="L214" s="19">
        <v>50.5295483368769</v>
      </c>
      <c r="M214">
        <v>1117.5999999999999</v>
      </c>
    </row>
    <row r="215" spans="1:13" x14ac:dyDescent="0.2">
      <c r="A215" s="1">
        <v>28276</v>
      </c>
      <c r="C215">
        <v>62.6</v>
      </c>
      <c r="E215" s="7"/>
      <c r="F215" s="7"/>
      <c r="G215" s="7"/>
      <c r="H215">
        <v>5.4916158536585362</v>
      </c>
      <c r="I215">
        <v>24799</v>
      </c>
      <c r="J215">
        <v>866.2</v>
      </c>
      <c r="L215" s="19">
        <v>51.197151492534601</v>
      </c>
      <c r="M215">
        <v>1119.7</v>
      </c>
    </row>
    <row r="216" spans="1:13" x14ac:dyDescent="0.2">
      <c r="A216" s="1">
        <v>28306</v>
      </c>
      <c r="C216">
        <v>60.1</v>
      </c>
      <c r="E216" s="7"/>
      <c r="F216" s="7"/>
      <c r="G216" s="7"/>
      <c r="H216">
        <v>5.5305858154947813</v>
      </c>
      <c r="I216">
        <v>24802</v>
      </c>
      <c r="J216">
        <v>866.7</v>
      </c>
      <c r="L216" s="19">
        <v>50.587405403302398</v>
      </c>
      <c r="M216">
        <v>1149.3</v>
      </c>
    </row>
    <row r="217" spans="1:13" x14ac:dyDescent="0.2">
      <c r="A217" s="1">
        <v>28337</v>
      </c>
      <c r="C217">
        <v>60.4</v>
      </c>
      <c r="E217" s="7"/>
      <c r="F217" s="7"/>
      <c r="G217" s="7"/>
      <c r="H217">
        <v>5.5849545056534815</v>
      </c>
      <c r="I217">
        <v>24800</v>
      </c>
      <c r="J217">
        <v>866.7</v>
      </c>
      <c r="L217" s="19">
        <v>51.489487191066502</v>
      </c>
      <c r="M217">
        <v>1169.8</v>
      </c>
    </row>
    <row r="218" spans="1:13" x14ac:dyDescent="0.2">
      <c r="A218" s="1">
        <v>28368</v>
      </c>
      <c r="C218">
        <v>61</v>
      </c>
      <c r="E218" s="7"/>
      <c r="F218" s="7"/>
      <c r="G218" s="7"/>
      <c r="H218">
        <v>5.6343922389195358</v>
      </c>
      <c r="I218">
        <v>24804</v>
      </c>
      <c r="J218">
        <v>867.2</v>
      </c>
      <c r="L218" s="19">
        <v>51.882241275131904</v>
      </c>
      <c r="M218">
        <v>1172.7</v>
      </c>
    </row>
    <row r="219" spans="1:13" x14ac:dyDescent="0.2">
      <c r="A219" s="1">
        <v>28398</v>
      </c>
      <c r="C219">
        <v>61.1</v>
      </c>
      <c r="E219" s="7"/>
      <c r="F219" s="7"/>
      <c r="G219" s="7"/>
      <c r="H219">
        <v>5.6763744201961828</v>
      </c>
      <c r="I219">
        <v>24809</v>
      </c>
      <c r="J219">
        <v>867.3</v>
      </c>
      <c r="L219" s="19">
        <v>51.8280920927739</v>
      </c>
      <c r="M219">
        <v>1193.5999999999999</v>
      </c>
    </row>
    <row r="220" spans="1:13" x14ac:dyDescent="0.2">
      <c r="A220" s="1">
        <v>28429</v>
      </c>
      <c r="C220">
        <v>61</v>
      </c>
      <c r="E220" s="7"/>
      <c r="F220" s="7"/>
      <c r="G220" s="7"/>
      <c r="H220">
        <v>5.6934362053893812</v>
      </c>
      <c r="I220">
        <v>24813</v>
      </c>
      <c r="J220">
        <v>867.6</v>
      </c>
      <c r="L220" s="19">
        <v>52.632947329016098</v>
      </c>
      <c r="M220">
        <v>1188.0999999999999</v>
      </c>
    </row>
    <row r="221" spans="1:13" x14ac:dyDescent="0.2">
      <c r="A221" s="1">
        <v>28459</v>
      </c>
      <c r="C221">
        <v>60.5</v>
      </c>
      <c r="E221" s="7"/>
      <c r="F221" s="7"/>
      <c r="G221" s="7"/>
      <c r="H221">
        <v>5.7066869300911858</v>
      </c>
      <c r="I221">
        <v>24818</v>
      </c>
      <c r="J221">
        <v>867.7</v>
      </c>
      <c r="L221" s="19">
        <v>53.396326433909401</v>
      </c>
      <c r="M221">
        <v>1186.0999999999999</v>
      </c>
    </row>
    <row r="222" spans="1:13" x14ac:dyDescent="0.2">
      <c r="A222" s="1">
        <v>28490</v>
      </c>
      <c r="C222">
        <v>61.6</v>
      </c>
      <c r="E222" s="7"/>
      <c r="F222" s="7"/>
      <c r="G222" s="7"/>
      <c r="H222">
        <v>5.6950723756696178</v>
      </c>
      <c r="I222">
        <v>24822</v>
      </c>
      <c r="J222">
        <v>867.8</v>
      </c>
      <c r="L222" s="19">
        <v>53.901683439669299</v>
      </c>
      <c r="M222">
        <v>1181.5</v>
      </c>
    </row>
    <row r="223" spans="1:13" x14ac:dyDescent="0.2">
      <c r="A223" s="1">
        <v>28521</v>
      </c>
      <c r="C223">
        <v>61.5</v>
      </c>
      <c r="E223" s="7"/>
      <c r="F223" s="7"/>
      <c r="G223" s="7"/>
      <c r="H223">
        <v>5.671199574565069</v>
      </c>
      <c r="I223">
        <v>24833</v>
      </c>
      <c r="J223">
        <v>868.1</v>
      </c>
      <c r="L223" s="19">
        <v>54.801707665539702</v>
      </c>
      <c r="M223">
        <v>1167.5</v>
      </c>
    </row>
    <row r="224" spans="1:13" x14ac:dyDescent="0.2">
      <c r="A224" s="1">
        <v>28549</v>
      </c>
      <c r="C224">
        <v>61.5</v>
      </c>
      <c r="E224" s="7"/>
      <c r="F224" s="7"/>
      <c r="G224" s="7"/>
      <c r="H224">
        <v>5.6365846247341231</v>
      </c>
      <c r="I224">
        <v>24844</v>
      </c>
      <c r="J224">
        <v>868.4</v>
      </c>
      <c r="L224" s="19">
        <v>55.407583609630002</v>
      </c>
      <c r="M224">
        <v>1150.9000000000001</v>
      </c>
    </row>
    <row r="225" spans="1:13" x14ac:dyDescent="0.2">
      <c r="A225" s="1">
        <v>28580</v>
      </c>
      <c r="C225">
        <v>60.9</v>
      </c>
      <c r="E225" s="7"/>
      <c r="F225" s="7"/>
      <c r="G225" s="7"/>
      <c r="H225">
        <v>5.5969015795868771</v>
      </c>
      <c r="I225">
        <v>24862</v>
      </c>
      <c r="J225">
        <v>869</v>
      </c>
      <c r="L225" s="19">
        <v>55.837663879809703</v>
      </c>
      <c r="M225">
        <v>1148.0999999999999</v>
      </c>
    </row>
    <row r="226" spans="1:13" x14ac:dyDescent="0.2">
      <c r="A226" s="1">
        <v>28610</v>
      </c>
      <c r="C226">
        <v>64.599999999999994</v>
      </c>
      <c r="E226" s="7"/>
      <c r="F226" s="7"/>
      <c r="G226" s="7"/>
      <c r="H226">
        <v>5.5764339672778345</v>
      </c>
      <c r="I226">
        <v>24874</v>
      </c>
      <c r="J226">
        <v>869.5</v>
      </c>
      <c r="L226" s="19">
        <v>56.803931716447401</v>
      </c>
      <c r="M226">
        <v>1147.3</v>
      </c>
    </row>
    <row r="227" spans="1:13" x14ac:dyDescent="0.2">
      <c r="A227" s="1">
        <v>28641</v>
      </c>
      <c r="C227">
        <v>62.4</v>
      </c>
      <c r="E227" s="7"/>
      <c r="F227" s="7"/>
      <c r="G227" s="7"/>
      <c r="H227">
        <v>5.5631451123254401</v>
      </c>
      <c r="I227">
        <v>24886</v>
      </c>
      <c r="J227">
        <v>869.8</v>
      </c>
      <c r="L227" s="19">
        <v>57.553985655180703</v>
      </c>
      <c r="M227">
        <v>1140.5999999999999</v>
      </c>
    </row>
    <row r="228" spans="1:13" x14ac:dyDescent="0.2">
      <c r="A228" s="1">
        <v>28671</v>
      </c>
      <c r="C228">
        <v>62.4</v>
      </c>
      <c r="E228" s="7"/>
      <c r="F228" s="7"/>
      <c r="G228" s="7"/>
      <c r="H228">
        <v>5.5500758725341424</v>
      </c>
      <c r="I228">
        <v>24897</v>
      </c>
      <c r="J228">
        <v>870.2</v>
      </c>
      <c r="L228" s="19">
        <v>58.650546721594701</v>
      </c>
      <c r="M228">
        <v>1140.3</v>
      </c>
    </row>
    <row r="229" spans="1:13" x14ac:dyDescent="0.2">
      <c r="A229" s="1">
        <v>28702</v>
      </c>
      <c r="C229">
        <v>63.4</v>
      </c>
      <c r="E229" s="7"/>
      <c r="F229" s="7"/>
      <c r="G229" s="7"/>
      <c r="H229">
        <v>5.5334319414419539</v>
      </c>
      <c r="I229">
        <v>24908</v>
      </c>
      <c r="J229">
        <v>870.6</v>
      </c>
      <c r="L229" s="19">
        <v>58.923811557724399</v>
      </c>
      <c r="M229">
        <v>1134.5999999999999</v>
      </c>
    </row>
    <row r="230" spans="1:13" x14ac:dyDescent="0.2">
      <c r="A230" s="1">
        <v>28733</v>
      </c>
      <c r="C230">
        <v>63.8</v>
      </c>
      <c r="E230" s="7"/>
      <c r="F230" s="7"/>
      <c r="G230" s="7"/>
      <c r="H230">
        <v>5.5311244218667071</v>
      </c>
      <c r="I230">
        <v>24919</v>
      </c>
      <c r="J230">
        <v>871.2</v>
      </c>
      <c r="L230" s="19">
        <v>58.963395462658497</v>
      </c>
      <c r="M230">
        <v>1144.5999999999999</v>
      </c>
    </row>
    <row r="231" spans="1:13" x14ac:dyDescent="0.2">
      <c r="A231" s="1">
        <v>28763</v>
      </c>
      <c r="C231">
        <v>63.8</v>
      </c>
      <c r="E231" s="7"/>
      <c r="F231" s="7"/>
      <c r="G231" s="7"/>
      <c r="H231">
        <v>5.5121988180027275</v>
      </c>
      <c r="I231">
        <v>24941</v>
      </c>
      <c r="J231">
        <v>872</v>
      </c>
      <c r="L231" s="19">
        <v>59.937591239556397</v>
      </c>
      <c r="M231">
        <v>1130.2</v>
      </c>
    </row>
    <row r="232" spans="1:13" x14ac:dyDescent="0.2">
      <c r="A232" s="1">
        <v>28794</v>
      </c>
      <c r="C232">
        <v>62.6</v>
      </c>
      <c r="E232" s="7"/>
      <c r="F232" s="7"/>
      <c r="G232" s="7"/>
      <c r="H232">
        <v>5.4836512261580381</v>
      </c>
      <c r="I232">
        <v>24975</v>
      </c>
      <c r="J232">
        <v>873.4</v>
      </c>
      <c r="L232" s="19">
        <v>60.609502833721798</v>
      </c>
      <c r="M232">
        <v>1115.4000000000001</v>
      </c>
    </row>
    <row r="233" spans="1:13" x14ac:dyDescent="0.2">
      <c r="A233" s="1">
        <v>28824</v>
      </c>
      <c r="C233">
        <v>63</v>
      </c>
      <c r="E233" s="7"/>
      <c r="F233" s="7"/>
      <c r="G233" s="7"/>
      <c r="H233">
        <v>5.4249206109178889</v>
      </c>
      <c r="I233">
        <v>25017</v>
      </c>
      <c r="J233">
        <v>874.9</v>
      </c>
      <c r="L233" s="19">
        <v>60.958714165264396</v>
      </c>
      <c r="M233">
        <v>1094.7</v>
      </c>
    </row>
    <row r="234" spans="1:13" x14ac:dyDescent="0.2">
      <c r="A234" s="1">
        <v>28855</v>
      </c>
      <c r="C234">
        <v>65</v>
      </c>
      <c r="E234" s="7"/>
      <c r="F234" s="7"/>
      <c r="G234" s="7"/>
      <c r="H234">
        <v>5.3663141993957701</v>
      </c>
      <c r="I234">
        <v>25059</v>
      </c>
      <c r="J234">
        <v>876.6</v>
      </c>
      <c r="L234" s="19">
        <v>61.703925019245602</v>
      </c>
      <c r="M234">
        <v>1083.8</v>
      </c>
    </row>
    <row r="235" spans="1:13" x14ac:dyDescent="0.2">
      <c r="A235" s="1">
        <v>28886</v>
      </c>
      <c r="C235">
        <v>60.5</v>
      </c>
      <c r="E235" s="7"/>
      <c r="F235" s="7"/>
      <c r="G235" s="7"/>
      <c r="H235">
        <v>5.3320754716981131</v>
      </c>
      <c r="I235">
        <v>25087</v>
      </c>
      <c r="J235">
        <v>877.6</v>
      </c>
      <c r="L235" s="19">
        <v>61.323909687840398</v>
      </c>
      <c r="M235">
        <v>1089.0999999999999</v>
      </c>
    </row>
    <row r="236" spans="1:13" x14ac:dyDescent="0.2">
      <c r="A236" s="1">
        <v>28914</v>
      </c>
      <c r="C236">
        <v>65</v>
      </c>
      <c r="E236" s="7"/>
      <c r="F236" s="7"/>
      <c r="G236" s="7"/>
      <c r="H236">
        <v>5.3425328959770768</v>
      </c>
      <c r="I236">
        <v>25106</v>
      </c>
      <c r="J236">
        <v>878.3</v>
      </c>
      <c r="L236" s="19">
        <v>63.294430255221897</v>
      </c>
      <c r="M236">
        <v>1109.4000000000001</v>
      </c>
    </row>
    <row r="237" spans="1:13" x14ac:dyDescent="0.2">
      <c r="A237" s="1">
        <v>28945</v>
      </c>
      <c r="C237">
        <v>65.900000000000006</v>
      </c>
      <c r="E237" s="7"/>
      <c r="F237" s="7"/>
      <c r="G237" s="7"/>
      <c r="H237">
        <v>5.351826027965175</v>
      </c>
      <c r="I237">
        <v>25113</v>
      </c>
      <c r="J237">
        <v>878.6</v>
      </c>
      <c r="L237" s="19">
        <v>64.194073297142197</v>
      </c>
      <c r="M237">
        <v>1106.7</v>
      </c>
    </row>
    <row r="238" spans="1:13" x14ac:dyDescent="0.2">
      <c r="A238" s="1">
        <v>28975</v>
      </c>
      <c r="C238">
        <v>65.8</v>
      </c>
      <c r="E238" s="7"/>
      <c r="F238" s="7"/>
      <c r="G238" s="7"/>
      <c r="H238">
        <v>5.3288110043338985</v>
      </c>
      <c r="I238">
        <v>25121</v>
      </c>
      <c r="J238">
        <v>878.8</v>
      </c>
      <c r="L238" s="19">
        <v>65.832245562084793</v>
      </c>
      <c r="M238">
        <v>1076.5999999999999</v>
      </c>
    </row>
    <row r="239" spans="1:13" x14ac:dyDescent="0.2">
      <c r="A239" s="1">
        <v>29006</v>
      </c>
      <c r="C239">
        <v>66.7</v>
      </c>
      <c r="E239" s="7"/>
      <c r="F239" s="7"/>
      <c r="G239" s="7"/>
      <c r="H239">
        <v>5.2936965449681628</v>
      </c>
      <c r="I239">
        <v>25136</v>
      </c>
      <c r="J239">
        <v>879.2</v>
      </c>
      <c r="L239" s="19">
        <v>66.523507870393601</v>
      </c>
      <c r="M239">
        <v>1076.5999999999999</v>
      </c>
    </row>
    <row r="240" spans="1:13" x14ac:dyDescent="0.2">
      <c r="A240" s="1">
        <v>29036</v>
      </c>
      <c r="C240">
        <v>67.8</v>
      </c>
      <c r="E240" s="7"/>
      <c r="F240" s="7"/>
      <c r="G240" s="7"/>
      <c r="H240">
        <v>5.2891130853787081</v>
      </c>
      <c r="I240">
        <v>25159</v>
      </c>
      <c r="J240">
        <v>879.6</v>
      </c>
      <c r="L240" s="19">
        <v>68.077637149089995</v>
      </c>
      <c r="M240">
        <v>1057.8</v>
      </c>
    </row>
    <row r="241" spans="1:13" x14ac:dyDescent="0.2">
      <c r="A241" s="1">
        <v>29067</v>
      </c>
      <c r="C241">
        <v>67</v>
      </c>
      <c r="E241" s="7"/>
      <c r="F241" s="7"/>
      <c r="G241" s="7"/>
      <c r="H241">
        <v>5.3193488966580205</v>
      </c>
      <c r="I241">
        <v>25186</v>
      </c>
      <c r="J241">
        <v>880.1</v>
      </c>
      <c r="L241" s="19">
        <v>69.346520594660404</v>
      </c>
      <c r="M241">
        <v>1053.5999999999999</v>
      </c>
    </row>
    <row r="242" spans="1:13" x14ac:dyDescent="0.2">
      <c r="A242" s="1">
        <v>29098</v>
      </c>
      <c r="C242">
        <v>64.7</v>
      </c>
      <c r="E242" s="7"/>
      <c r="F242" s="7"/>
      <c r="G242" s="7"/>
      <c r="H242">
        <v>5.3392407914992681</v>
      </c>
      <c r="I242">
        <v>25211</v>
      </c>
      <c r="J242">
        <v>880.5</v>
      </c>
      <c r="L242" s="19">
        <v>69.464693695636001</v>
      </c>
      <c r="M242">
        <v>1040.9000000000001</v>
      </c>
    </row>
    <row r="243" spans="1:13" x14ac:dyDescent="0.2">
      <c r="A243" s="1">
        <v>29128</v>
      </c>
      <c r="C243">
        <v>64.5</v>
      </c>
      <c r="E243" s="7"/>
      <c r="F243" s="7"/>
      <c r="G243" s="7"/>
      <c r="H243">
        <v>5.3640421621216099</v>
      </c>
      <c r="I243">
        <v>25229</v>
      </c>
      <c r="J243">
        <v>880.6</v>
      </c>
      <c r="L243" s="19">
        <v>69.349939030666405</v>
      </c>
      <c r="M243">
        <v>1033.5</v>
      </c>
    </row>
    <row r="244" spans="1:13" x14ac:dyDescent="0.2">
      <c r="A244" s="1">
        <v>29159</v>
      </c>
      <c r="C244">
        <v>64.7</v>
      </c>
      <c r="E244" s="7"/>
      <c r="F244" s="7"/>
      <c r="G244" s="7"/>
      <c r="H244">
        <v>5.399228146427367</v>
      </c>
      <c r="I244">
        <v>25248</v>
      </c>
      <c r="J244">
        <v>880.5</v>
      </c>
      <c r="L244" s="19">
        <v>71.984643046062601</v>
      </c>
      <c r="M244">
        <v>1042.5</v>
      </c>
    </row>
    <row r="245" spans="1:13" x14ac:dyDescent="0.2">
      <c r="A245" s="1">
        <v>29189</v>
      </c>
      <c r="C245">
        <v>65.599999999999994</v>
      </c>
      <c r="E245" s="7"/>
      <c r="F245" s="7"/>
      <c r="G245" s="7"/>
      <c r="H245">
        <v>5.4382813084811739</v>
      </c>
      <c r="I245">
        <v>25265</v>
      </c>
      <c r="J245">
        <v>880.3</v>
      </c>
      <c r="L245" s="19">
        <v>73.249172379116203</v>
      </c>
      <c r="M245">
        <v>1033</v>
      </c>
    </row>
    <row r="246" spans="1:13" x14ac:dyDescent="0.2">
      <c r="A246" s="1">
        <v>29220</v>
      </c>
      <c r="C246">
        <v>66</v>
      </c>
      <c r="E246" s="7"/>
      <c r="F246" s="7"/>
      <c r="G246" s="7"/>
      <c r="H246">
        <v>5.4988598557063284</v>
      </c>
      <c r="I246">
        <v>25280</v>
      </c>
      <c r="J246">
        <v>879.8</v>
      </c>
      <c r="L246" s="19">
        <v>74.647601806562307</v>
      </c>
      <c r="M246">
        <v>1044.0999999999999</v>
      </c>
    </row>
    <row r="247" spans="1:13" x14ac:dyDescent="0.2">
      <c r="A247" s="1">
        <v>29251</v>
      </c>
      <c r="C247">
        <v>65.5</v>
      </c>
      <c r="E247" s="7"/>
      <c r="F247">
        <v>6777</v>
      </c>
      <c r="G247">
        <v>6619</v>
      </c>
      <c r="H247">
        <v>5.5659320134478891</v>
      </c>
      <c r="I247">
        <v>25280</v>
      </c>
      <c r="J247">
        <v>878.7</v>
      </c>
      <c r="L247" s="19">
        <v>75.422488560161298</v>
      </c>
      <c r="M247">
        <v>1060.8</v>
      </c>
    </row>
    <row r="248" spans="1:13" x14ac:dyDescent="0.2">
      <c r="A248" s="1">
        <v>29280</v>
      </c>
      <c r="C248">
        <v>64</v>
      </c>
      <c r="E248" s="7"/>
      <c r="F248">
        <v>6552</v>
      </c>
      <c r="G248">
        <v>6734</v>
      </c>
      <c r="H248">
        <v>5.6772796834757937</v>
      </c>
      <c r="I248">
        <v>25270</v>
      </c>
      <c r="J248">
        <v>877.1</v>
      </c>
      <c r="L248" s="19">
        <v>77.044638311329905</v>
      </c>
      <c r="M248">
        <v>1096</v>
      </c>
    </row>
    <row r="249" spans="1:13" x14ac:dyDescent="0.2">
      <c r="A249" s="1">
        <v>29311</v>
      </c>
      <c r="C249">
        <v>63.6</v>
      </c>
      <c r="E249" s="7"/>
      <c r="F249">
        <v>6072</v>
      </c>
      <c r="G249">
        <v>6182</v>
      </c>
      <c r="H249">
        <v>5.8116980005968371</v>
      </c>
      <c r="I249">
        <v>25250</v>
      </c>
      <c r="J249">
        <v>875.1</v>
      </c>
      <c r="L249" s="19">
        <v>78.863103038336604</v>
      </c>
      <c r="M249">
        <v>1125.0999999999999</v>
      </c>
    </row>
    <row r="250" spans="1:13" x14ac:dyDescent="0.2">
      <c r="A250" s="1">
        <v>29341</v>
      </c>
      <c r="C250">
        <v>61.8</v>
      </c>
      <c r="E250" s="7"/>
      <c r="F250">
        <v>6148</v>
      </c>
      <c r="G250">
        <v>6518</v>
      </c>
      <c r="H250">
        <v>5.9728742827334376</v>
      </c>
      <c r="I250">
        <v>25235</v>
      </c>
      <c r="J250">
        <v>873.1</v>
      </c>
      <c r="L250" s="19">
        <v>79.906981389315305</v>
      </c>
      <c r="M250">
        <v>1172.3</v>
      </c>
    </row>
    <row r="251" spans="1:13" x14ac:dyDescent="0.2">
      <c r="A251" s="1">
        <v>29372</v>
      </c>
      <c r="C251">
        <v>61.9</v>
      </c>
      <c r="E251" s="7"/>
      <c r="F251">
        <v>6192</v>
      </c>
      <c r="G251">
        <v>6002</v>
      </c>
      <c r="H251">
        <v>6.1348322972117781</v>
      </c>
      <c r="I251">
        <v>25215</v>
      </c>
      <c r="J251">
        <v>870.7</v>
      </c>
      <c r="L251" s="19">
        <v>81.031557780164604</v>
      </c>
      <c r="M251">
        <v>1211.0999999999999</v>
      </c>
    </row>
    <row r="252" spans="1:13" x14ac:dyDescent="0.2">
      <c r="A252" s="1">
        <v>29402</v>
      </c>
      <c r="C252">
        <v>62</v>
      </c>
      <c r="E252" s="7"/>
      <c r="F252">
        <v>6128</v>
      </c>
      <c r="G252">
        <v>6034</v>
      </c>
      <c r="H252">
        <v>6.3220528077352176</v>
      </c>
      <c r="I252">
        <v>25190</v>
      </c>
      <c r="J252">
        <v>868.2</v>
      </c>
      <c r="L252" s="19">
        <v>82.481814450645501</v>
      </c>
      <c r="M252">
        <v>1261.9000000000001</v>
      </c>
    </row>
    <row r="253" spans="1:13" x14ac:dyDescent="0.2">
      <c r="A253" s="1">
        <v>29433</v>
      </c>
      <c r="C253">
        <v>60.7</v>
      </c>
      <c r="E253" s="7"/>
      <c r="F253">
        <v>6188</v>
      </c>
      <c r="G253">
        <v>5695</v>
      </c>
      <c r="H253">
        <v>6.5240005944419677</v>
      </c>
      <c r="I253">
        <v>25160</v>
      </c>
      <c r="J253">
        <v>865.3</v>
      </c>
      <c r="L253" s="19">
        <v>82.866393550108299</v>
      </c>
      <c r="M253">
        <v>1324.8</v>
      </c>
    </row>
    <row r="254" spans="1:13" x14ac:dyDescent="0.2">
      <c r="A254" s="1">
        <v>29464</v>
      </c>
      <c r="C254">
        <v>59.7</v>
      </c>
      <c r="E254" s="7"/>
      <c r="F254">
        <v>5806</v>
      </c>
      <c r="G254">
        <v>5697</v>
      </c>
      <c r="H254">
        <v>6.785952928947955</v>
      </c>
      <c r="I254">
        <v>25110</v>
      </c>
      <c r="J254">
        <v>861.6</v>
      </c>
      <c r="L254" s="19">
        <v>84.945096875616002</v>
      </c>
      <c r="M254">
        <v>1421.5</v>
      </c>
    </row>
    <row r="255" spans="1:13" x14ac:dyDescent="0.2">
      <c r="A255" s="1">
        <v>29494</v>
      </c>
      <c r="C255">
        <v>58.6</v>
      </c>
      <c r="E255" s="7"/>
      <c r="F255">
        <v>5899</v>
      </c>
      <c r="G255">
        <v>5384</v>
      </c>
      <c r="H255">
        <v>7.0673344462993875</v>
      </c>
      <c r="I255">
        <v>25050</v>
      </c>
      <c r="J255">
        <v>857.4</v>
      </c>
      <c r="L255" s="19">
        <v>87.723322587105997</v>
      </c>
      <c r="M255">
        <v>1491.6</v>
      </c>
    </row>
    <row r="256" spans="1:13" x14ac:dyDescent="0.2">
      <c r="A256" s="1">
        <v>29525</v>
      </c>
      <c r="C256">
        <v>58.5</v>
      </c>
      <c r="E256" s="7"/>
      <c r="F256">
        <v>5976</v>
      </c>
      <c r="G256">
        <v>5291</v>
      </c>
      <c r="H256">
        <v>7.3737673315044114</v>
      </c>
      <c r="I256">
        <v>24985</v>
      </c>
      <c r="J256">
        <v>853.2</v>
      </c>
      <c r="L256" s="19">
        <v>86.267373358140205</v>
      </c>
      <c r="M256">
        <v>1579.6</v>
      </c>
    </row>
    <row r="257" spans="1:13" x14ac:dyDescent="0.2">
      <c r="A257" s="1">
        <v>29555</v>
      </c>
      <c r="C257">
        <v>58.5</v>
      </c>
      <c r="E257" s="7"/>
      <c r="F257">
        <v>5995</v>
      </c>
      <c r="G257">
        <v>5334</v>
      </c>
      <c r="H257">
        <v>7.6948725548310613</v>
      </c>
      <c r="I257">
        <v>24915</v>
      </c>
      <c r="J257">
        <v>848.7</v>
      </c>
      <c r="L257" s="19">
        <v>87.092533552042894</v>
      </c>
      <c r="M257">
        <v>1689.8</v>
      </c>
    </row>
    <row r="258" spans="1:13" x14ac:dyDescent="0.2">
      <c r="A258" s="1">
        <v>29586</v>
      </c>
      <c r="C258">
        <v>58.1</v>
      </c>
      <c r="E258" s="7"/>
      <c r="F258">
        <v>6012</v>
      </c>
      <c r="G258">
        <v>5655</v>
      </c>
      <c r="H258">
        <v>8.0261989342806395</v>
      </c>
      <c r="I258">
        <v>24855</v>
      </c>
      <c r="J258">
        <v>844.6</v>
      </c>
      <c r="L258" s="19">
        <v>89.143631579803497</v>
      </c>
      <c r="M258">
        <v>1777.4</v>
      </c>
    </row>
    <row r="259" spans="1:13" x14ac:dyDescent="0.2">
      <c r="A259" s="1">
        <v>29617</v>
      </c>
      <c r="C259">
        <v>58</v>
      </c>
      <c r="F259">
        <v>6178</v>
      </c>
      <c r="G259">
        <v>5126</v>
      </c>
      <c r="H259">
        <v>8.3394970414201186</v>
      </c>
      <c r="I259">
        <v>24785</v>
      </c>
      <c r="J259">
        <v>840.3</v>
      </c>
      <c r="L259" s="19">
        <v>89.684160965186805</v>
      </c>
      <c r="M259">
        <v>1842.3</v>
      </c>
    </row>
    <row r="260" spans="1:13" x14ac:dyDescent="0.2">
      <c r="A260" s="1">
        <v>29645</v>
      </c>
      <c r="C260">
        <v>58.5</v>
      </c>
      <c r="F260">
        <v>5777</v>
      </c>
      <c r="G260">
        <v>5341</v>
      </c>
      <c r="H260">
        <v>8.6136783733826245</v>
      </c>
      <c r="I260">
        <v>24720</v>
      </c>
      <c r="J260">
        <v>836.4</v>
      </c>
      <c r="L260" s="19">
        <v>90.097230517852594</v>
      </c>
      <c r="M260">
        <v>1911.2</v>
      </c>
    </row>
    <row r="261" spans="1:13" x14ac:dyDescent="0.2">
      <c r="A261" s="1">
        <v>29676</v>
      </c>
      <c r="C261">
        <v>58.5</v>
      </c>
      <c r="F261">
        <v>5770</v>
      </c>
      <c r="G261">
        <v>5035</v>
      </c>
      <c r="H261">
        <v>8.8789535914868463</v>
      </c>
      <c r="I261">
        <v>24661</v>
      </c>
      <c r="J261">
        <v>832.8</v>
      </c>
      <c r="L261" s="19">
        <v>90.708905250131906</v>
      </c>
      <c r="M261">
        <v>1984.3</v>
      </c>
    </row>
    <row r="262" spans="1:13" x14ac:dyDescent="0.2">
      <c r="A262" s="1">
        <v>29706</v>
      </c>
      <c r="C262">
        <v>58.7</v>
      </c>
      <c r="F262">
        <v>6059</v>
      </c>
      <c r="G262">
        <v>5055</v>
      </c>
      <c r="H262">
        <v>9.1426039435787612</v>
      </c>
      <c r="I262">
        <v>24606</v>
      </c>
      <c r="J262">
        <v>829.6</v>
      </c>
      <c r="L262" s="19">
        <v>91.5750263358116</v>
      </c>
      <c r="M262">
        <v>2048.1</v>
      </c>
    </row>
    <row r="263" spans="1:13" x14ac:dyDescent="0.2">
      <c r="A263" s="1">
        <v>29737</v>
      </c>
      <c r="C263">
        <v>57.9</v>
      </c>
      <c r="F263">
        <v>5927</v>
      </c>
      <c r="G263">
        <v>5482</v>
      </c>
      <c r="H263">
        <v>9.3898793046174287</v>
      </c>
      <c r="I263">
        <v>24549</v>
      </c>
      <c r="J263">
        <v>826.5</v>
      </c>
      <c r="L263" s="19">
        <v>92.273551318439203</v>
      </c>
      <c r="M263">
        <v>2110.6999999999998</v>
      </c>
    </row>
    <row r="264" spans="1:13" x14ac:dyDescent="0.2">
      <c r="A264" s="1">
        <v>29767</v>
      </c>
      <c r="C264">
        <v>59.1</v>
      </c>
      <c r="F264">
        <v>5975</v>
      </c>
      <c r="G264">
        <v>5708</v>
      </c>
      <c r="H264">
        <v>9.5558099176605253</v>
      </c>
      <c r="I264">
        <v>24495</v>
      </c>
      <c r="J264">
        <v>823.7</v>
      </c>
      <c r="L264" s="19">
        <v>93.012284865725604</v>
      </c>
      <c r="M264">
        <v>2157.1</v>
      </c>
    </row>
    <row r="265" spans="1:13" x14ac:dyDescent="0.2">
      <c r="A265" s="1">
        <v>29798</v>
      </c>
      <c r="C265">
        <v>59.3</v>
      </c>
      <c r="F265">
        <v>6168</v>
      </c>
      <c r="G265">
        <v>5996</v>
      </c>
      <c r="H265">
        <v>9.6941037387320819</v>
      </c>
      <c r="I265">
        <v>24444</v>
      </c>
      <c r="J265">
        <v>821.5</v>
      </c>
      <c r="L265" s="19">
        <v>93.532680152475507</v>
      </c>
      <c r="M265">
        <v>2203.6</v>
      </c>
    </row>
    <row r="266" spans="1:13" x14ac:dyDescent="0.2">
      <c r="A266" s="1">
        <v>29829</v>
      </c>
      <c r="C266">
        <v>59.5</v>
      </c>
      <c r="F266">
        <v>6335</v>
      </c>
      <c r="G266">
        <v>6616</v>
      </c>
      <c r="H266">
        <v>9.8107348809699833</v>
      </c>
      <c r="I266">
        <v>24398</v>
      </c>
      <c r="J266">
        <v>819.5</v>
      </c>
      <c r="L266" s="19">
        <v>96.670577143915295</v>
      </c>
      <c r="M266">
        <v>2241.5</v>
      </c>
    </row>
    <row r="267" spans="1:13" x14ac:dyDescent="0.2">
      <c r="A267" s="1">
        <v>29859</v>
      </c>
      <c r="C267">
        <v>59.6</v>
      </c>
      <c r="F267">
        <v>6194</v>
      </c>
      <c r="G267">
        <v>5992</v>
      </c>
      <c r="H267">
        <v>9.9264026036465847</v>
      </c>
      <c r="I267">
        <v>24355</v>
      </c>
      <c r="J267">
        <v>817.8</v>
      </c>
      <c r="L267" s="19">
        <v>97.209277726264204</v>
      </c>
      <c r="M267">
        <v>2282.6</v>
      </c>
    </row>
    <row r="268" spans="1:13" x14ac:dyDescent="0.2">
      <c r="A268" s="1">
        <v>29890</v>
      </c>
      <c r="C268">
        <v>61</v>
      </c>
      <c r="F268">
        <v>6323</v>
      </c>
      <c r="G268">
        <v>5706</v>
      </c>
      <c r="H268">
        <v>10.039224393132031</v>
      </c>
      <c r="I268">
        <v>24311</v>
      </c>
      <c r="J268">
        <v>816.2</v>
      </c>
      <c r="L268" s="19">
        <v>98.045995836878802</v>
      </c>
      <c r="M268">
        <v>2320</v>
      </c>
    </row>
    <row r="269" spans="1:13" x14ac:dyDescent="0.2">
      <c r="A269" s="1">
        <v>29920</v>
      </c>
      <c r="C269">
        <v>60.2</v>
      </c>
      <c r="F269">
        <v>6177</v>
      </c>
      <c r="G269">
        <v>6296</v>
      </c>
      <c r="H269">
        <v>10.147772304729454</v>
      </c>
      <c r="I269">
        <v>24261</v>
      </c>
      <c r="J269">
        <v>814.4</v>
      </c>
      <c r="L269" s="19">
        <v>98.139259661249497</v>
      </c>
      <c r="M269">
        <v>2354.6</v>
      </c>
    </row>
    <row r="270" spans="1:13" x14ac:dyDescent="0.2">
      <c r="A270" s="1">
        <v>29951</v>
      </c>
      <c r="C270">
        <v>59.3</v>
      </c>
      <c r="F270">
        <v>6155</v>
      </c>
      <c r="G270">
        <v>5953</v>
      </c>
      <c r="H270">
        <v>10.237300704486467</v>
      </c>
      <c r="I270">
        <v>24209</v>
      </c>
      <c r="J270">
        <v>812.7</v>
      </c>
      <c r="L270" s="19">
        <v>98.666707414539403</v>
      </c>
      <c r="M270">
        <v>2373.3000000000002</v>
      </c>
    </row>
    <row r="271" spans="1:13" x14ac:dyDescent="0.2">
      <c r="A271" s="1">
        <v>29982</v>
      </c>
      <c r="C271">
        <v>59.3</v>
      </c>
      <c r="F271">
        <v>6062</v>
      </c>
      <c r="G271">
        <v>5975</v>
      </c>
      <c r="H271">
        <v>10.315781661657205</v>
      </c>
      <c r="I271">
        <v>24169</v>
      </c>
      <c r="J271">
        <v>811.5</v>
      </c>
      <c r="L271" s="19">
        <v>99.480150451755904</v>
      </c>
      <c r="M271">
        <v>2402.8000000000002</v>
      </c>
    </row>
    <row r="272" spans="1:13" x14ac:dyDescent="0.2">
      <c r="A272" s="1">
        <v>30010</v>
      </c>
      <c r="C272">
        <v>59.7</v>
      </c>
      <c r="F272">
        <v>6084</v>
      </c>
      <c r="G272">
        <v>5770</v>
      </c>
      <c r="H272">
        <v>10.367234785191787</v>
      </c>
      <c r="I272">
        <v>24139</v>
      </c>
      <c r="J272">
        <v>810.6</v>
      </c>
      <c r="L272" s="19">
        <v>100.52504937836299</v>
      </c>
      <c r="M272">
        <v>2415.5</v>
      </c>
    </row>
    <row r="273" spans="1:13" x14ac:dyDescent="0.2">
      <c r="A273" s="1">
        <v>30041</v>
      </c>
      <c r="C273">
        <v>59.8</v>
      </c>
      <c r="F273">
        <v>6223</v>
      </c>
      <c r="G273">
        <v>6081</v>
      </c>
      <c r="H273">
        <v>10.411172603350295</v>
      </c>
      <c r="I273">
        <v>24120</v>
      </c>
      <c r="J273">
        <v>810.2</v>
      </c>
      <c r="L273" s="19">
        <v>101.44838629607401</v>
      </c>
      <c r="M273">
        <v>2425.5</v>
      </c>
    </row>
    <row r="274" spans="1:13" x14ac:dyDescent="0.2">
      <c r="A274" s="1">
        <v>30071</v>
      </c>
      <c r="C274">
        <v>60.6</v>
      </c>
      <c r="F274">
        <v>6434</v>
      </c>
      <c r="G274">
        <v>6080</v>
      </c>
      <c r="H274">
        <v>10.455305705259246</v>
      </c>
      <c r="I274">
        <v>24092</v>
      </c>
      <c r="J274">
        <v>809.4</v>
      </c>
      <c r="L274" s="19">
        <v>101.436503037986</v>
      </c>
      <c r="M274">
        <v>2454</v>
      </c>
    </row>
    <row r="275" spans="1:13" x14ac:dyDescent="0.2">
      <c r="A275" s="1">
        <v>30102</v>
      </c>
      <c r="C275">
        <v>61.1</v>
      </c>
      <c r="F275">
        <v>6301</v>
      </c>
      <c r="G275">
        <v>6284</v>
      </c>
      <c r="H275">
        <v>10.501654828753114</v>
      </c>
      <c r="I275">
        <v>24067</v>
      </c>
      <c r="J275">
        <v>808.5</v>
      </c>
      <c r="L275" s="19">
        <v>102.404533571214</v>
      </c>
      <c r="M275">
        <v>2468.4</v>
      </c>
    </row>
    <row r="276" spans="1:13" x14ac:dyDescent="0.2">
      <c r="A276" s="1">
        <v>30132</v>
      </c>
      <c r="C276">
        <v>60.3</v>
      </c>
      <c r="F276">
        <v>6223</v>
      </c>
      <c r="G276">
        <v>6105</v>
      </c>
      <c r="H276">
        <v>10.573916927199642</v>
      </c>
      <c r="I276">
        <v>24027</v>
      </c>
      <c r="J276">
        <v>807</v>
      </c>
      <c r="L276" s="19">
        <v>102.861305633371</v>
      </c>
      <c r="M276">
        <v>2498.9</v>
      </c>
    </row>
    <row r="277" spans="1:13" x14ac:dyDescent="0.2">
      <c r="A277" s="1">
        <v>30163</v>
      </c>
      <c r="C277">
        <v>60.3</v>
      </c>
      <c r="F277">
        <v>6168</v>
      </c>
      <c r="G277">
        <v>5975</v>
      </c>
      <c r="H277">
        <v>10.64099221572498</v>
      </c>
      <c r="I277">
        <v>23992</v>
      </c>
      <c r="J277">
        <v>805.7</v>
      </c>
      <c r="L277" s="19">
        <v>104.08598672706999</v>
      </c>
      <c r="M277">
        <v>2528.1</v>
      </c>
    </row>
    <row r="278" spans="1:13" x14ac:dyDescent="0.2">
      <c r="A278" s="1">
        <v>30194</v>
      </c>
      <c r="C278">
        <v>60.9</v>
      </c>
      <c r="F278">
        <v>6011</v>
      </c>
      <c r="G278">
        <v>5835</v>
      </c>
      <c r="H278">
        <v>10.724670096175352</v>
      </c>
      <c r="I278">
        <v>23949</v>
      </c>
      <c r="J278">
        <v>804.2</v>
      </c>
      <c r="L278" s="19">
        <v>104.298594009659</v>
      </c>
      <c r="M278">
        <v>2554.4</v>
      </c>
    </row>
    <row r="279" spans="1:13" x14ac:dyDescent="0.2">
      <c r="A279" s="1">
        <v>30224</v>
      </c>
      <c r="C279">
        <v>60.9</v>
      </c>
      <c r="F279">
        <v>6447</v>
      </c>
      <c r="G279">
        <v>6087</v>
      </c>
      <c r="H279">
        <v>10.810508246884096</v>
      </c>
      <c r="I279">
        <v>23901</v>
      </c>
      <c r="J279">
        <v>802.2</v>
      </c>
      <c r="L279" s="19">
        <v>104.47070912479199</v>
      </c>
      <c r="M279">
        <v>2582.6999999999998</v>
      </c>
    </row>
    <row r="280" spans="1:13" x14ac:dyDescent="0.2">
      <c r="A280" s="1">
        <v>30255</v>
      </c>
      <c r="C280">
        <v>60.5</v>
      </c>
      <c r="F280">
        <v>6234</v>
      </c>
      <c r="G280">
        <v>5853</v>
      </c>
      <c r="H280">
        <v>10.896933019537524</v>
      </c>
      <c r="I280">
        <v>23852</v>
      </c>
      <c r="J280">
        <v>800.2</v>
      </c>
      <c r="L280" s="19">
        <v>104.98323113115001</v>
      </c>
      <c r="M280">
        <v>2616</v>
      </c>
    </row>
    <row r="281" spans="1:13" x14ac:dyDescent="0.2">
      <c r="A281" s="1">
        <v>30285</v>
      </c>
      <c r="C281">
        <v>59.5</v>
      </c>
      <c r="F281">
        <v>6460</v>
      </c>
      <c r="G281">
        <v>5920</v>
      </c>
      <c r="H281">
        <v>10.986874088478366</v>
      </c>
      <c r="I281">
        <v>23803</v>
      </c>
      <c r="J281">
        <v>798.2</v>
      </c>
      <c r="L281" s="19">
        <v>106.48536063142301</v>
      </c>
      <c r="M281">
        <v>2642.6</v>
      </c>
    </row>
    <row r="282" spans="1:13" x14ac:dyDescent="0.2">
      <c r="A282" s="1">
        <v>30316</v>
      </c>
      <c r="C282">
        <v>60.3</v>
      </c>
      <c r="F282">
        <v>6334</v>
      </c>
      <c r="G282">
        <v>6066</v>
      </c>
      <c r="H282">
        <v>11.079917649260715</v>
      </c>
      <c r="I282">
        <v>23755</v>
      </c>
      <c r="J282">
        <v>796.3</v>
      </c>
      <c r="L282" s="19">
        <v>106.62782780880001</v>
      </c>
      <c r="M282">
        <v>2673.7</v>
      </c>
    </row>
    <row r="283" spans="1:13" x14ac:dyDescent="0.2">
      <c r="A283" s="1">
        <v>30347</v>
      </c>
      <c r="C283">
        <v>61</v>
      </c>
      <c r="F283">
        <v>6123</v>
      </c>
      <c r="G283">
        <v>6526</v>
      </c>
      <c r="H283">
        <v>11.151079136690647</v>
      </c>
      <c r="I283">
        <v>23712</v>
      </c>
      <c r="J283">
        <v>794.5</v>
      </c>
      <c r="L283" s="19">
        <v>108.22208799886501</v>
      </c>
      <c r="M283">
        <v>2691</v>
      </c>
    </row>
    <row r="284" spans="1:13" x14ac:dyDescent="0.2">
      <c r="A284" s="1">
        <v>30375</v>
      </c>
      <c r="C284">
        <v>62</v>
      </c>
      <c r="F284">
        <v>6206</v>
      </c>
      <c r="G284">
        <v>6328</v>
      </c>
      <c r="H284">
        <v>11.206540899373664</v>
      </c>
      <c r="I284">
        <v>23675</v>
      </c>
      <c r="J284">
        <v>792.9</v>
      </c>
      <c r="L284" s="19">
        <v>109.686014695872</v>
      </c>
      <c r="M284">
        <v>2699.8</v>
      </c>
    </row>
    <row r="285" spans="1:13" x14ac:dyDescent="0.2">
      <c r="A285" s="1">
        <v>30406</v>
      </c>
      <c r="C285">
        <v>61.1</v>
      </c>
      <c r="F285">
        <v>6453</v>
      </c>
      <c r="G285">
        <v>6165</v>
      </c>
      <c r="H285">
        <v>11.249953093924725</v>
      </c>
      <c r="I285">
        <v>23651</v>
      </c>
      <c r="J285">
        <v>791.7</v>
      </c>
      <c r="L285" s="19">
        <v>109.589161455325</v>
      </c>
      <c r="M285">
        <v>2723.4</v>
      </c>
    </row>
    <row r="286" spans="1:13" x14ac:dyDescent="0.2">
      <c r="A286" s="1">
        <v>30436</v>
      </c>
      <c r="C286">
        <v>61.8</v>
      </c>
      <c r="F286">
        <v>6120</v>
      </c>
      <c r="G286">
        <v>6276</v>
      </c>
      <c r="H286">
        <v>11.289596156733223</v>
      </c>
      <c r="I286">
        <v>23636</v>
      </c>
      <c r="J286">
        <v>791.1</v>
      </c>
      <c r="L286" s="19">
        <v>110.322989586952</v>
      </c>
      <c r="M286">
        <v>2739.6</v>
      </c>
    </row>
    <row r="287" spans="1:13" x14ac:dyDescent="0.2">
      <c r="A287" s="1">
        <v>30467</v>
      </c>
      <c r="C287">
        <v>62.6</v>
      </c>
      <c r="F287">
        <v>6222</v>
      </c>
      <c r="G287">
        <v>6698</v>
      </c>
      <c r="H287">
        <v>11.342062807188684</v>
      </c>
      <c r="I287">
        <v>23630</v>
      </c>
      <c r="J287">
        <v>790.5</v>
      </c>
      <c r="L287" s="19">
        <v>111.646600801991</v>
      </c>
      <c r="M287">
        <v>2756.5</v>
      </c>
    </row>
    <row r="288" spans="1:13" x14ac:dyDescent="0.2">
      <c r="A288" s="1">
        <v>30497</v>
      </c>
      <c r="C288">
        <v>61.6</v>
      </c>
      <c r="F288">
        <v>6491</v>
      </c>
      <c r="G288">
        <v>6466</v>
      </c>
      <c r="H288">
        <v>11.421186694635901</v>
      </c>
      <c r="I288">
        <v>23647</v>
      </c>
      <c r="J288">
        <v>790.8</v>
      </c>
      <c r="L288" s="19">
        <v>112.213107887897</v>
      </c>
      <c r="M288">
        <v>2779.9</v>
      </c>
    </row>
    <row r="289" spans="1:13" x14ac:dyDescent="0.2">
      <c r="A289" s="1">
        <v>30528</v>
      </c>
      <c r="C289">
        <v>62.7</v>
      </c>
      <c r="F289">
        <v>6230</v>
      </c>
      <c r="G289">
        <v>6582</v>
      </c>
      <c r="H289">
        <v>11.486865214304398</v>
      </c>
      <c r="I289">
        <v>23687</v>
      </c>
      <c r="J289">
        <v>792</v>
      </c>
      <c r="L289" s="19">
        <v>112.958038216421</v>
      </c>
      <c r="M289">
        <v>2782.6</v>
      </c>
    </row>
    <row r="290" spans="1:13" x14ac:dyDescent="0.2">
      <c r="A290" s="1">
        <v>30559</v>
      </c>
      <c r="C290">
        <v>62.7</v>
      </c>
      <c r="F290">
        <v>6534</v>
      </c>
      <c r="G290">
        <v>6502</v>
      </c>
      <c r="H290">
        <v>11.526421703808602</v>
      </c>
      <c r="I290">
        <v>23741</v>
      </c>
      <c r="J290">
        <v>793.8</v>
      </c>
      <c r="L290" s="19">
        <v>113.387203296471</v>
      </c>
      <c r="M290">
        <v>2774</v>
      </c>
    </row>
    <row r="291" spans="1:13" x14ac:dyDescent="0.2">
      <c r="A291" s="1">
        <v>30589</v>
      </c>
      <c r="C291">
        <v>63</v>
      </c>
      <c r="F291">
        <v>6512</v>
      </c>
      <c r="G291">
        <v>6517</v>
      </c>
      <c r="H291">
        <v>11.549892265398618</v>
      </c>
      <c r="I291">
        <v>23809</v>
      </c>
      <c r="J291">
        <v>796.1</v>
      </c>
      <c r="L291" s="19">
        <v>113.792265052734</v>
      </c>
      <c r="M291">
        <v>2787.8</v>
      </c>
    </row>
    <row r="292" spans="1:13" x14ac:dyDescent="0.2">
      <c r="A292" s="1">
        <v>30620</v>
      </c>
      <c r="C292">
        <v>63.6</v>
      </c>
      <c r="F292">
        <v>6457</v>
      </c>
      <c r="G292">
        <v>6994</v>
      </c>
      <c r="H292">
        <v>11.572359650422159</v>
      </c>
      <c r="I292">
        <v>23879</v>
      </c>
      <c r="J292">
        <v>798.6</v>
      </c>
      <c r="L292" s="19">
        <v>114.437972703358</v>
      </c>
      <c r="M292">
        <v>2792.5</v>
      </c>
    </row>
    <row r="293" spans="1:13" x14ac:dyDescent="0.2">
      <c r="A293" s="1">
        <v>30650</v>
      </c>
      <c r="C293">
        <v>63.6</v>
      </c>
      <c r="F293">
        <v>6436</v>
      </c>
      <c r="G293">
        <v>6599</v>
      </c>
      <c r="H293">
        <v>11.611855460820138</v>
      </c>
      <c r="I293">
        <v>23947</v>
      </c>
      <c r="J293">
        <v>801</v>
      </c>
      <c r="L293" s="19">
        <v>114.68456386295399</v>
      </c>
      <c r="M293">
        <v>2801.5</v>
      </c>
    </row>
    <row r="294" spans="1:13" x14ac:dyDescent="0.2">
      <c r="A294" s="1">
        <v>30681</v>
      </c>
      <c r="C294">
        <v>63.8</v>
      </c>
      <c r="F294">
        <v>6825</v>
      </c>
      <c r="G294">
        <v>6738</v>
      </c>
      <c r="H294">
        <v>11.660100879938147</v>
      </c>
      <c r="I294">
        <v>23994</v>
      </c>
      <c r="J294">
        <v>802.8</v>
      </c>
      <c r="L294" s="19">
        <v>115.578402198478</v>
      </c>
      <c r="M294">
        <v>2813.7</v>
      </c>
    </row>
    <row r="295" spans="1:13" x14ac:dyDescent="0.2">
      <c r="A295" s="1">
        <v>30712</v>
      </c>
      <c r="C295">
        <v>64.8</v>
      </c>
      <c r="F295">
        <v>6512</v>
      </c>
      <c r="G295">
        <v>6842</v>
      </c>
      <c r="H295">
        <v>11.710057650644439</v>
      </c>
      <c r="I295">
        <v>24044</v>
      </c>
      <c r="J295">
        <v>804.8</v>
      </c>
      <c r="L295" s="19">
        <v>115.79919644062601</v>
      </c>
      <c r="M295">
        <v>2823.7</v>
      </c>
    </row>
    <row r="296" spans="1:13" x14ac:dyDescent="0.2">
      <c r="A296" s="1">
        <v>30741</v>
      </c>
      <c r="C296">
        <v>64.2</v>
      </c>
      <c r="F296">
        <v>6982</v>
      </c>
      <c r="G296">
        <v>6684</v>
      </c>
      <c r="H296">
        <v>11.776556776556777</v>
      </c>
      <c r="I296">
        <v>24085</v>
      </c>
      <c r="J296">
        <v>806.5</v>
      </c>
      <c r="L296" s="19">
        <v>116.62739980918199</v>
      </c>
      <c r="M296">
        <v>2846.7</v>
      </c>
    </row>
    <row r="297" spans="1:13" x14ac:dyDescent="0.2">
      <c r="A297" s="1">
        <v>30772</v>
      </c>
      <c r="C297">
        <v>63.4</v>
      </c>
      <c r="F297">
        <v>6718</v>
      </c>
      <c r="G297">
        <v>7039</v>
      </c>
      <c r="H297">
        <v>11.849605378544286</v>
      </c>
      <c r="I297">
        <v>24125</v>
      </c>
      <c r="J297">
        <v>808.2</v>
      </c>
      <c r="L297" s="19">
        <v>115.943314380205</v>
      </c>
      <c r="M297">
        <v>2857.7</v>
      </c>
    </row>
    <row r="298" spans="1:13" x14ac:dyDescent="0.2">
      <c r="A298" s="1">
        <v>30802</v>
      </c>
      <c r="C298">
        <v>62.2</v>
      </c>
      <c r="F298">
        <v>6447</v>
      </c>
      <c r="G298">
        <v>7173</v>
      </c>
      <c r="H298">
        <v>11.896602012541928</v>
      </c>
      <c r="I298">
        <v>24165</v>
      </c>
      <c r="J298">
        <v>810</v>
      </c>
      <c r="L298" s="19">
        <v>116.662962585806</v>
      </c>
      <c r="M298">
        <v>2847.5</v>
      </c>
    </row>
    <row r="299" spans="1:13" x14ac:dyDescent="0.2">
      <c r="A299" s="1">
        <v>30833</v>
      </c>
      <c r="C299">
        <v>61.7</v>
      </c>
      <c r="F299">
        <v>6858</v>
      </c>
      <c r="G299">
        <v>7216</v>
      </c>
      <c r="H299">
        <v>11.926071454558684</v>
      </c>
      <c r="I299">
        <v>24208</v>
      </c>
      <c r="J299">
        <v>811.7</v>
      </c>
      <c r="L299" s="19">
        <v>117.46106721714899</v>
      </c>
      <c r="M299">
        <v>2863.9</v>
      </c>
    </row>
    <row r="300" spans="1:13" x14ac:dyDescent="0.2">
      <c r="A300" s="1">
        <v>30863</v>
      </c>
      <c r="C300">
        <v>62.2</v>
      </c>
      <c r="F300">
        <v>6934</v>
      </c>
      <c r="G300">
        <v>7230</v>
      </c>
      <c r="H300">
        <v>11.868411486732098</v>
      </c>
      <c r="I300">
        <v>24245</v>
      </c>
      <c r="J300">
        <v>813.4</v>
      </c>
      <c r="L300" s="19">
        <v>118.044795063962</v>
      </c>
      <c r="M300">
        <v>2868.5</v>
      </c>
    </row>
    <row r="301" spans="1:13" x14ac:dyDescent="0.2">
      <c r="A301" s="1">
        <v>30894</v>
      </c>
      <c r="C301">
        <v>61.3</v>
      </c>
      <c r="F301">
        <v>6676</v>
      </c>
      <c r="G301">
        <v>6785</v>
      </c>
      <c r="H301">
        <v>11.826668119574299</v>
      </c>
      <c r="I301">
        <v>24275</v>
      </c>
      <c r="J301">
        <v>814.8</v>
      </c>
      <c r="L301" s="19">
        <v>119.057575038268</v>
      </c>
      <c r="M301">
        <v>2884.9</v>
      </c>
    </row>
    <row r="302" spans="1:13" x14ac:dyDescent="0.2">
      <c r="A302" s="1">
        <v>30925</v>
      </c>
      <c r="C302">
        <v>61</v>
      </c>
      <c r="F302">
        <v>7288</v>
      </c>
      <c r="G302">
        <v>7590</v>
      </c>
      <c r="H302">
        <v>11.768976658075289</v>
      </c>
      <c r="I302">
        <v>24305</v>
      </c>
      <c r="J302">
        <v>816.2</v>
      </c>
      <c r="L302" s="19">
        <v>120.00009565108201</v>
      </c>
      <c r="M302">
        <v>2893.7</v>
      </c>
    </row>
    <row r="303" spans="1:13" x14ac:dyDescent="0.2">
      <c r="A303" s="1">
        <v>30955</v>
      </c>
      <c r="C303">
        <v>62.1</v>
      </c>
      <c r="F303">
        <v>7040</v>
      </c>
      <c r="G303">
        <v>7659</v>
      </c>
      <c r="H303">
        <v>11.743372139411743</v>
      </c>
      <c r="I303">
        <v>24335</v>
      </c>
      <c r="J303">
        <v>817.7</v>
      </c>
      <c r="L303" s="19">
        <v>121.16111116866</v>
      </c>
      <c r="M303">
        <v>2925</v>
      </c>
    </row>
    <row r="304" spans="1:13" x14ac:dyDescent="0.2">
      <c r="A304" s="1">
        <v>30986</v>
      </c>
      <c r="C304">
        <v>62.2</v>
      </c>
      <c r="F304">
        <v>7154</v>
      </c>
      <c r="G304">
        <v>7992</v>
      </c>
      <c r="H304">
        <v>11.712495018657393</v>
      </c>
      <c r="I304">
        <v>24370</v>
      </c>
      <c r="J304">
        <v>819.1</v>
      </c>
      <c r="L304" s="19">
        <v>124.12530358323301</v>
      </c>
      <c r="M304">
        <v>2936.6</v>
      </c>
    </row>
    <row r="305" spans="1:13" x14ac:dyDescent="0.2">
      <c r="A305" s="1">
        <v>31016</v>
      </c>
      <c r="C305">
        <v>61.8</v>
      </c>
      <c r="F305">
        <v>7108</v>
      </c>
      <c r="G305">
        <v>7348</v>
      </c>
      <c r="H305">
        <v>11.686995548155924</v>
      </c>
      <c r="I305">
        <v>24400</v>
      </c>
      <c r="J305">
        <v>820.5</v>
      </c>
      <c r="L305" s="19">
        <v>121.981238321231</v>
      </c>
      <c r="M305">
        <v>2949.1</v>
      </c>
    </row>
    <row r="306" spans="1:13" x14ac:dyDescent="0.2">
      <c r="A306" s="1">
        <v>31047</v>
      </c>
      <c r="C306">
        <v>62.9</v>
      </c>
      <c r="F306">
        <v>7064</v>
      </c>
      <c r="G306">
        <v>7660</v>
      </c>
      <c r="H306">
        <v>11.633878200491827</v>
      </c>
      <c r="I306">
        <v>24435</v>
      </c>
      <c r="J306">
        <v>821.9</v>
      </c>
      <c r="L306" s="19">
        <v>123.655867383904</v>
      </c>
      <c r="M306">
        <v>2955.7</v>
      </c>
    </row>
    <row r="307" spans="1:13" x14ac:dyDescent="0.2">
      <c r="A307" s="1">
        <v>31078</v>
      </c>
      <c r="C307">
        <v>63.9</v>
      </c>
      <c r="F307">
        <v>7161</v>
      </c>
      <c r="G307">
        <v>7501</v>
      </c>
      <c r="H307">
        <v>11.584043936985113</v>
      </c>
      <c r="I307">
        <v>24470</v>
      </c>
      <c r="J307">
        <v>823.1</v>
      </c>
      <c r="L307" s="19">
        <v>124.994420653609</v>
      </c>
      <c r="M307">
        <v>2964.9</v>
      </c>
    </row>
    <row r="308" spans="1:13" x14ac:dyDescent="0.2">
      <c r="A308" s="1">
        <v>31106</v>
      </c>
      <c r="C308">
        <v>63.9</v>
      </c>
      <c r="F308">
        <v>7225</v>
      </c>
      <c r="G308">
        <v>7692</v>
      </c>
      <c r="H308">
        <v>11.540545421708506</v>
      </c>
      <c r="I308">
        <v>24490</v>
      </c>
      <c r="J308">
        <v>824</v>
      </c>
      <c r="L308" s="19">
        <v>125.689462239588</v>
      </c>
      <c r="M308">
        <v>2982.8</v>
      </c>
    </row>
    <row r="309" spans="1:13" x14ac:dyDescent="0.2">
      <c r="A309" s="1">
        <v>31137</v>
      </c>
      <c r="C309">
        <v>65.599999999999994</v>
      </c>
      <c r="F309">
        <v>7215</v>
      </c>
      <c r="G309">
        <v>7977</v>
      </c>
      <c r="H309">
        <v>11.482217006679907</v>
      </c>
      <c r="I309">
        <v>24515</v>
      </c>
      <c r="J309">
        <v>825</v>
      </c>
      <c r="L309" s="19">
        <v>127.202816724328</v>
      </c>
      <c r="M309">
        <v>2977.1</v>
      </c>
    </row>
    <row r="310" spans="1:13" x14ac:dyDescent="0.2">
      <c r="A310" s="1">
        <v>31167</v>
      </c>
      <c r="C310">
        <v>66.2</v>
      </c>
      <c r="F310">
        <v>7514</v>
      </c>
      <c r="G310">
        <v>7598</v>
      </c>
      <c r="H310">
        <v>11.436717312064673</v>
      </c>
      <c r="I310">
        <v>24540</v>
      </c>
      <c r="J310">
        <v>825.9</v>
      </c>
      <c r="L310" s="19">
        <v>128.36733092963999</v>
      </c>
      <c r="M310">
        <v>2998.3</v>
      </c>
    </row>
    <row r="311" spans="1:13" x14ac:dyDescent="0.2">
      <c r="A311" s="1">
        <v>31198</v>
      </c>
      <c r="C311">
        <v>66.7</v>
      </c>
      <c r="F311">
        <v>7522</v>
      </c>
      <c r="G311">
        <v>7279</v>
      </c>
      <c r="H311">
        <v>11.38939011187297</v>
      </c>
      <c r="I311">
        <v>24554</v>
      </c>
      <c r="J311">
        <v>826.3</v>
      </c>
      <c r="L311" s="19">
        <v>128.116907238359</v>
      </c>
      <c r="M311">
        <v>3000.7</v>
      </c>
    </row>
    <row r="312" spans="1:13" x14ac:dyDescent="0.2">
      <c r="A312" s="1">
        <v>31228</v>
      </c>
      <c r="C312">
        <v>68.2</v>
      </c>
      <c r="F312">
        <v>7486</v>
      </c>
      <c r="G312">
        <v>7582</v>
      </c>
      <c r="H312">
        <v>11.370031022292764</v>
      </c>
      <c r="I312">
        <v>24570</v>
      </c>
      <c r="J312">
        <v>826.6</v>
      </c>
      <c r="L312" s="19">
        <v>129.14788634244101</v>
      </c>
      <c r="M312">
        <v>2988.5</v>
      </c>
    </row>
    <row r="313" spans="1:13" x14ac:dyDescent="0.2">
      <c r="A313" s="1">
        <v>31259</v>
      </c>
      <c r="C313">
        <v>65.599999999999994</v>
      </c>
      <c r="F313">
        <v>7310</v>
      </c>
      <c r="G313">
        <v>7501</v>
      </c>
      <c r="H313">
        <v>11.339462772669911</v>
      </c>
      <c r="I313">
        <v>24590</v>
      </c>
      <c r="J313">
        <v>827</v>
      </c>
      <c r="L313" s="19">
        <v>129.621025825549</v>
      </c>
      <c r="M313">
        <v>2995.1</v>
      </c>
    </row>
    <row r="314" spans="1:13" x14ac:dyDescent="0.2">
      <c r="A314" s="1">
        <v>31290</v>
      </c>
      <c r="C314">
        <v>66.2</v>
      </c>
      <c r="F314">
        <v>7158</v>
      </c>
      <c r="G314">
        <v>7154</v>
      </c>
      <c r="H314">
        <v>11.312119355652456</v>
      </c>
      <c r="I314">
        <v>24610</v>
      </c>
      <c r="J314">
        <v>827.5</v>
      </c>
      <c r="L314" s="19">
        <v>130.85483993606601</v>
      </c>
      <c r="M314">
        <v>2997.5</v>
      </c>
    </row>
    <row r="315" spans="1:13" x14ac:dyDescent="0.2">
      <c r="A315" s="1">
        <v>31320</v>
      </c>
      <c r="C315">
        <v>67.3</v>
      </c>
      <c r="F315">
        <v>7136</v>
      </c>
      <c r="G315">
        <v>7321</v>
      </c>
      <c r="H315">
        <v>11.299618183128016</v>
      </c>
      <c r="I315">
        <v>24625</v>
      </c>
      <c r="J315">
        <v>827.6</v>
      </c>
      <c r="L315" s="19">
        <v>133.63378697467499</v>
      </c>
      <c r="M315">
        <v>3004.8</v>
      </c>
    </row>
    <row r="316" spans="1:13" x14ac:dyDescent="0.2">
      <c r="A316" s="1">
        <v>31351</v>
      </c>
      <c r="C316">
        <v>66</v>
      </c>
      <c r="F316">
        <v>7260</v>
      </c>
      <c r="G316">
        <v>7372</v>
      </c>
      <c r="H316">
        <v>11.28916096507022</v>
      </c>
      <c r="I316">
        <v>24635</v>
      </c>
      <c r="J316">
        <v>827.6</v>
      </c>
      <c r="L316" s="19">
        <v>132.26032415669999</v>
      </c>
      <c r="M316">
        <v>3011.3</v>
      </c>
    </row>
    <row r="317" spans="1:13" x14ac:dyDescent="0.2">
      <c r="A317" s="1">
        <v>31381</v>
      </c>
      <c r="C317">
        <v>66.7</v>
      </c>
      <c r="F317">
        <v>7170</v>
      </c>
      <c r="G317">
        <v>7563</v>
      </c>
      <c r="H317">
        <v>11.276679984162977</v>
      </c>
      <c r="I317">
        <v>24650</v>
      </c>
      <c r="J317">
        <v>827.9</v>
      </c>
      <c r="L317" s="19">
        <v>133.334554673497</v>
      </c>
      <c r="M317">
        <v>3012.6</v>
      </c>
    </row>
    <row r="318" spans="1:13" x14ac:dyDescent="0.2">
      <c r="A318" s="1">
        <v>31412</v>
      </c>
      <c r="C318">
        <v>65</v>
      </c>
      <c r="F318">
        <v>7178</v>
      </c>
      <c r="G318">
        <v>7405</v>
      </c>
      <c r="H318">
        <v>11.279007015650297</v>
      </c>
      <c r="I318">
        <v>24660</v>
      </c>
      <c r="J318">
        <v>827.7</v>
      </c>
      <c r="L318" s="19">
        <v>134.698857976911</v>
      </c>
      <c r="M318">
        <v>3033.4</v>
      </c>
    </row>
    <row r="319" spans="1:13" x14ac:dyDescent="0.2">
      <c r="A319" s="1">
        <v>31443</v>
      </c>
      <c r="C319">
        <v>65.8</v>
      </c>
      <c r="F319">
        <v>7292</v>
      </c>
      <c r="G319">
        <v>7602</v>
      </c>
      <c r="H319">
        <v>11.288581912367796</v>
      </c>
      <c r="I319">
        <v>24660</v>
      </c>
      <c r="J319">
        <v>827.3</v>
      </c>
      <c r="L319" s="19">
        <v>134.82334518447001</v>
      </c>
      <c r="M319">
        <v>3044.5</v>
      </c>
    </row>
    <row r="320" spans="1:13" x14ac:dyDescent="0.2">
      <c r="A320" s="1">
        <v>31471</v>
      </c>
      <c r="C320">
        <v>66.3</v>
      </c>
      <c r="F320">
        <v>7555</v>
      </c>
      <c r="G320">
        <v>7803</v>
      </c>
      <c r="H320">
        <v>11.300471002768489</v>
      </c>
      <c r="I320">
        <v>24670</v>
      </c>
      <c r="J320">
        <v>827.4</v>
      </c>
      <c r="L320" s="19">
        <v>135.69506341295099</v>
      </c>
      <c r="M320">
        <v>3053.2</v>
      </c>
    </row>
    <row r="321" spans="1:21" x14ac:dyDescent="0.2">
      <c r="A321" s="1">
        <v>31502</v>
      </c>
      <c r="C321">
        <v>66.900000000000006</v>
      </c>
      <c r="F321">
        <v>7353</v>
      </c>
      <c r="G321">
        <v>7780</v>
      </c>
      <c r="H321">
        <v>11.322789360172537</v>
      </c>
      <c r="I321">
        <v>24670</v>
      </c>
      <c r="J321">
        <v>827.2</v>
      </c>
      <c r="L321" s="19">
        <v>137.18363928074999</v>
      </c>
      <c r="M321">
        <v>3086.1</v>
      </c>
    </row>
    <row r="322" spans="1:21" x14ac:dyDescent="0.2">
      <c r="A322" s="1">
        <v>31532</v>
      </c>
      <c r="C322">
        <v>67.8</v>
      </c>
      <c r="F322">
        <v>7659</v>
      </c>
      <c r="G322">
        <v>8040</v>
      </c>
      <c r="H322">
        <v>11.323941637317617</v>
      </c>
      <c r="I322">
        <v>24675</v>
      </c>
      <c r="J322">
        <v>827.1</v>
      </c>
      <c r="L322" s="19">
        <v>139.07287212683801</v>
      </c>
      <c r="M322">
        <v>3076.3</v>
      </c>
    </row>
    <row r="323" spans="1:21" x14ac:dyDescent="0.2">
      <c r="A323" s="1">
        <v>31563</v>
      </c>
      <c r="C323">
        <v>66.599999999999994</v>
      </c>
      <c r="F323">
        <v>7492</v>
      </c>
      <c r="G323">
        <v>8046</v>
      </c>
      <c r="H323">
        <v>11.330243919962639</v>
      </c>
      <c r="I323">
        <v>24683</v>
      </c>
      <c r="J323">
        <v>827.1</v>
      </c>
      <c r="L323" s="19">
        <v>138.12568162081701</v>
      </c>
      <c r="M323">
        <v>3084.4</v>
      </c>
    </row>
    <row r="324" spans="1:21" x14ac:dyDescent="0.2">
      <c r="A324" s="1">
        <v>31593</v>
      </c>
      <c r="C324">
        <v>67.599999999999994</v>
      </c>
      <c r="F324">
        <v>7611</v>
      </c>
      <c r="G324">
        <v>8013</v>
      </c>
      <c r="H324">
        <v>11.3412795289725</v>
      </c>
      <c r="I324">
        <v>24695</v>
      </c>
      <c r="J324">
        <v>827.4</v>
      </c>
      <c r="L324" s="19">
        <v>139.618979284674</v>
      </c>
      <c r="M324">
        <v>3085.8</v>
      </c>
    </row>
    <row r="325" spans="1:21" x14ac:dyDescent="0.2">
      <c r="A325" s="1">
        <v>31624</v>
      </c>
      <c r="C325">
        <v>67</v>
      </c>
      <c r="F325">
        <v>7717</v>
      </c>
      <c r="G325">
        <v>8203</v>
      </c>
      <c r="H325">
        <v>11.359724612736661</v>
      </c>
      <c r="I325">
        <v>24720</v>
      </c>
      <c r="J325">
        <v>828.1</v>
      </c>
      <c r="L325" s="19">
        <v>140.32719836579199</v>
      </c>
      <c r="M325">
        <v>3090</v>
      </c>
    </row>
    <row r="326" spans="1:21" x14ac:dyDescent="0.2">
      <c r="A326" s="1">
        <v>31655</v>
      </c>
      <c r="C326">
        <v>67</v>
      </c>
      <c r="F326">
        <v>7403</v>
      </c>
      <c r="G326">
        <v>8097</v>
      </c>
      <c r="H326">
        <v>11.373813361991761</v>
      </c>
      <c r="I326">
        <v>24740</v>
      </c>
      <c r="J326">
        <v>828.8</v>
      </c>
      <c r="L326" s="19">
        <v>141.87260477170301</v>
      </c>
      <c r="M326">
        <v>3087.6</v>
      </c>
    </row>
    <row r="327" spans="1:21" x14ac:dyDescent="0.2">
      <c r="A327" s="1">
        <v>31685</v>
      </c>
      <c r="C327">
        <v>68.8</v>
      </c>
      <c r="F327">
        <v>7606</v>
      </c>
      <c r="G327">
        <v>8214</v>
      </c>
      <c r="H327">
        <v>11.367946470104126</v>
      </c>
      <c r="I327">
        <v>24770</v>
      </c>
      <c r="J327">
        <v>829.9</v>
      </c>
      <c r="L327" s="19">
        <v>142.33142597746399</v>
      </c>
      <c r="M327">
        <v>3072</v>
      </c>
    </row>
    <row r="328" spans="1:21" x14ac:dyDescent="0.2">
      <c r="A328" s="1">
        <v>31716</v>
      </c>
      <c r="C328">
        <v>68.900000000000006</v>
      </c>
      <c r="F328">
        <v>7746</v>
      </c>
      <c r="G328">
        <v>8357</v>
      </c>
      <c r="H328">
        <v>11.336741625254728</v>
      </c>
      <c r="I328">
        <v>24800</v>
      </c>
      <c r="J328">
        <v>831.1</v>
      </c>
      <c r="L328" s="19">
        <v>143.711976869502</v>
      </c>
      <c r="M328">
        <v>3052.7</v>
      </c>
    </row>
    <row r="329" spans="1:21" x14ac:dyDescent="0.2">
      <c r="A329" s="1">
        <v>31746</v>
      </c>
      <c r="C329">
        <v>68.7</v>
      </c>
      <c r="F329">
        <v>7990</v>
      </c>
      <c r="G329">
        <v>8201</v>
      </c>
      <c r="H329">
        <v>11.305590283979281</v>
      </c>
      <c r="I329">
        <v>24830</v>
      </c>
      <c r="J329">
        <v>832.1</v>
      </c>
      <c r="L329" s="19">
        <v>144.38285161673301</v>
      </c>
      <c r="M329">
        <v>3045.6</v>
      </c>
    </row>
    <row r="330" spans="1:21" x14ac:dyDescent="0.2">
      <c r="A330" s="1">
        <v>31777</v>
      </c>
      <c r="C330">
        <v>68.900000000000006</v>
      </c>
      <c r="F330">
        <v>7718</v>
      </c>
      <c r="G330">
        <v>8278</v>
      </c>
      <c r="H330">
        <v>11.269013782760837</v>
      </c>
      <c r="I330">
        <v>24850</v>
      </c>
      <c r="J330">
        <v>832.9</v>
      </c>
      <c r="L330" s="19">
        <v>144.62927144473599</v>
      </c>
      <c r="M330">
        <v>3021.4</v>
      </c>
    </row>
    <row r="331" spans="1:21" x14ac:dyDescent="0.2">
      <c r="A331" s="1">
        <v>31808</v>
      </c>
      <c r="C331">
        <v>67.599999999999994</v>
      </c>
      <c r="F331">
        <v>7664</v>
      </c>
      <c r="G331">
        <v>7796</v>
      </c>
      <c r="H331">
        <v>11.239964317573595</v>
      </c>
      <c r="I331">
        <v>24875</v>
      </c>
      <c r="J331">
        <v>833.8</v>
      </c>
      <c r="L331" s="19">
        <v>145.62908128368599</v>
      </c>
      <c r="M331">
        <v>3014.9</v>
      </c>
    </row>
    <row r="332" spans="1:21" x14ac:dyDescent="0.2">
      <c r="A332" s="1">
        <v>31836</v>
      </c>
      <c r="C332">
        <v>69.8</v>
      </c>
      <c r="F332">
        <v>8488</v>
      </c>
      <c r="G332">
        <v>8288</v>
      </c>
      <c r="H332">
        <v>11.179282300064207</v>
      </c>
      <c r="I332">
        <v>24900</v>
      </c>
      <c r="J332">
        <v>835</v>
      </c>
      <c r="L332" s="19">
        <v>146.23964629152201</v>
      </c>
      <c r="M332">
        <v>2966.4</v>
      </c>
    </row>
    <row r="333" spans="1:21" x14ac:dyDescent="0.2">
      <c r="A333" s="1">
        <v>31867</v>
      </c>
      <c r="C333">
        <v>69.5</v>
      </c>
      <c r="F333">
        <v>7901</v>
      </c>
      <c r="G333">
        <v>8347</v>
      </c>
      <c r="H333">
        <v>11.102789071973749</v>
      </c>
      <c r="I333">
        <v>24925</v>
      </c>
      <c r="J333">
        <v>836.4</v>
      </c>
      <c r="L333" s="19">
        <v>146.470250983618</v>
      </c>
      <c r="M333">
        <v>2924.6</v>
      </c>
    </row>
    <row r="334" spans="1:21" x14ac:dyDescent="0.2">
      <c r="A334" s="1">
        <v>31897</v>
      </c>
      <c r="C334">
        <v>68.900000000000006</v>
      </c>
      <c r="F334">
        <v>7824</v>
      </c>
      <c r="G334">
        <v>8411</v>
      </c>
      <c r="H334">
        <v>11.012116892373486</v>
      </c>
      <c r="I334">
        <v>24970</v>
      </c>
      <c r="J334">
        <v>838.1</v>
      </c>
      <c r="L334" s="19">
        <v>148.30097891368999</v>
      </c>
      <c r="M334">
        <v>2911.1</v>
      </c>
    </row>
    <row r="335" spans="1:21" x14ac:dyDescent="0.2">
      <c r="A335" s="1">
        <v>31928</v>
      </c>
      <c r="C335">
        <v>70.2</v>
      </c>
      <c r="F335">
        <v>7720</v>
      </c>
      <c r="G335">
        <v>8641</v>
      </c>
      <c r="H335">
        <v>10.896340595187242</v>
      </c>
      <c r="I335">
        <v>25031</v>
      </c>
      <c r="J335">
        <v>840.5</v>
      </c>
      <c r="L335" s="19">
        <v>150.085479930422</v>
      </c>
      <c r="M335">
        <v>2845.7</v>
      </c>
    </row>
    <row r="336" spans="1:21" x14ac:dyDescent="0.2">
      <c r="A336" s="1">
        <v>31958</v>
      </c>
      <c r="C336">
        <v>69.900000000000006</v>
      </c>
      <c r="F336">
        <v>7936</v>
      </c>
      <c r="G336">
        <v>8593</v>
      </c>
      <c r="H336">
        <v>10.739042337634638</v>
      </c>
      <c r="I336">
        <v>25110</v>
      </c>
      <c r="J336">
        <v>843.3</v>
      </c>
      <c r="L336" s="19">
        <v>150.75883794326899</v>
      </c>
      <c r="M336">
        <v>2807.7</v>
      </c>
      <c r="U336">
        <v>18.856818181818181</v>
      </c>
    </row>
    <row r="337" spans="1:21" x14ac:dyDescent="0.2">
      <c r="A337" s="1">
        <v>31989</v>
      </c>
      <c r="C337">
        <v>71.2</v>
      </c>
      <c r="F337">
        <v>8100</v>
      </c>
      <c r="G337">
        <v>8961</v>
      </c>
      <c r="H337">
        <v>10.556403792209636</v>
      </c>
      <c r="I337">
        <v>25190</v>
      </c>
      <c r="J337">
        <v>846.3</v>
      </c>
      <c r="L337" s="19">
        <v>152.02353836534999</v>
      </c>
      <c r="M337">
        <v>2764</v>
      </c>
      <c r="U337">
        <v>19.856521739130436</v>
      </c>
    </row>
    <row r="338" spans="1:21" x14ac:dyDescent="0.2">
      <c r="A338" s="1">
        <v>32020</v>
      </c>
      <c r="C338">
        <v>71</v>
      </c>
      <c r="F338">
        <v>8222</v>
      </c>
      <c r="G338">
        <v>9001</v>
      </c>
      <c r="H338">
        <v>10.386893152239441</v>
      </c>
      <c r="I338">
        <v>25270</v>
      </c>
      <c r="J338">
        <v>849.5</v>
      </c>
      <c r="L338" s="19">
        <v>153.09722873710299</v>
      </c>
      <c r="M338">
        <v>2721</v>
      </c>
      <c r="U338">
        <v>18.979523809523808</v>
      </c>
    </row>
    <row r="339" spans="1:21" x14ac:dyDescent="0.2">
      <c r="A339" s="1">
        <v>32050</v>
      </c>
      <c r="C339">
        <v>70.5</v>
      </c>
      <c r="F339">
        <v>8154</v>
      </c>
      <c r="G339">
        <v>8872</v>
      </c>
      <c r="H339">
        <v>10.219624512929508</v>
      </c>
      <c r="I339">
        <v>25345</v>
      </c>
      <c r="J339">
        <v>852.3</v>
      </c>
      <c r="L339" s="19">
        <v>153.53114600760799</v>
      </c>
      <c r="M339">
        <v>2677.6</v>
      </c>
      <c r="U339">
        <v>18.313181818181825</v>
      </c>
    </row>
    <row r="340" spans="1:21" x14ac:dyDescent="0.2">
      <c r="A340" s="1">
        <v>32081</v>
      </c>
      <c r="C340">
        <v>71.400000000000006</v>
      </c>
      <c r="F340">
        <v>8171</v>
      </c>
      <c r="G340">
        <v>8837</v>
      </c>
      <c r="H340">
        <v>10.043173614551632</v>
      </c>
      <c r="I340">
        <v>25420</v>
      </c>
      <c r="J340">
        <v>855</v>
      </c>
      <c r="L340" s="19">
        <v>155.070817910204</v>
      </c>
      <c r="M340">
        <v>2621</v>
      </c>
      <c r="U340">
        <v>18.75772727272728</v>
      </c>
    </row>
    <row r="341" spans="1:21" x14ac:dyDescent="0.2">
      <c r="A341" s="1">
        <v>32111</v>
      </c>
      <c r="C341">
        <v>71.3</v>
      </c>
      <c r="F341">
        <v>8246</v>
      </c>
      <c r="G341">
        <v>9093</v>
      </c>
      <c r="H341">
        <v>9.8575115793939823</v>
      </c>
      <c r="I341">
        <v>25495</v>
      </c>
      <c r="J341">
        <v>857.9</v>
      </c>
      <c r="L341" s="19">
        <v>156.314868771888</v>
      </c>
      <c r="M341">
        <v>2565.6</v>
      </c>
      <c r="U341">
        <v>17.780952380952382</v>
      </c>
    </row>
    <row r="342" spans="1:21" x14ac:dyDescent="0.2">
      <c r="A342" s="1">
        <v>32142</v>
      </c>
      <c r="C342">
        <v>71.900000000000006</v>
      </c>
      <c r="F342">
        <v>8101</v>
      </c>
      <c r="G342">
        <v>9305</v>
      </c>
      <c r="H342">
        <v>9.6800395536092676</v>
      </c>
      <c r="I342">
        <v>25575</v>
      </c>
      <c r="J342">
        <v>860.8</v>
      </c>
      <c r="L342" s="19">
        <v>157.419370509478</v>
      </c>
      <c r="M342">
        <v>2535.8000000000002</v>
      </c>
      <c r="U342">
        <v>17.056086956521742</v>
      </c>
    </row>
    <row r="343" spans="1:21" x14ac:dyDescent="0.2">
      <c r="A343" s="1">
        <v>32173</v>
      </c>
      <c r="C343">
        <v>72.599999999999994</v>
      </c>
      <c r="F343">
        <v>7900</v>
      </c>
      <c r="G343">
        <v>8925</v>
      </c>
      <c r="H343">
        <v>9.5125564334085784</v>
      </c>
      <c r="I343">
        <v>25655</v>
      </c>
      <c r="J343">
        <v>863.9</v>
      </c>
      <c r="L343" s="19">
        <v>158.46891442654999</v>
      </c>
      <c r="M343">
        <v>2488.6</v>
      </c>
      <c r="U343">
        <v>16.830476190476187</v>
      </c>
    </row>
    <row r="344" spans="1:21" x14ac:dyDescent="0.2">
      <c r="A344" s="1">
        <v>32202</v>
      </c>
      <c r="C344">
        <v>71.7</v>
      </c>
      <c r="F344">
        <v>8157</v>
      </c>
      <c r="G344">
        <v>9329</v>
      </c>
      <c r="H344">
        <v>9.359918272448656</v>
      </c>
      <c r="I344">
        <v>25730</v>
      </c>
      <c r="J344">
        <v>866.9</v>
      </c>
      <c r="L344" s="19">
        <v>158.859746210216</v>
      </c>
      <c r="M344">
        <v>2449.4</v>
      </c>
      <c r="U344">
        <v>15.665714285714284</v>
      </c>
    </row>
    <row r="345" spans="1:21" x14ac:dyDescent="0.2">
      <c r="A345" s="1">
        <v>32233</v>
      </c>
      <c r="C345">
        <v>72.900000000000006</v>
      </c>
      <c r="F345">
        <v>8102</v>
      </c>
      <c r="G345">
        <v>9146</v>
      </c>
      <c r="H345">
        <v>9.1981132075471699</v>
      </c>
      <c r="I345">
        <v>25795</v>
      </c>
      <c r="J345">
        <v>869.4</v>
      </c>
      <c r="L345" s="19">
        <v>160.99014607980001</v>
      </c>
      <c r="M345">
        <v>2405.6</v>
      </c>
      <c r="U345">
        <v>14.728260869565215</v>
      </c>
    </row>
    <row r="346" spans="1:21" x14ac:dyDescent="0.2">
      <c r="A346" s="1">
        <v>32263</v>
      </c>
      <c r="C346">
        <v>72.3</v>
      </c>
      <c r="F346">
        <v>8401</v>
      </c>
      <c r="G346">
        <v>9445</v>
      </c>
      <c r="H346">
        <v>9.0365471877308376</v>
      </c>
      <c r="I346">
        <v>25860</v>
      </c>
      <c r="J346">
        <v>871.9</v>
      </c>
      <c r="L346" s="19">
        <v>161.19170415388101</v>
      </c>
      <c r="M346">
        <v>2362.4</v>
      </c>
      <c r="U346">
        <v>16.511904761904763</v>
      </c>
    </row>
    <row r="347" spans="1:21" x14ac:dyDescent="0.2">
      <c r="A347" s="1">
        <v>32294</v>
      </c>
      <c r="C347">
        <v>73.099999999999994</v>
      </c>
      <c r="F347">
        <v>8126</v>
      </c>
      <c r="G347">
        <v>9583</v>
      </c>
      <c r="H347">
        <v>8.8821688526319491</v>
      </c>
      <c r="I347">
        <v>25913</v>
      </c>
      <c r="J347">
        <v>874</v>
      </c>
      <c r="L347" s="19">
        <v>162.801809667654</v>
      </c>
      <c r="M347">
        <v>2317.1999999999998</v>
      </c>
      <c r="U347">
        <v>16.288636363636364</v>
      </c>
    </row>
    <row r="348" spans="1:21" x14ac:dyDescent="0.2">
      <c r="A348" s="1">
        <v>32324</v>
      </c>
      <c r="C348">
        <v>73.400000000000006</v>
      </c>
      <c r="F348">
        <v>8328</v>
      </c>
      <c r="G348">
        <v>9894</v>
      </c>
      <c r="H348">
        <v>8.7491215741391422</v>
      </c>
      <c r="I348">
        <v>25970</v>
      </c>
      <c r="J348">
        <v>876.2</v>
      </c>
      <c r="L348" s="19">
        <v>163.85419745167201</v>
      </c>
      <c r="M348">
        <v>2271.8000000000002</v>
      </c>
      <c r="U348">
        <v>15.490909090909094</v>
      </c>
    </row>
    <row r="349" spans="1:21" x14ac:dyDescent="0.2">
      <c r="A349" s="1">
        <v>32355</v>
      </c>
      <c r="C349">
        <v>73.8</v>
      </c>
      <c r="F349">
        <v>8451</v>
      </c>
      <c r="G349">
        <v>10154</v>
      </c>
      <c r="H349">
        <v>8.6089460009830763</v>
      </c>
      <c r="I349">
        <v>26030</v>
      </c>
      <c r="J349">
        <v>878.3</v>
      </c>
      <c r="L349" s="19">
        <v>165.93757868229599</v>
      </c>
      <c r="M349">
        <v>2214.4</v>
      </c>
      <c r="U349">
        <v>14.942857142857147</v>
      </c>
    </row>
    <row r="350" spans="1:21" x14ac:dyDescent="0.2">
      <c r="A350" s="1">
        <v>32386</v>
      </c>
      <c r="C350">
        <v>74.5</v>
      </c>
      <c r="F350">
        <v>8354</v>
      </c>
      <c r="G350">
        <v>9888</v>
      </c>
      <c r="H350">
        <v>8.4724365268621131</v>
      </c>
      <c r="I350">
        <v>26100</v>
      </c>
      <c r="J350">
        <v>880.8</v>
      </c>
      <c r="L350" s="19">
        <v>166.27751225237</v>
      </c>
      <c r="M350">
        <v>2176.8000000000002</v>
      </c>
      <c r="U350">
        <v>14.871739130434783</v>
      </c>
    </row>
    <row r="351" spans="1:21" x14ac:dyDescent="0.2">
      <c r="A351" s="1">
        <v>32416</v>
      </c>
      <c r="C351">
        <v>75.3</v>
      </c>
      <c r="F351">
        <v>8303</v>
      </c>
      <c r="G351">
        <v>10090</v>
      </c>
      <c r="H351">
        <v>8.3552285864424594</v>
      </c>
      <c r="I351">
        <v>26160</v>
      </c>
      <c r="J351">
        <v>883.1</v>
      </c>
      <c r="L351" s="19">
        <v>167.929343746591</v>
      </c>
      <c r="M351">
        <v>2156.4</v>
      </c>
      <c r="U351">
        <v>13.170454545454545</v>
      </c>
    </row>
    <row r="352" spans="1:21" x14ac:dyDescent="0.2">
      <c r="A352" s="1">
        <v>32447</v>
      </c>
      <c r="C352">
        <v>74.400000000000006</v>
      </c>
      <c r="F352">
        <v>8048</v>
      </c>
      <c r="G352">
        <v>10476</v>
      </c>
      <c r="H352">
        <v>8.2578433772865587</v>
      </c>
      <c r="I352">
        <v>26230</v>
      </c>
      <c r="J352">
        <v>885.7</v>
      </c>
      <c r="L352" s="19">
        <v>169.52513930385101</v>
      </c>
      <c r="M352">
        <v>2120</v>
      </c>
      <c r="U352">
        <v>12.430952380952382</v>
      </c>
    </row>
    <row r="353" spans="1:21" x14ac:dyDescent="0.2">
      <c r="A353" s="1">
        <v>32477</v>
      </c>
      <c r="C353">
        <v>75.2</v>
      </c>
      <c r="F353">
        <v>8137</v>
      </c>
      <c r="G353">
        <v>10481</v>
      </c>
      <c r="H353">
        <v>8.1507878279705128</v>
      </c>
      <c r="I353">
        <v>26290</v>
      </c>
      <c r="J353">
        <v>887.9</v>
      </c>
      <c r="L353" s="19">
        <v>171.43974341314899</v>
      </c>
      <c r="M353">
        <v>2069</v>
      </c>
      <c r="U353">
        <v>12.936363636363636</v>
      </c>
    </row>
    <row r="354" spans="1:21" x14ac:dyDescent="0.2">
      <c r="A354" s="1">
        <v>32508</v>
      </c>
      <c r="C354">
        <v>74.7</v>
      </c>
      <c r="F354">
        <v>8256</v>
      </c>
      <c r="G354">
        <v>10641</v>
      </c>
      <c r="H354">
        <v>8.0040491482826024</v>
      </c>
      <c r="I354">
        <v>26355</v>
      </c>
      <c r="J354">
        <v>890.2</v>
      </c>
      <c r="L354" s="19">
        <v>174.569064913864</v>
      </c>
      <c r="M354">
        <v>2005.8</v>
      </c>
      <c r="U354">
        <v>15.315909090909093</v>
      </c>
    </row>
    <row r="355" spans="1:21" x14ac:dyDescent="0.2">
      <c r="A355" s="1">
        <v>32539</v>
      </c>
      <c r="C355">
        <v>75.099999999999994</v>
      </c>
      <c r="F355">
        <v>8711</v>
      </c>
      <c r="G355">
        <v>10629</v>
      </c>
      <c r="H355">
        <v>7.8548269009517835</v>
      </c>
      <c r="I355">
        <v>26430</v>
      </c>
      <c r="J355">
        <v>893</v>
      </c>
      <c r="L355" s="19">
        <v>173.824740453765</v>
      </c>
      <c r="M355">
        <v>1967.3</v>
      </c>
      <c r="U355">
        <v>17.059090909090909</v>
      </c>
    </row>
    <row r="356" spans="1:21" x14ac:dyDescent="0.2">
      <c r="A356" s="1">
        <v>32567</v>
      </c>
      <c r="C356">
        <v>75.3</v>
      </c>
      <c r="F356">
        <v>8391</v>
      </c>
      <c r="G356">
        <v>10694</v>
      </c>
      <c r="H356">
        <v>7.7046269540089822</v>
      </c>
      <c r="I356">
        <v>26510</v>
      </c>
      <c r="J356">
        <v>895.9</v>
      </c>
      <c r="L356" s="19">
        <v>174.56837599073199</v>
      </c>
      <c r="M356">
        <v>1918.2</v>
      </c>
      <c r="U356">
        <v>16.905000000000001</v>
      </c>
    </row>
    <row r="357" spans="1:21" x14ac:dyDescent="0.2">
      <c r="A357" s="1">
        <v>32598</v>
      </c>
      <c r="C357">
        <v>74.3</v>
      </c>
      <c r="F357">
        <v>8706</v>
      </c>
      <c r="G357">
        <v>10589</v>
      </c>
      <c r="H357">
        <v>7.574124926135771</v>
      </c>
      <c r="I357">
        <v>26590</v>
      </c>
      <c r="J357">
        <v>898.9</v>
      </c>
      <c r="L357" s="19">
        <v>176.60240758722799</v>
      </c>
      <c r="M357">
        <v>1876.9</v>
      </c>
      <c r="U357">
        <v>18.782608695652172</v>
      </c>
    </row>
    <row r="358" spans="1:21" x14ac:dyDescent="0.2">
      <c r="A358" s="1">
        <v>32628</v>
      </c>
      <c r="C358">
        <v>76.2</v>
      </c>
      <c r="F358">
        <v>8270</v>
      </c>
      <c r="G358">
        <v>10440</v>
      </c>
      <c r="H358">
        <v>7.4305555555555554</v>
      </c>
      <c r="I358">
        <v>26660</v>
      </c>
      <c r="J358">
        <v>901.4</v>
      </c>
      <c r="L358" s="19">
        <v>178.211025600819</v>
      </c>
      <c r="M358">
        <v>1820.6</v>
      </c>
      <c r="U358">
        <v>20.2515</v>
      </c>
    </row>
    <row r="359" spans="1:21" x14ac:dyDescent="0.2">
      <c r="A359" s="1">
        <v>32659</v>
      </c>
      <c r="C359">
        <v>74.2</v>
      </c>
      <c r="F359">
        <v>8508</v>
      </c>
      <c r="G359">
        <v>10525</v>
      </c>
      <c r="H359">
        <v>7.308693388859969</v>
      </c>
      <c r="I359">
        <v>26709</v>
      </c>
      <c r="J359">
        <v>903.2</v>
      </c>
      <c r="L359" s="19">
        <v>178.374267300252</v>
      </c>
      <c r="M359">
        <v>1787.8</v>
      </c>
      <c r="U359">
        <v>18.713043478260872</v>
      </c>
    </row>
    <row r="360" spans="1:21" x14ac:dyDescent="0.2">
      <c r="A360" s="1">
        <v>32689</v>
      </c>
      <c r="C360">
        <v>74.2</v>
      </c>
      <c r="F360">
        <v>8473</v>
      </c>
      <c r="G360">
        <v>10605</v>
      </c>
      <c r="H360">
        <v>7.2293756290563289</v>
      </c>
      <c r="I360">
        <v>26730</v>
      </c>
      <c r="J360">
        <v>904.1</v>
      </c>
      <c r="L360" s="19">
        <v>179.56574334452901</v>
      </c>
      <c r="M360">
        <v>1762.3</v>
      </c>
      <c r="U360">
        <v>17.640909090909091</v>
      </c>
    </row>
    <row r="361" spans="1:21" x14ac:dyDescent="0.2">
      <c r="A361" s="1">
        <v>32720</v>
      </c>
      <c r="C361">
        <v>74.400000000000006</v>
      </c>
      <c r="F361">
        <v>8767</v>
      </c>
      <c r="G361">
        <v>10455</v>
      </c>
      <c r="H361">
        <v>7.1857326255161169</v>
      </c>
      <c r="I361">
        <v>26750</v>
      </c>
      <c r="J361">
        <v>904.9</v>
      </c>
      <c r="L361" s="19">
        <v>180.47442156954199</v>
      </c>
      <c r="M361">
        <v>1743</v>
      </c>
      <c r="U361">
        <v>17.599999999999998</v>
      </c>
    </row>
    <row r="362" spans="1:21" x14ac:dyDescent="0.2">
      <c r="A362" s="1">
        <v>32751</v>
      </c>
      <c r="C362">
        <v>76</v>
      </c>
      <c r="F362">
        <v>8478</v>
      </c>
      <c r="G362">
        <v>10753</v>
      </c>
      <c r="H362">
        <v>7.1344339622641506</v>
      </c>
      <c r="I362">
        <v>26775</v>
      </c>
      <c r="J362">
        <v>905.8</v>
      </c>
      <c r="L362" s="19">
        <v>182.084118455658</v>
      </c>
      <c r="M362">
        <v>1705.2</v>
      </c>
      <c r="U362">
        <v>16.771739130434781</v>
      </c>
    </row>
    <row r="363" spans="1:21" x14ac:dyDescent="0.2">
      <c r="A363" s="1">
        <v>32781</v>
      </c>
      <c r="C363">
        <v>75.599999999999994</v>
      </c>
      <c r="F363">
        <v>8853</v>
      </c>
      <c r="G363">
        <v>11132</v>
      </c>
      <c r="H363">
        <v>7.0908460471567265</v>
      </c>
      <c r="I363">
        <v>26795</v>
      </c>
      <c r="J363">
        <v>906.6</v>
      </c>
      <c r="L363" s="19">
        <v>185.42630498196601</v>
      </c>
      <c r="M363">
        <v>1685</v>
      </c>
      <c r="U363">
        <v>17.769047619047615</v>
      </c>
    </row>
    <row r="364" spans="1:21" x14ac:dyDescent="0.2">
      <c r="A364" s="1">
        <v>32812</v>
      </c>
      <c r="C364">
        <v>75.2</v>
      </c>
      <c r="F364">
        <v>9014</v>
      </c>
      <c r="G364">
        <v>10513</v>
      </c>
      <c r="H364">
        <v>7.0492825951341231</v>
      </c>
      <c r="I364">
        <v>26820</v>
      </c>
      <c r="J364">
        <v>907.3</v>
      </c>
      <c r="L364" s="19">
        <v>187.56391089589599</v>
      </c>
      <c r="M364">
        <v>1671.7</v>
      </c>
      <c r="U364">
        <v>18.872727272727271</v>
      </c>
    </row>
    <row r="365" spans="1:21" x14ac:dyDescent="0.2">
      <c r="A365" s="1">
        <v>32842</v>
      </c>
      <c r="C365">
        <v>75.8</v>
      </c>
      <c r="F365">
        <v>8781</v>
      </c>
      <c r="G365">
        <v>10672</v>
      </c>
      <c r="H365">
        <v>7.0194272258198565</v>
      </c>
      <c r="I365">
        <v>26850</v>
      </c>
      <c r="J365">
        <v>908.1</v>
      </c>
      <c r="L365" s="19">
        <v>187.165585305722</v>
      </c>
      <c r="M365">
        <v>1648.7</v>
      </c>
      <c r="U365">
        <v>18.71590909090909</v>
      </c>
    </row>
    <row r="366" spans="1:21" x14ac:dyDescent="0.2">
      <c r="A366" s="1">
        <v>32873</v>
      </c>
      <c r="C366">
        <v>75.7</v>
      </c>
      <c r="F366">
        <v>9399</v>
      </c>
      <c r="G366">
        <v>10663</v>
      </c>
      <c r="H366">
        <v>6.992837618075499</v>
      </c>
      <c r="I366">
        <v>26880</v>
      </c>
      <c r="J366">
        <v>908.8</v>
      </c>
      <c r="L366" s="19">
        <v>187.92010993623501</v>
      </c>
      <c r="M366">
        <v>1629.5</v>
      </c>
      <c r="U366">
        <v>19.899999999999999</v>
      </c>
    </row>
    <row r="367" spans="1:21" x14ac:dyDescent="0.2">
      <c r="A367" s="1">
        <v>32904</v>
      </c>
      <c r="C367">
        <v>74.900000000000006</v>
      </c>
      <c r="F367">
        <v>9247</v>
      </c>
      <c r="G367">
        <v>11053</v>
      </c>
      <c r="H367">
        <v>6.9614559546052179</v>
      </c>
      <c r="I367">
        <v>26890</v>
      </c>
      <c r="J367">
        <v>908.7</v>
      </c>
      <c r="L367" s="19">
        <v>191.21273055315001</v>
      </c>
      <c r="M367">
        <v>1605.9</v>
      </c>
      <c r="U367">
        <v>21.234782608695653</v>
      </c>
    </row>
    <row r="368" spans="1:21" x14ac:dyDescent="0.2">
      <c r="A368" s="1">
        <v>32932</v>
      </c>
      <c r="C368">
        <v>74.400000000000006</v>
      </c>
      <c r="F368">
        <v>9218</v>
      </c>
      <c r="G368">
        <v>10578</v>
      </c>
      <c r="H368">
        <v>6.9397356950114162</v>
      </c>
      <c r="I368">
        <v>26900</v>
      </c>
      <c r="J368">
        <v>908.6</v>
      </c>
      <c r="L368" s="19">
        <v>193.533720831268</v>
      </c>
      <c r="M368">
        <v>1597</v>
      </c>
      <c r="U368">
        <v>19.844999999999999</v>
      </c>
    </row>
    <row r="369" spans="1:21" x14ac:dyDescent="0.2">
      <c r="A369" s="1">
        <v>32963</v>
      </c>
      <c r="C369">
        <v>75.5</v>
      </c>
      <c r="F369">
        <v>9146</v>
      </c>
      <c r="G369">
        <v>11034</v>
      </c>
      <c r="H369">
        <v>6.9332964295599222</v>
      </c>
      <c r="I369">
        <v>26900</v>
      </c>
      <c r="J369">
        <v>908.1</v>
      </c>
      <c r="L369" s="19">
        <v>192.24283702499699</v>
      </c>
      <c r="M369">
        <v>1584.1</v>
      </c>
      <c r="U369">
        <v>18.37681818181818</v>
      </c>
    </row>
    <row r="370" spans="1:21" x14ac:dyDescent="0.2">
      <c r="A370" s="1">
        <v>32993</v>
      </c>
      <c r="C370">
        <v>76</v>
      </c>
      <c r="F370">
        <v>9226</v>
      </c>
      <c r="G370">
        <v>11005</v>
      </c>
      <c r="H370">
        <v>6.9308985266652829</v>
      </c>
      <c r="I370">
        <v>26910</v>
      </c>
      <c r="J370">
        <v>907.7</v>
      </c>
      <c r="L370" s="19">
        <v>195.90595662981801</v>
      </c>
      <c r="M370">
        <v>1570.2</v>
      </c>
      <c r="U370">
        <v>16.554761904761904</v>
      </c>
    </row>
    <row r="371" spans="1:21" x14ac:dyDescent="0.2">
      <c r="A371" s="1">
        <v>33024</v>
      </c>
      <c r="C371">
        <v>75.5</v>
      </c>
      <c r="F371">
        <v>9447</v>
      </c>
      <c r="G371">
        <v>10757</v>
      </c>
      <c r="H371">
        <v>6.9280232316946693</v>
      </c>
      <c r="I371">
        <v>26922</v>
      </c>
      <c r="J371">
        <v>907.3</v>
      </c>
      <c r="L371" s="19">
        <v>198.07646844416601</v>
      </c>
      <c r="M371">
        <v>1567.5</v>
      </c>
      <c r="U371">
        <v>16.352173913043476</v>
      </c>
    </row>
    <row r="372" spans="1:21" x14ac:dyDescent="0.2">
      <c r="A372" s="1">
        <v>33054</v>
      </c>
      <c r="C372">
        <v>76.599999999999994</v>
      </c>
      <c r="F372">
        <v>9172</v>
      </c>
      <c r="G372">
        <v>10740</v>
      </c>
      <c r="H372">
        <v>6.9184780730552582</v>
      </c>
      <c r="I372">
        <v>26935</v>
      </c>
      <c r="J372">
        <v>906.6</v>
      </c>
      <c r="L372" s="19">
        <v>201.178638244859</v>
      </c>
      <c r="M372">
        <v>1584.3</v>
      </c>
      <c r="U372">
        <v>15.066666666666668</v>
      </c>
    </row>
    <row r="373" spans="1:21" x14ac:dyDescent="0.2">
      <c r="A373" s="1">
        <v>33085</v>
      </c>
      <c r="C373">
        <v>74.8</v>
      </c>
      <c r="F373">
        <v>8961</v>
      </c>
      <c r="G373">
        <v>10701</v>
      </c>
      <c r="H373">
        <v>6.9385922497755059</v>
      </c>
      <c r="I373">
        <v>26945</v>
      </c>
      <c r="J373">
        <v>905.8</v>
      </c>
      <c r="L373" s="19">
        <v>201.91992464853101</v>
      </c>
      <c r="M373">
        <v>1607</v>
      </c>
      <c r="U373">
        <v>17.222727272727273</v>
      </c>
    </row>
    <row r="374" spans="1:21" x14ac:dyDescent="0.2">
      <c r="A374" s="1">
        <v>33116</v>
      </c>
      <c r="C374">
        <v>74.900000000000006</v>
      </c>
      <c r="F374">
        <v>9174</v>
      </c>
      <c r="G374">
        <v>10468</v>
      </c>
      <c r="H374">
        <v>6.9903985632382399</v>
      </c>
      <c r="I374">
        <v>26930</v>
      </c>
      <c r="J374">
        <v>904.1</v>
      </c>
      <c r="L374" s="19">
        <v>203.07123672374701</v>
      </c>
      <c r="M374">
        <v>1635.2</v>
      </c>
      <c r="U374">
        <v>27.356521739130432</v>
      </c>
    </row>
    <row r="375" spans="1:21" x14ac:dyDescent="0.2">
      <c r="A375" s="1">
        <v>33146</v>
      </c>
      <c r="C375">
        <v>74.5</v>
      </c>
      <c r="F375">
        <v>9520</v>
      </c>
      <c r="G375">
        <v>10475</v>
      </c>
      <c r="H375">
        <v>7.077964696535286</v>
      </c>
      <c r="I375">
        <v>26900</v>
      </c>
      <c r="J375">
        <v>901.8</v>
      </c>
      <c r="L375" s="19">
        <v>203.63684891699299</v>
      </c>
      <c r="M375">
        <v>1680.5</v>
      </c>
      <c r="U375">
        <v>35.102500000000006</v>
      </c>
    </row>
    <row r="376" spans="1:21" x14ac:dyDescent="0.2">
      <c r="A376" s="1">
        <v>33177</v>
      </c>
      <c r="C376">
        <v>74.400000000000006</v>
      </c>
      <c r="F376">
        <v>9349</v>
      </c>
      <c r="G376">
        <v>10437</v>
      </c>
      <c r="H376">
        <v>7.1853183106380039</v>
      </c>
      <c r="I376">
        <v>26855</v>
      </c>
      <c r="J376">
        <v>898.8</v>
      </c>
      <c r="L376" s="19">
        <v>204.66917887306499</v>
      </c>
      <c r="M376">
        <v>1725.9</v>
      </c>
      <c r="U376">
        <v>36.065217391304344</v>
      </c>
    </row>
    <row r="377" spans="1:21" x14ac:dyDescent="0.2">
      <c r="A377" s="1">
        <v>33207</v>
      </c>
      <c r="C377">
        <v>74</v>
      </c>
      <c r="F377">
        <v>9412</v>
      </c>
      <c r="G377">
        <v>10481</v>
      </c>
      <c r="H377">
        <v>7.313278008298755</v>
      </c>
      <c r="I377">
        <v>26805</v>
      </c>
      <c r="J377">
        <v>895.8</v>
      </c>
      <c r="L377" s="19">
        <v>206.62365981648699</v>
      </c>
      <c r="M377">
        <v>1773.5</v>
      </c>
      <c r="U377">
        <v>33.036363636363632</v>
      </c>
    </row>
    <row r="378" spans="1:21" x14ac:dyDescent="0.2">
      <c r="A378" s="1">
        <v>33238</v>
      </c>
      <c r="C378">
        <v>73.7</v>
      </c>
      <c r="F378">
        <v>9044</v>
      </c>
      <c r="G378">
        <v>10008</v>
      </c>
      <c r="H378">
        <v>7.4650615746506155</v>
      </c>
      <c r="I378">
        <v>26750</v>
      </c>
      <c r="J378">
        <v>892.4</v>
      </c>
      <c r="L378" s="19">
        <v>208.96317010342901</v>
      </c>
      <c r="M378">
        <v>1846.5</v>
      </c>
      <c r="U378">
        <v>27.883333333333336</v>
      </c>
    </row>
    <row r="379" spans="1:21" x14ac:dyDescent="0.2">
      <c r="A379" s="1">
        <v>33269</v>
      </c>
      <c r="C379">
        <v>73.5</v>
      </c>
      <c r="F379">
        <v>9082</v>
      </c>
      <c r="G379">
        <v>10348</v>
      </c>
      <c r="H379">
        <v>7.6036148332813962</v>
      </c>
      <c r="I379">
        <v>26685</v>
      </c>
      <c r="J379">
        <v>889</v>
      </c>
      <c r="L379" s="19">
        <v>209.01155405720499</v>
      </c>
      <c r="M379">
        <v>1871.1</v>
      </c>
      <c r="U379">
        <v>23.986956521739128</v>
      </c>
    </row>
    <row r="380" spans="1:21" x14ac:dyDescent="0.2">
      <c r="A380" s="1">
        <v>33297</v>
      </c>
      <c r="C380">
        <v>73.5</v>
      </c>
      <c r="F380">
        <v>9000</v>
      </c>
      <c r="G380">
        <v>9717</v>
      </c>
      <c r="H380">
        <v>7.7757372050313593</v>
      </c>
      <c r="I380">
        <v>26615</v>
      </c>
      <c r="J380">
        <v>885.2</v>
      </c>
      <c r="L380" s="19">
        <v>210.19807444592999</v>
      </c>
      <c r="M380">
        <v>1960.9</v>
      </c>
      <c r="U380">
        <v>19.365000000000002</v>
      </c>
    </row>
    <row r="381" spans="1:21" x14ac:dyDescent="0.2">
      <c r="A381" s="1">
        <v>33328</v>
      </c>
      <c r="C381">
        <v>72.7</v>
      </c>
      <c r="F381">
        <v>9093</v>
      </c>
      <c r="G381">
        <v>10065</v>
      </c>
      <c r="H381">
        <v>7.9969482591205434</v>
      </c>
      <c r="I381">
        <v>26530</v>
      </c>
      <c r="J381">
        <v>881.4</v>
      </c>
      <c r="L381" s="19">
        <v>208.15086403113401</v>
      </c>
      <c r="M381">
        <v>2079.6</v>
      </c>
      <c r="U381">
        <v>18.938095238095237</v>
      </c>
    </row>
    <row r="382" spans="1:21" x14ac:dyDescent="0.2">
      <c r="A382" s="1">
        <v>33358</v>
      </c>
      <c r="C382">
        <v>71.7</v>
      </c>
      <c r="F382">
        <v>9246</v>
      </c>
      <c r="G382">
        <v>9840</v>
      </c>
      <c r="H382">
        <v>8.2489246565838776</v>
      </c>
      <c r="I382">
        <v>26450</v>
      </c>
      <c r="J382">
        <v>877.6</v>
      </c>
      <c r="L382" s="19">
        <v>212.59806721889399</v>
      </c>
      <c r="M382">
        <v>2143.6</v>
      </c>
      <c r="U382">
        <v>19.181818181818183</v>
      </c>
    </row>
    <row r="383" spans="1:21" x14ac:dyDescent="0.2">
      <c r="A383" s="1">
        <v>33389</v>
      </c>
      <c r="C383">
        <v>72.599999999999994</v>
      </c>
      <c r="F383">
        <v>9174</v>
      </c>
      <c r="G383">
        <v>9990</v>
      </c>
      <c r="H383">
        <v>8.4771062588954074</v>
      </c>
      <c r="I383">
        <v>26365</v>
      </c>
      <c r="J383">
        <v>873.8</v>
      </c>
      <c r="L383" s="19">
        <v>214.201469659704</v>
      </c>
      <c r="M383">
        <v>2205.9</v>
      </c>
      <c r="U383">
        <v>19.091304347826089</v>
      </c>
    </row>
    <row r="384" spans="1:21" x14ac:dyDescent="0.2">
      <c r="A384" s="1">
        <v>33419</v>
      </c>
      <c r="C384">
        <v>72.8</v>
      </c>
      <c r="F384">
        <v>9720</v>
      </c>
      <c r="G384">
        <v>10023</v>
      </c>
      <c r="H384">
        <v>8.6627037925400625</v>
      </c>
      <c r="I384">
        <v>26275</v>
      </c>
      <c r="J384">
        <v>869.8</v>
      </c>
      <c r="L384" s="19">
        <v>214.759071493698</v>
      </c>
      <c r="M384">
        <v>2274.6999999999998</v>
      </c>
      <c r="U384">
        <v>18.0915</v>
      </c>
    </row>
    <row r="385" spans="1:21" x14ac:dyDescent="0.2">
      <c r="A385" s="1">
        <v>33450</v>
      </c>
      <c r="C385">
        <v>72.2</v>
      </c>
      <c r="F385">
        <v>9474</v>
      </c>
      <c r="G385">
        <v>9820</v>
      </c>
      <c r="H385">
        <v>8.8409328228332758</v>
      </c>
      <c r="I385">
        <v>26190</v>
      </c>
      <c r="J385">
        <v>866.1</v>
      </c>
      <c r="L385" s="19">
        <v>216.04964582162</v>
      </c>
      <c r="M385">
        <v>2341.3000000000002</v>
      </c>
      <c r="U385">
        <v>19.430434782608696</v>
      </c>
    </row>
    <row r="386" spans="1:21" x14ac:dyDescent="0.2">
      <c r="A386" s="1">
        <v>33481</v>
      </c>
      <c r="C386">
        <v>71.400000000000006</v>
      </c>
      <c r="F386">
        <v>9687</v>
      </c>
      <c r="G386">
        <v>10228</v>
      </c>
      <c r="H386">
        <v>9.0101080515859184</v>
      </c>
      <c r="I386">
        <v>26105</v>
      </c>
      <c r="J386">
        <v>862.6</v>
      </c>
      <c r="L386" s="19">
        <v>218.55710909859599</v>
      </c>
      <c r="M386">
        <v>2391.3000000000002</v>
      </c>
      <c r="U386">
        <v>19.768181818181816</v>
      </c>
    </row>
    <row r="387" spans="1:21" x14ac:dyDescent="0.2">
      <c r="A387" s="1">
        <v>33511</v>
      </c>
      <c r="C387">
        <v>71.5</v>
      </c>
      <c r="F387">
        <v>9341</v>
      </c>
      <c r="G387">
        <v>10225</v>
      </c>
      <c r="H387">
        <v>9.1591329540298094</v>
      </c>
      <c r="I387">
        <v>26025</v>
      </c>
      <c r="J387">
        <v>859.5</v>
      </c>
      <c r="L387" s="19">
        <v>219.95467381626099</v>
      </c>
      <c r="M387">
        <v>2434.9</v>
      </c>
      <c r="U387">
        <v>20.547619047619044</v>
      </c>
    </row>
    <row r="388" spans="1:21" x14ac:dyDescent="0.2">
      <c r="A388" s="1">
        <v>33542</v>
      </c>
      <c r="C388">
        <v>72.400000000000006</v>
      </c>
      <c r="F388">
        <v>9273</v>
      </c>
      <c r="G388">
        <v>10078</v>
      </c>
      <c r="H388">
        <v>9.270458279442094</v>
      </c>
      <c r="I388">
        <v>25955</v>
      </c>
      <c r="J388">
        <v>856.9</v>
      </c>
      <c r="L388" s="19">
        <v>220.53963986984999</v>
      </c>
      <c r="M388">
        <v>2470.1</v>
      </c>
      <c r="U388">
        <v>22.234782608695649</v>
      </c>
    </row>
    <row r="389" spans="1:21" x14ac:dyDescent="0.2">
      <c r="A389" s="1">
        <v>33572</v>
      </c>
      <c r="C389">
        <v>72.599999999999994</v>
      </c>
      <c r="F389">
        <v>9311</v>
      </c>
      <c r="G389">
        <v>10213</v>
      </c>
      <c r="H389">
        <v>9.3662464985994394</v>
      </c>
      <c r="I389">
        <v>25885</v>
      </c>
      <c r="J389">
        <v>854.2</v>
      </c>
      <c r="L389" s="19">
        <v>222.27390484369101</v>
      </c>
      <c r="M389">
        <v>2504.8000000000002</v>
      </c>
      <c r="U389">
        <v>21.0547619047619</v>
      </c>
    </row>
    <row r="390" spans="1:21" x14ac:dyDescent="0.2">
      <c r="A390" s="1">
        <v>33603</v>
      </c>
      <c r="C390">
        <v>72.3</v>
      </c>
      <c r="F390">
        <v>9704</v>
      </c>
      <c r="G390">
        <v>10378</v>
      </c>
      <c r="H390">
        <v>9.457516569064067</v>
      </c>
      <c r="I390">
        <v>25820</v>
      </c>
      <c r="J390">
        <v>851.9</v>
      </c>
      <c r="L390" s="19">
        <v>221.57666078244301</v>
      </c>
      <c r="M390">
        <v>2535.9</v>
      </c>
      <c r="U390">
        <v>18.270454545454541</v>
      </c>
    </row>
    <row r="391" spans="1:21" x14ac:dyDescent="0.2">
      <c r="A391" s="1">
        <v>33634</v>
      </c>
      <c r="C391">
        <v>72.3</v>
      </c>
      <c r="F391">
        <v>9009</v>
      </c>
      <c r="G391">
        <v>10018</v>
      </c>
      <c r="H391">
        <v>9.526483906069009</v>
      </c>
      <c r="I391">
        <v>25775</v>
      </c>
      <c r="J391">
        <v>850.1</v>
      </c>
      <c r="L391" s="19">
        <v>224.34624683807201</v>
      </c>
      <c r="M391">
        <v>2564.4</v>
      </c>
      <c r="U391">
        <v>18.171739130434784</v>
      </c>
    </row>
    <row r="392" spans="1:21" x14ac:dyDescent="0.2">
      <c r="A392" s="1">
        <v>33663</v>
      </c>
      <c r="C392">
        <v>72.7</v>
      </c>
      <c r="F392">
        <v>9618</v>
      </c>
      <c r="G392">
        <v>10609</v>
      </c>
      <c r="H392">
        <v>9.6049165935030736</v>
      </c>
      <c r="I392">
        <v>25740</v>
      </c>
      <c r="J392">
        <v>848.8</v>
      </c>
      <c r="L392" s="19">
        <v>225.82900734095099</v>
      </c>
      <c r="M392">
        <v>2609.1</v>
      </c>
      <c r="U392">
        <v>18.0975</v>
      </c>
    </row>
    <row r="393" spans="1:21" x14ac:dyDescent="0.2">
      <c r="A393" s="1">
        <v>33694</v>
      </c>
      <c r="C393">
        <v>72.400000000000006</v>
      </c>
      <c r="F393">
        <v>9590</v>
      </c>
      <c r="G393">
        <v>10347</v>
      </c>
      <c r="H393">
        <v>9.7007586400674342</v>
      </c>
      <c r="I393">
        <v>25710</v>
      </c>
      <c r="J393">
        <v>847.2</v>
      </c>
      <c r="L393" s="19">
        <v>226.537512126259</v>
      </c>
      <c r="M393">
        <v>2636.1</v>
      </c>
      <c r="U393">
        <v>17.570454545454542</v>
      </c>
    </row>
    <row r="394" spans="1:21" x14ac:dyDescent="0.2">
      <c r="A394" s="1">
        <v>33724</v>
      </c>
      <c r="C394">
        <v>72.900000000000006</v>
      </c>
      <c r="F394">
        <v>9462</v>
      </c>
      <c r="G394">
        <v>10783</v>
      </c>
      <c r="H394">
        <v>9.7727192890012997</v>
      </c>
      <c r="I394">
        <v>25685</v>
      </c>
      <c r="J394">
        <v>846.9</v>
      </c>
      <c r="L394" s="19">
        <v>225.67135980875699</v>
      </c>
      <c r="M394">
        <v>2665</v>
      </c>
      <c r="U394">
        <v>18.977272727272727</v>
      </c>
    </row>
    <row r="395" spans="1:21" x14ac:dyDescent="0.2">
      <c r="A395" s="1">
        <v>33755</v>
      </c>
      <c r="C395">
        <v>71.400000000000006</v>
      </c>
      <c r="F395">
        <v>9858</v>
      </c>
      <c r="G395">
        <v>10915</v>
      </c>
      <c r="H395">
        <v>9.8339898705683737</v>
      </c>
      <c r="I395">
        <v>25636</v>
      </c>
      <c r="J395">
        <v>847.2</v>
      </c>
      <c r="L395" s="19">
        <v>226.907423071023</v>
      </c>
      <c r="M395">
        <v>2696.7</v>
      </c>
      <c r="U395">
        <v>19.897619047619049</v>
      </c>
    </row>
    <row r="396" spans="1:21" x14ac:dyDescent="0.2">
      <c r="A396" s="1">
        <v>33785</v>
      </c>
      <c r="C396">
        <v>72.099999999999994</v>
      </c>
      <c r="F396">
        <v>9467</v>
      </c>
      <c r="G396">
        <v>10670</v>
      </c>
      <c r="H396">
        <v>9.7843703755901625</v>
      </c>
      <c r="I396">
        <v>25605</v>
      </c>
      <c r="J396">
        <v>847.6</v>
      </c>
      <c r="L396" s="19">
        <v>228.08010985601399</v>
      </c>
      <c r="M396">
        <v>2711.1</v>
      </c>
      <c r="U396">
        <v>21.118181818181821</v>
      </c>
    </row>
    <row r="397" spans="1:21" x14ac:dyDescent="0.2">
      <c r="A397" s="1">
        <v>33816</v>
      </c>
      <c r="C397">
        <v>72.8</v>
      </c>
      <c r="F397">
        <v>9505</v>
      </c>
      <c r="G397">
        <v>10868</v>
      </c>
      <c r="H397">
        <v>9.8888692891162471</v>
      </c>
      <c r="I397">
        <v>25542</v>
      </c>
      <c r="J397">
        <v>843.5</v>
      </c>
      <c r="L397" s="19">
        <v>228.90060768299099</v>
      </c>
      <c r="M397">
        <v>2733.2</v>
      </c>
      <c r="U397">
        <v>20.247826086956522</v>
      </c>
    </row>
    <row r="398" spans="1:21" x14ac:dyDescent="0.2">
      <c r="A398" s="1">
        <v>33847</v>
      </c>
      <c r="C398">
        <v>72.7</v>
      </c>
      <c r="F398">
        <v>9493</v>
      </c>
      <c r="G398">
        <v>10915</v>
      </c>
      <c r="H398">
        <v>9.9361349281958997</v>
      </c>
      <c r="I398">
        <v>25525</v>
      </c>
      <c r="J398">
        <v>841.4</v>
      </c>
      <c r="L398" s="19">
        <v>230.08424255385299</v>
      </c>
      <c r="M398">
        <v>2777.7</v>
      </c>
      <c r="U398">
        <v>19.735714285714288</v>
      </c>
    </row>
    <row r="399" spans="1:21" x14ac:dyDescent="0.2">
      <c r="A399" s="1">
        <v>33877</v>
      </c>
      <c r="C399">
        <v>73.2</v>
      </c>
      <c r="F399">
        <v>9520</v>
      </c>
      <c r="G399">
        <v>10711</v>
      </c>
      <c r="H399">
        <v>9.9385679988702158</v>
      </c>
      <c r="I399">
        <v>25509</v>
      </c>
      <c r="J399">
        <v>840.4</v>
      </c>
      <c r="L399" s="19">
        <v>230.85464884829599</v>
      </c>
      <c r="M399">
        <v>2807.7</v>
      </c>
      <c r="U399">
        <v>20.252272727272722</v>
      </c>
    </row>
    <row r="400" spans="1:21" x14ac:dyDescent="0.2">
      <c r="A400" s="1">
        <v>33908</v>
      </c>
      <c r="C400">
        <v>74</v>
      </c>
      <c r="F400">
        <v>9797</v>
      </c>
      <c r="G400">
        <v>10922</v>
      </c>
      <c r="H400">
        <v>10.069248162803843</v>
      </c>
      <c r="I400">
        <v>25454</v>
      </c>
      <c r="J400">
        <v>837.7</v>
      </c>
      <c r="L400" s="19">
        <v>232.42896395104501</v>
      </c>
      <c r="M400">
        <v>2848.4</v>
      </c>
      <c r="U400">
        <v>20.26227272727273</v>
      </c>
    </row>
    <row r="401" spans="1:21" x14ac:dyDescent="0.2">
      <c r="A401" s="1">
        <v>33938</v>
      </c>
      <c r="C401">
        <v>73</v>
      </c>
      <c r="F401">
        <v>9912</v>
      </c>
      <c r="G401">
        <v>10925</v>
      </c>
      <c r="H401">
        <v>10.242006712594948</v>
      </c>
      <c r="I401">
        <v>25406</v>
      </c>
      <c r="J401">
        <v>837.2</v>
      </c>
      <c r="L401" s="19">
        <v>231.42310634309601</v>
      </c>
      <c r="M401">
        <v>2888.9</v>
      </c>
      <c r="U401">
        <v>19.19285714285714</v>
      </c>
    </row>
    <row r="402" spans="1:21" x14ac:dyDescent="0.2">
      <c r="A402" s="1">
        <v>33969</v>
      </c>
      <c r="C402">
        <v>72.900000000000006</v>
      </c>
      <c r="F402">
        <v>9637</v>
      </c>
      <c r="G402">
        <v>11190</v>
      </c>
      <c r="H402">
        <v>10.372152256969011</v>
      </c>
      <c r="I402">
        <v>25336</v>
      </c>
      <c r="J402">
        <v>832.8</v>
      </c>
      <c r="L402" s="19">
        <v>231.974765212503</v>
      </c>
      <c r="M402">
        <v>2960.3</v>
      </c>
      <c r="U402">
        <v>18.14130434782609</v>
      </c>
    </row>
    <row r="403" spans="1:21" x14ac:dyDescent="0.2">
      <c r="A403" s="1">
        <v>34000</v>
      </c>
      <c r="C403">
        <v>73</v>
      </c>
      <c r="F403">
        <v>9703</v>
      </c>
      <c r="G403">
        <v>11108</v>
      </c>
      <c r="H403">
        <v>10.546598783764672</v>
      </c>
      <c r="I403">
        <v>25301</v>
      </c>
      <c r="J403">
        <v>834.1</v>
      </c>
      <c r="L403" s="19">
        <v>232.77249386235999</v>
      </c>
      <c r="M403">
        <v>2937.5</v>
      </c>
      <c r="U403">
        <v>17.391904761904762</v>
      </c>
    </row>
    <row r="404" spans="1:21" x14ac:dyDescent="0.2">
      <c r="A404" s="1">
        <v>34028</v>
      </c>
      <c r="C404">
        <v>74</v>
      </c>
      <c r="F404">
        <v>10064</v>
      </c>
      <c r="G404">
        <v>11406</v>
      </c>
      <c r="H404">
        <v>10.683111283881683</v>
      </c>
      <c r="I404">
        <v>25274</v>
      </c>
      <c r="J404">
        <v>832.9</v>
      </c>
      <c r="L404" s="19">
        <v>233.172561962922</v>
      </c>
      <c r="M404">
        <v>2930.6</v>
      </c>
      <c r="U404">
        <v>18.440000000000005</v>
      </c>
    </row>
    <row r="405" spans="1:21" x14ac:dyDescent="0.2">
      <c r="A405" s="1">
        <v>34059</v>
      </c>
      <c r="C405">
        <v>73.400000000000006</v>
      </c>
      <c r="F405">
        <v>9924</v>
      </c>
      <c r="G405">
        <v>11044</v>
      </c>
      <c r="H405">
        <v>10.620094746517712</v>
      </c>
      <c r="I405">
        <v>25282</v>
      </c>
      <c r="J405">
        <v>832.3</v>
      </c>
      <c r="L405" s="19">
        <v>230.611428679662</v>
      </c>
      <c r="M405">
        <v>2923.1</v>
      </c>
      <c r="U405">
        <v>18.75826086956522</v>
      </c>
    </row>
    <row r="406" spans="1:21" x14ac:dyDescent="0.2">
      <c r="A406" s="1">
        <v>34089</v>
      </c>
      <c r="C406">
        <v>73.5</v>
      </c>
      <c r="F406">
        <v>9626</v>
      </c>
      <c r="G406">
        <v>10917</v>
      </c>
      <c r="H406">
        <v>10.578488989591447</v>
      </c>
      <c r="I406">
        <v>25258</v>
      </c>
      <c r="J406">
        <v>829.6</v>
      </c>
      <c r="L406" s="19">
        <v>233.709254091053</v>
      </c>
      <c r="M406">
        <v>2925.5</v>
      </c>
      <c r="U406">
        <v>18.642727272727271</v>
      </c>
    </row>
    <row r="407" spans="1:21" x14ac:dyDescent="0.2">
      <c r="A407" s="1">
        <v>34120</v>
      </c>
      <c r="C407">
        <v>74</v>
      </c>
      <c r="F407">
        <v>9809</v>
      </c>
      <c r="G407">
        <v>10693</v>
      </c>
      <c r="H407">
        <v>10.45399815850981</v>
      </c>
      <c r="I407">
        <v>25286</v>
      </c>
      <c r="J407">
        <v>830.4</v>
      </c>
      <c r="L407" s="19">
        <v>234.735762975781</v>
      </c>
      <c r="M407">
        <v>2909.4</v>
      </c>
      <c r="U407">
        <v>18.479047619047613</v>
      </c>
    </row>
    <row r="408" spans="1:21" x14ac:dyDescent="0.2">
      <c r="A408" s="1">
        <v>34150</v>
      </c>
      <c r="C408">
        <v>73.599999999999994</v>
      </c>
      <c r="F408">
        <v>10045</v>
      </c>
      <c r="G408">
        <v>11134</v>
      </c>
      <c r="H408">
        <v>10.384778911564625</v>
      </c>
      <c r="I408">
        <v>25293</v>
      </c>
      <c r="J408">
        <v>832.6</v>
      </c>
      <c r="L408" s="19">
        <v>234.69717471373701</v>
      </c>
      <c r="M408">
        <v>2901.8</v>
      </c>
      <c r="U408">
        <v>17.594545454545457</v>
      </c>
    </row>
    <row r="409" spans="1:21" x14ac:dyDescent="0.2">
      <c r="A409" s="1">
        <v>34181</v>
      </c>
      <c r="C409">
        <v>74.2</v>
      </c>
      <c r="F409">
        <v>9732</v>
      </c>
      <c r="G409">
        <v>11134</v>
      </c>
      <c r="H409">
        <v>10.372076541459958</v>
      </c>
      <c r="I409">
        <v>25293</v>
      </c>
      <c r="J409">
        <v>834.1</v>
      </c>
      <c r="L409" s="19">
        <v>236.33979072264501</v>
      </c>
      <c r="M409">
        <v>2878.1</v>
      </c>
      <c r="U409">
        <v>16.774090909090908</v>
      </c>
    </row>
    <row r="410" spans="1:21" x14ac:dyDescent="0.2">
      <c r="A410" s="1">
        <v>34212</v>
      </c>
      <c r="C410">
        <v>74.400000000000006</v>
      </c>
      <c r="F410">
        <v>9962</v>
      </c>
      <c r="G410">
        <v>10783</v>
      </c>
      <c r="H410">
        <v>10.310814646608005</v>
      </c>
      <c r="I410">
        <v>25278</v>
      </c>
      <c r="J410">
        <v>833.5</v>
      </c>
      <c r="L410" s="19">
        <v>236.47122516094899</v>
      </c>
      <c r="M410">
        <v>2874.8</v>
      </c>
      <c r="U410">
        <v>16.723181818181818</v>
      </c>
    </row>
    <row r="411" spans="1:21" x14ac:dyDescent="0.2">
      <c r="A411" s="1">
        <v>34242</v>
      </c>
      <c r="C411">
        <v>74.7</v>
      </c>
      <c r="F411">
        <v>10032</v>
      </c>
      <c r="G411">
        <v>11483</v>
      </c>
      <c r="H411">
        <v>10.246046940367298</v>
      </c>
      <c r="I411">
        <v>25316</v>
      </c>
      <c r="J411">
        <v>832.4</v>
      </c>
      <c r="L411" s="19">
        <v>237.02547789765299</v>
      </c>
      <c r="M411">
        <v>2855.9</v>
      </c>
      <c r="U411">
        <v>16.021363636363638</v>
      </c>
    </row>
    <row r="412" spans="1:21" x14ac:dyDescent="0.2">
      <c r="A412" s="1">
        <v>34273</v>
      </c>
      <c r="C412">
        <v>74.900000000000006</v>
      </c>
      <c r="F412">
        <v>10193</v>
      </c>
      <c r="G412">
        <v>11293</v>
      </c>
      <c r="H412">
        <v>10.250957039557635</v>
      </c>
      <c r="I412">
        <v>25320</v>
      </c>
      <c r="J412">
        <v>832.6</v>
      </c>
      <c r="L412" s="19">
        <v>237.55741146815399</v>
      </c>
      <c r="M412">
        <v>2823.9</v>
      </c>
      <c r="U412">
        <v>16.540476190476191</v>
      </c>
    </row>
    <row r="413" spans="1:21" x14ac:dyDescent="0.2">
      <c r="A413" s="1">
        <v>34303</v>
      </c>
      <c r="C413">
        <v>75.599999999999994</v>
      </c>
      <c r="F413">
        <v>9911</v>
      </c>
      <c r="G413">
        <v>11219</v>
      </c>
      <c r="H413">
        <v>10.229045525457382</v>
      </c>
      <c r="I413">
        <v>25319</v>
      </c>
      <c r="J413">
        <v>826.4</v>
      </c>
      <c r="L413" s="19">
        <v>238.976741129705</v>
      </c>
      <c r="M413">
        <v>2794.3</v>
      </c>
      <c r="U413">
        <v>15.101363636363637</v>
      </c>
    </row>
    <row r="414" spans="1:21" x14ac:dyDescent="0.2">
      <c r="A414" s="1">
        <v>34334</v>
      </c>
      <c r="C414">
        <v>75.8</v>
      </c>
      <c r="F414">
        <v>10228</v>
      </c>
      <c r="G414">
        <v>11505</v>
      </c>
      <c r="H414">
        <v>10.250957039557635</v>
      </c>
      <c r="I414">
        <v>25320</v>
      </c>
      <c r="J414">
        <v>831.6</v>
      </c>
      <c r="L414" s="19">
        <v>238.75092061327001</v>
      </c>
      <c r="M414">
        <v>2764.8</v>
      </c>
      <c r="U414">
        <v>13.52260869565217</v>
      </c>
    </row>
    <row r="415" spans="1:21" x14ac:dyDescent="0.2">
      <c r="A415" s="1">
        <v>34365</v>
      </c>
      <c r="C415">
        <v>76.3</v>
      </c>
      <c r="F415">
        <v>10540</v>
      </c>
      <c r="G415">
        <v>11361</v>
      </c>
      <c r="H415">
        <v>10.250230382079819</v>
      </c>
      <c r="I415">
        <v>25322</v>
      </c>
      <c r="J415">
        <v>829.3</v>
      </c>
      <c r="L415" s="19">
        <v>239.967312473709</v>
      </c>
      <c r="M415">
        <v>2766</v>
      </c>
      <c r="U415">
        <v>14.271904761904764</v>
      </c>
    </row>
    <row r="416" spans="1:21" x14ac:dyDescent="0.2">
      <c r="A416" s="1">
        <v>34393</v>
      </c>
      <c r="C416">
        <v>76.5</v>
      </c>
      <c r="F416">
        <v>10580</v>
      </c>
      <c r="G416">
        <v>11457</v>
      </c>
      <c r="H416">
        <v>10.086148828305031</v>
      </c>
      <c r="I416">
        <v>25362</v>
      </c>
      <c r="J416">
        <v>836.8</v>
      </c>
      <c r="L416" s="19">
        <v>242.152659380328</v>
      </c>
      <c r="M416">
        <v>2734.2</v>
      </c>
      <c r="U416">
        <v>13.755999999999997</v>
      </c>
    </row>
    <row r="417" spans="1:21" x14ac:dyDescent="0.2">
      <c r="A417" s="1">
        <v>34424</v>
      </c>
      <c r="C417">
        <v>76.8</v>
      </c>
      <c r="F417">
        <v>10671</v>
      </c>
      <c r="G417">
        <v>11675</v>
      </c>
      <c r="H417">
        <v>9.9454171687814554</v>
      </c>
      <c r="I417">
        <v>25408</v>
      </c>
      <c r="J417">
        <v>837.1</v>
      </c>
      <c r="L417" s="19">
        <v>241.03294340915701</v>
      </c>
      <c r="M417">
        <v>2712</v>
      </c>
      <c r="U417">
        <v>13.892173913043477</v>
      </c>
    </row>
    <row r="418" spans="1:21" x14ac:dyDescent="0.2">
      <c r="A418" s="1">
        <v>34454</v>
      </c>
      <c r="C418">
        <v>77.8</v>
      </c>
      <c r="F418">
        <v>10655</v>
      </c>
      <c r="G418">
        <v>11465</v>
      </c>
      <c r="H418">
        <v>9.8121899362154501</v>
      </c>
      <c r="I418">
        <v>25451</v>
      </c>
      <c r="J418">
        <v>842.1</v>
      </c>
      <c r="L418" s="19">
        <v>240.695827392984</v>
      </c>
      <c r="M418">
        <v>2676.3</v>
      </c>
      <c r="U418">
        <v>15.095238095238098</v>
      </c>
    </row>
    <row r="419" spans="1:21" x14ac:dyDescent="0.2">
      <c r="A419" s="1">
        <v>34485</v>
      </c>
      <c r="C419">
        <v>78.8</v>
      </c>
      <c r="F419">
        <v>10468</v>
      </c>
      <c r="G419">
        <v>11690</v>
      </c>
      <c r="H419">
        <v>9.7500443183832655</v>
      </c>
      <c r="I419">
        <v>25455</v>
      </c>
      <c r="J419">
        <v>840.4</v>
      </c>
      <c r="L419" s="19">
        <v>243.259426270739</v>
      </c>
      <c r="M419">
        <v>2652.6</v>
      </c>
      <c r="U419">
        <v>16.204545454545453</v>
      </c>
    </row>
    <row r="420" spans="1:21" x14ac:dyDescent="0.2">
      <c r="A420" s="1">
        <v>34515</v>
      </c>
      <c r="C420">
        <v>77.900000000000006</v>
      </c>
      <c r="F420">
        <v>11118</v>
      </c>
      <c r="G420">
        <v>11560</v>
      </c>
      <c r="H420">
        <v>9.7066023344094798</v>
      </c>
      <c r="I420">
        <v>25451</v>
      </c>
      <c r="J420">
        <v>839.2</v>
      </c>
      <c r="L420" s="19">
        <v>243.94549158915399</v>
      </c>
      <c r="M420">
        <v>2624.9</v>
      </c>
      <c r="U420">
        <v>16.782727272727271</v>
      </c>
    </row>
    <row r="421" spans="1:21" x14ac:dyDescent="0.2">
      <c r="A421" s="1">
        <v>34546</v>
      </c>
      <c r="C421">
        <v>78.3</v>
      </c>
      <c r="F421">
        <v>10652</v>
      </c>
      <c r="G421">
        <v>11514</v>
      </c>
      <c r="H421">
        <v>9.5850607703483224</v>
      </c>
      <c r="I421">
        <v>25516</v>
      </c>
      <c r="J421">
        <v>841.1</v>
      </c>
      <c r="L421" s="19">
        <v>244.777392208381</v>
      </c>
      <c r="M421">
        <v>2593.5</v>
      </c>
      <c r="U421">
        <v>17.604761904761904</v>
      </c>
    </row>
    <row r="422" spans="1:21" x14ac:dyDescent="0.2">
      <c r="A422" s="1">
        <v>34577</v>
      </c>
      <c r="C422">
        <v>78.599999999999994</v>
      </c>
      <c r="F422">
        <v>11152</v>
      </c>
      <c r="G422">
        <v>11317</v>
      </c>
      <c r="H422">
        <v>9.5398468519568915</v>
      </c>
      <c r="I422">
        <v>25517</v>
      </c>
      <c r="J422">
        <v>843.9</v>
      </c>
      <c r="L422" s="19">
        <v>245.570765656573</v>
      </c>
      <c r="M422">
        <v>2553.1999999999998</v>
      </c>
      <c r="U422">
        <v>16.727826086956519</v>
      </c>
    </row>
    <row r="423" spans="1:21" x14ac:dyDescent="0.2">
      <c r="A423" s="1">
        <v>34607</v>
      </c>
      <c r="C423">
        <v>79.3</v>
      </c>
      <c r="F423">
        <v>11026</v>
      </c>
      <c r="G423">
        <v>11575</v>
      </c>
      <c r="H423">
        <v>9.3588197744520887</v>
      </c>
      <c r="I423">
        <v>25559</v>
      </c>
      <c r="J423">
        <v>846.3</v>
      </c>
      <c r="L423" s="19">
        <v>245.772980459038</v>
      </c>
      <c r="M423">
        <v>2524.5</v>
      </c>
      <c r="U423">
        <v>15.830000000000002</v>
      </c>
    </row>
    <row r="424" spans="1:21" x14ac:dyDescent="0.2">
      <c r="A424" s="1">
        <v>34638</v>
      </c>
      <c r="C424">
        <v>79.5</v>
      </c>
      <c r="F424">
        <v>11143</v>
      </c>
      <c r="G424">
        <v>11749</v>
      </c>
      <c r="H424">
        <v>9.2584046292023139</v>
      </c>
      <c r="I424">
        <v>25561</v>
      </c>
      <c r="J424">
        <v>846.4</v>
      </c>
      <c r="L424" s="19">
        <v>247.28117655662501</v>
      </c>
      <c r="M424">
        <v>2484.9</v>
      </c>
      <c r="U424">
        <v>16.457142857142859</v>
      </c>
    </row>
    <row r="425" spans="1:21" x14ac:dyDescent="0.2">
      <c r="A425" s="1">
        <v>34668</v>
      </c>
      <c r="C425">
        <v>79.400000000000006</v>
      </c>
      <c r="F425">
        <v>11788</v>
      </c>
      <c r="G425">
        <v>12016</v>
      </c>
      <c r="H425">
        <v>9.0799289520426285</v>
      </c>
      <c r="I425">
        <v>25594</v>
      </c>
      <c r="J425">
        <v>847.1</v>
      </c>
      <c r="L425" s="19">
        <v>247.67617544886599</v>
      </c>
      <c r="M425">
        <v>2453.5</v>
      </c>
      <c r="U425">
        <v>17.217272727272729</v>
      </c>
    </row>
    <row r="426" spans="1:21" x14ac:dyDescent="0.2">
      <c r="A426" s="1">
        <v>34699</v>
      </c>
      <c r="C426">
        <v>80.2</v>
      </c>
      <c r="F426">
        <v>11272</v>
      </c>
      <c r="G426">
        <v>12228</v>
      </c>
      <c r="H426">
        <v>8.9648305536787447</v>
      </c>
      <c r="I426">
        <v>25600</v>
      </c>
      <c r="J426">
        <v>853</v>
      </c>
      <c r="L426" s="19">
        <v>249.18369826761901</v>
      </c>
      <c r="M426">
        <v>2407.4</v>
      </c>
      <c r="U426">
        <v>15.855454545454551</v>
      </c>
    </row>
    <row r="427" spans="1:21" x14ac:dyDescent="0.2">
      <c r="A427" s="1">
        <v>34730</v>
      </c>
      <c r="C427">
        <v>78.8</v>
      </c>
      <c r="D427" s="7"/>
      <c r="F427">
        <v>11589</v>
      </c>
      <c r="G427">
        <v>11737</v>
      </c>
      <c r="H427">
        <v>8.8924501424501425</v>
      </c>
      <c r="I427">
        <v>25583</v>
      </c>
      <c r="J427">
        <v>854.5</v>
      </c>
      <c r="L427" s="19">
        <v>249.23628848145</v>
      </c>
      <c r="M427">
        <v>2387.3000000000002</v>
      </c>
      <c r="U427">
        <v>16.569545454545459</v>
      </c>
    </row>
    <row r="428" spans="1:21" x14ac:dyDescent="0.2">
      <c r="A428" s="1">
        <v>34758</v>
      </c>
      <c r="C428">
        <v>78.900000000000006</v>
      </c>
      <c r="D428" s="7"/>
      <c r="F428">
        <v>11657</v>
      </c>
      <c r="G428">
        <v>11794</v>
      </c>
      <c r="H428">
        <v>8.8718276818084885</v>
      </c>
      <c r="I428">
        <v>25638</v>
      </c>
      <c r="J428">
        <v>853.5</v>
      </c>
      <c r="L428" s="19">
        <v>250.12922335209299</v>
      </c>
      <c r="M428">
        <v>2358.6</v>
      </c>
      <c r="U428">
        <v>17.102499999999996</v>
      </c>
    </row>
    <row r="429" spans="1:21" x14ac:dyDescent="0.2">
      <c r="A429" s="1">
        <v>34789</v>
      </c>
      <c r="C429">
        <v>79.2</v>
      </c>
      <c r="D429" s="7"/>
      <c r="F429">
        <v>12032</v>
      </c>
      <c r="G429">
        <v>12036</v>
      </c>
      <c r="H429">
        <v>8.8649838463450141</v>
      </c>
      <c r="I429">
        <v>25670</v>
      </c>
      <c r="J429">
        <v>852.4</v>
      </c>
      <c r="L429" s="19">
        <v>250.998269161195</v>
      </c>
      <c r="M429">
        <v>2341.9</v>
      </c>
      <c r="U429">
        <v>17.002608695652174</v>
      </c>
    </row>
    <row r="430" spans="1:21" x14ac:dyDescent="0.2">
      <c r="A430" s="1">
        <v>34819</v>
      </c>
      <c r="C430">
        <v>79.8</v>
      </c>
      <c r="D430" s="7"/>
      <c r="F430">
        <v>11431</v>
      </c>
      <c r="G430">
        <v>12087</v>
      </c>
      <c r="H430">
        <v>8.8313530767866641</v>
      </c>
      <c r="I430">
        <v>25705</v>
      </c>
      <c r="J430">
        <v>854.4</v>
      </c>
      <c r="L430" s="19">
        <v>250.654193095529</v>
      </c>
      <c r="M430">
        <v>2319.6</v>
      </c>
      <c r="U430">
        <v>18.61</v>
      </c>
    </row>
    <row r="431" spans="1:21" x14ac:dyDescent="0.2">
      <c r="A431" s="1">
        <v>34850</v>
      </c>
      <c r="C431">
        <v>79.7</v>
      </c>
      <c r="D431" s="7"/>
      <c r="F431">
        <v>11742</v>
      </c>
      <c r="G431">
        <v>12310</v>
      </c>
      <c r="H431">
        <v>8.7676380911862726</v>
      </c>
      <c r="I431">
        <v>25733</v>
      </c>
      <c r="J431">
        <v>855.9</v>
      </c>
      <c r="L431" s="19">
        <v>251.26440110431599</v>
      </c>
      <c r="M431">
        <v>2307.1</v>
      </c>
      <c r="U431">
        <v>18.315652173913044</v>
      </c>
    </row>
    <row r="432" spans="1:21" x14ac:dyDescent="0.2">
      <c r="A432" s="1">
        <v>34880</v>
      </c>
      <c r="C432">
        <v>79.2</v>
      </c>
      <c r="D432" s="7"/>
      <c r="F432">
        <v>11904</v>
      </c>
      <c r="G432">
        <v>12372</v>
      </c>
      <c r="H432">
        <v>8.6656034024455071</v>
      </c>
      <c r="I432">
        <v>25770</v>
      </c>
      <c r="J432">
        <v>854.2</v>
      </c>
      <c r="L432" s="19">
        <v>251.76532516916899</v>
      </c>
      <c r="M432">
        <v>2294</v>
      </c>
      <c r="U432">
        <v>17.332272727272727</v>
      </c>
    </row>
    <row r="433" spans="1:21" x14ac:dyDescent="0.2">
      <c r="A433" s="1">
        <v>34911</v>
      </c>
      <c r="C433">
        <v>79.7</v>
      </c>
      <c r="D433" s="7"/>
      <c r="F433">
        <v>11949</v>
      </c>
      <c r="G433">
        <v>12276</v>
      </c>
      <c r="H433">
        <v>8.6688622118346963</v>
      </c>
      <c r="I433">
        <v>25791</v>
      </c>
      <c r="J433">
        <v>855.1</v>
      </c>
      <c r="L433" s="19">
        <v>251.547032413881</v>
      </c>
      <c r="M433">
        <v>2283.5</v>
      </c>
      <c r="U433">
        <v>15.852380952380951</v>
      </c>
    </row>
    <row r="434" spans="1:21" x14ac:dyDescent="0.2">
      <c r="A434" s="1">
        <v>34942</v>
      </c>
      <c r="C434">
        <v>79.8</v>
      </c>
      <c r="D434" s="7"/>
      <c r="F434">
        <v>12198</v>
      </c>
      <c r="G434">
        <v>12668</v>
      </c>
      <c r="H434">
        <v>8.6253845881812072</v>
      </c>
      <c r="I434">
        <v>25838</v>
      </c>
      <c r="J434">
        <v>855.5</v>
      </c>
      <c r="L434" s="19">
        <v>252.171289040879</v>
      </c>
      <c r="M434">
        <v>2260.6999999999998</v>
      </c>
      <c r="U434">
        <v>16.077826086956524</v>
      </c>
    </row>
    <row r="435" spans="1:21" x14ac:dyDescent="0.2">
      <c r="A435" s="1">
        <v>34972</v>
      </c>
      <c r="C435">
        <v>80.099999999999994</v>
      </c>
      <c r="D435" s="7"/>
      <c r="F435">
        <v>12394</v>
      </c>
      <c r="G435">
        <v>12742</v>
      </c>
      <c r="H435">
        <v>8.6469486554295205</v>
      </c>
      <c r="I435">
        <v>25852</v>
      </c>
      <c r="J435">
        <v>854.9</v>
      </c>
      <c r="L435" s="19">
        <v>252.96808800708399</v>
      </c>
      <c r="M435">
        <v>2233.9</v>
      </c>
      <c r="U435">
        <v>16.70428571428571</v>
      </c>
    </row>
    <row r="436" spans="1:21" x14ac:dyDescent="0.2">
      <c r="A436" s="1">
        <v>35003</v>
      </c>
      <c r="C436">
        <v>79.8</v>
      </c>
      <c r="D436" s="7"/>
      <c r="F436">
        <v>11937</v>
      </c>
      <c r="G436">
        <v>12859</v>
      </c>
      <c r="H436">
        <v>8.6127106369449251</v>
      </c>
      <c r="I436">
        <v>25869</v>
      </c>
      <c r="J436">
        <v>854.1</v>
      </c>
      <c r="L436" s="19">
        <v>254.65983512924899</v>
      </c>
      <c r="M436">
        <v>2238.6999999999998</v>
      </c>
      <c r="U436">
        <v>16.13</v>
      </c>
    </row>
    <row r="437" spans="1:21" x14ac:dyDescent="0.2">
      <c r="A437" s="1">
        <v>35033</v>
      </c>
      <c r="C437">
        <v>80.2</v>
      </c>
      <c r="D437" s="7"/>
      <c r="F437">
        <v>12880</v>
      </c>
      <c r="G437">
        <v>12750</v>
      </c>
      <c r="H437">
        <v>8.5511443910709239</v>
      </c>
      <c r="I437">
        <v>25891</v>
      </c>
      <c r="J437">
        <v>854.7</v>
      </c>
      <c r="L437" s="19">
        <v>255.79473754704799</v>
      </c>
      <c r="M437">
        <v>2228.8000000000002</v>
      </c>
      <c r="U437">
        <v>16.85318181818182</v>
      </c>
    </row>
    <row r="438" spans="1:21" x14ac:dyDescent="0.2">
      <c r="A438" s="1">
        <v>35064</v>
      </c>
      <c r="C438">
        <v>80.7</v>
      </c>
      <c r="D438" s="7"/>
      <c r="F438">
        <v>12270</v>
      </c>
      <c r="G438">
        <v>12585</v>
      </c>
      <c r="H438">
        <v>8.3042173989765313</v>
      </c>
      <c r="I438">
        <v>25982</v>
      </c>
      <c r="J438">
        <v>859.7</v>
      </c>
      <c r="L438" s="19">
        <v>255.81255058674799</v>
      </c>
      <c r="M438">
        <v>2221.8000000000002</v>
      </c>
      <c r="U438">
        <v>18.017142857142858</v>
      </c>
    </row>
    <row r="439" spans="1:21" x14ac:dyDescent="0.2">
      <c r="A439" s="1">
        <v>35095</v>
      </c>
      <c r="C439">
        <v>80.3</v>
      </c>
      <c r="D439" s="7"/>
      <c r="F439">
        <v>12553</v>
      </c>
      <c r="G439">
        <v>13067</v>
      </c>
      <c r="H439">
        <v>8.3803412776759281</v>
      </c>
      <c r="I439">
        <v>25987</v>
      </c>
      <c r="J439">
        <v>861.8</v>
      </c>
      <c r="L439" s="19">
        <v>256.34391498247498</v>
      </c>
      <c r="M439">
        <v>2198.4</v>
      </c>
      <c r="U439">
        <v>17.926956521739129</v>
      </c>
    </row>
    <row r="440" spans="1:21" x14ac:dyDescent="0.2">
      <c r="A440" s="1">
        <v>35124</v>
      </c>
      <c r="C440">
        <v>80.900000000000006</v>
      </c>
      <c r="D440" s="7"/>
      <c r="F440">
        <v>12483</v>
      </c>
      <c r="G440">
        <v>13337</v>
      </c>
      <c r="H440">
        <v>8.3174535958783267</v>
      </c>
      <c r="I440">
        <v>25981</v>
      </c>
      <c r="J440">
        <v>859.9</v>
      </c>
      <c r="L440" s="19">
        <v>258.72309845122601</v>
      </c>
      <c r="M440">
        <v>2205.1999999999998</v>
      </c>
      <c r="U440">
        <v>17.979999999999997</v>
      </c>
    </row>
    <row r="441" spans="1:21" x14ac:dyDescent="0.2">
      <c r="A441" s="1">
        <v>35155</v>
      </c>
      <c r="C441">
        <v>81</v>
      </c>
      <c r="D441" s="7"/>
      <c r="F441">
        <v>12700</v>
      </c>
      <c r="G441">
        <v>13389</v>
      </c>
      <c r="H441">
        <v>8.2332155477031801</v>
      </c>
      <c r="I441">
        <v>25970</v>
      </c>
      <c r="J441">
        <v>859.9</v>
      </c>
      <c r="L441" s="19">
        <v>258.667746002402</v>
      </c>
      <c r="M441">
        <v>2179.1</v>
      </c>
      <c r="U441">
        <v>19.911904761904765</v>
      </c>
    </row>
    <row r="442" spans="1:21" x14ac:dyDescent="0.2">
      <c r="A442" s="1">
        <v>35185</v>
      </c>
      <c r="C442">
        <v>80</v>
      </c>
      <c r="D442" s="7"/>
      <c r="F442">
        <v>12741</v>
      </c>
      <c r="G442">
        <v>13415</v>
      </c>
      <c r="H442">
        <v>8.2959720408091222</v>
      </c>
      <c r="I442">
        <v>25977</v>
      </c>
      <c r="J442">
        <v>858.6</v>
      </c>
      <c r="L442" s="19">
        <v>259.29544574957998</v>
      </c>
      <c r="M442">
        <v>2171.1</v>
      </c>
      <c r="U442">
        <v>20.895454545454545</v>
      </c>
    </row>
    <row r="443" spans="1:21" x14ac:dyDescent="0.2">
      <c r="A443" s="1">
        <v>35216</v>
      </c>
      <c r="C443">
        <v>80.599999999999994</v>
      </c>
      <c r="D443" s="7"/>
      <c r="F443">
        <v>12999</v>
      </c>
      <c r="G443">
        <v>13438</v>
      </c>
      <c r="H443">
        <v>8.2789516385057667</v>
      </c>
      <c r="I443">
        <v>26002</v>
      </c>
      <c r="J443">
        <v>860.1</v>
      </c>
      <c r="L443" s="19">
        <v>258.96224855602497</v>
      </c>
      <c r="M443">
        <v>2153</v>
      </c>
      <c r="U443">
        <v>19.166956521739131</v>
      </c>
    </row>
    <row r="444" spans="1:21" x14ac:dyDescent="0.2">
      <c r="A444" s="1">
        <v>35246</v>
      </c>
      <c r="C444">
        <v>80.099999999999994</v>
      </c>
      <c r="D444" s="7"/>
      <c r="F444">
        <v>12606</v>
      </c>
      <c r="G444">
        <v>13261</v>
      </c>
      <c r="H444">
        <v>8.2542594095029802</v>
      </c>
      <c r="I444">
        <v>26009</v>
      </c>
      <c r="J444">
        <v>862.8</v>
      </c>
      <c r="L444" s="19">
        <v>260.38338886241399</v>
      </c>
      <c r="M444">
        <v>2134.5</v>
      </c>
      <c r="U444">
        <v>18.444499999999998</v>
      </c>
    </row>
    <row r="445" spans="1:21" x14ac:dyDescent="0.2">
      <c r="A445" s="1">
        <v>35277</v>
      </c>
      <c r="C445">
        <v>80</v>
      </c>
      <c r="D445" s="7"/>
      <c r="F445">
        <v>13158</v>
      </c>
      <c r="G445">
        <v>13746</v>
      </c>
      <c r="H445">
        <v>8.1709039548022595</v>
      </c>
      <c r="I445">
        <v>26006</v>
      </c>
      <c r="J445">
        <v>862.3</v>
      </c>
      <c r="L445" s="19">
        <v>261.60500730691098</v>
      </c>
      <c r="M445">
        <v>2103.4</v>
      </c>
      <c r="U445">
        <v>19.625652173913046</v>
      </c>
    </row>
    <row r="446" spans="1:21" x14ac:dyDescent="0.2">
      <c r="A446" s="1">
        <v>35308</v>
      </c>
      <c r="C446">
        <v>80.599999999999994</v>
      </c>
      <c r="D446" s="7"/>
      <c r="F446">
        <v>12958</v>
      </c>
      <c r="G446">
        <v>13451</v>
      </c>
      <c r="H446">
        <v>8.0605333709609148</v>
      </c>
      <c r="I446">
        <v>26063</v>
      </c>
      <c r="J446">
        <v>863.5</v>
      </c>
      <c r="L446" s="19">
        <v>261.68733670497897</v>
      </c>
      <c r="M446">
        <v>2083</v>
      </c>
      <c r="U446">
        <v>20.543636363636367</v>
      </c>
    </row>
    <row r="447" spans="1:21" x14ac:dyDescent="0.2">
      <c r="A447" s="1">
        <v>35338</v>
      </c>
      <c r="C447">
        <v>81.099999999999994</v>
      </c>
      <c r="D447" s="7"/>
      <c r="F447">
        <v>13026</v>
      </c>
      <c r="G447">
        <v>13813</v>
      </c>
      <c r="H447">
        <v>8.0608177232158607</v>
      </c>
      <c r="I447">
        <v>26062</v>
      </c>
      <c r="J447">
        <v>863.3</v>
      </c>
      <c r="L447" s="19">
        <v>264.04687416115797</v>
      </c>
      <c r="M447">
        <v>2043.8</v>
      </c>
      <c r="U447">
        <v>22.646666666666665</v>
      </c>
    </row>
    <row r="448" spans="1:21" x14ac:dyDescent="0.2">
      <c r="A448" s="1">
        <v>35369</v>
      </c>
      <c r="C448">
        <v>81</v>
      </c>
      <c r="D448" s="7"/>
      <c r="F448">
        <v>13477</v>
      </c>
      <c r="G448">
        <v>13742</v>
      </c>
      <c r="H448">
        <v>8.050832541275037</v>
      </c>
      <c r="I448">
        <v>26120</v>
      </c>
      <c r="J448">
        <v>865.8</v>
      </c>
      <c r="L448" s="19">
        <v>264.49030998756098</v>
      </c>
      <c r="M448">
        <v>2002.4</v>
      </c>
      <c r="U448">
        <v>24.114782608695652</v>
      </c>
    </row>
    <row r="449" spans="1:21" x14ac:dyDescent="0.2">
      <c r="A449" s="1">
        <v>35399</v>
      </c>
      <c r="C449">
        <v>81.5</v>
      </c>
      <c r="D449" s="7"/>
      <c r="F449">
        <v>13316</v>
      </c>
      <c r="G449">
        <v>13821</v>
      </c>
      <c r="H449">
        <v>7.9538661696965436</v>
      </c>
      <c r="I449">
        <v>26177</v>
      </c>
      <c r="J449">
        <v>869.2</v>
      </c>
      <c r="L449" s="19">
        <v>265.54620667163101</v>
      </c>
      <c r="M449">
        <v>1903.9</v>
      </c>
      <c r="U449">
        <v>22.696190476190473</v>
      </c>
    </row>
    <row r="450" spans="1:21" x14ac:dyDescent="0.2">
      <c r="A450" s="1">
        <v>35430</v>
      </c>
      <c r="C450">
        <v>81.8</v>
      </c>
      <c r="D450" s="7"/>
      <c r="F450">
        <v>12970</v>
      </c>
      <c r="G450">
        <v>13792</v>
      </c>
      <c r="H450">
        <v>7.841136947268442</v>
      </c>
      <c r="I450">
        <v>26198</v>
      </c>
      <c r="J450">
        <v>866.1</v>
      </c>
      <c r="L450" s="19">
        <v>267.10556972134901</v>
      </c>
      <c r="M450">
        <v>1872.1</v>
      </c>
      <c r="U450">
        <v>23.823181818181819</v>
      </c>
    </row>
    <row r="451" spans="1:21" x14ac:dyDescent="0.2">
      <c r="A451" s="1">
        <v>35461</v>
      </c>
      <c r="B451">
        <v>63.3</v>
      </c>
      <c r="C451">
        <v>81.8</v>
      </c>
      <c r="D451">
        <v>58.969799999999999</v>
      </c>
      <c r="F451">
        <v>19558</v>
      </c>
      <c r="G451">
        <v>17288</v>
      </c>
      <c r="H451">
        <v>7.669046028341362</v>
      </c>
      <c r="I451">
        <v>26258</v>
      </c>
      <c r="J451">
        <v>867.8</v>
      </c>
      <c r="L451" s="19">
        <v>267.57220546282502</v>
      </c>
      <c r="M451">
        <v>1818.4</v>
      </c>
      <c r="U451">
        <v>23.47260869565217</v>
      </c>
    </row>
    <row r="452" spans="1:21" x14ac:dyDescent="0.2">
      <c r="A452" s="1">
        <v>35489</v>
      </c>
      <c r="B452">
        <v>64</v>
      </c>
      <c r="C452">
        <v>82.1</v>
      </c>
      <c r="D452">
        <v>59.718200000000003</v>
      </c>
      <c r="F452">
        <v>19053</v>
      </c>
      <c r="G452">
        <v>17107</v>
      </c>
      <c r="H452">
        <v>7.4890177473203305</v>
      </c>
      <c r="I452">
        <v>26324</v>
      </c>
      <c r="J452">
        <v>870.2</v>
      </c>
      <c r="L452" s="19">
        <v>267.76415163385502</v>
      </c>
      <c r="M452">
        <v>1752.8</v>
      </c>
      <c r="U452">
        <v>20.827000000000005</v>
      </c>
    </row>
    <row r="453" spans="1:21" x14ac:dyDescent="0.2">
      <c r="A453" s="1">
        <v>35520</v>
      </c>
      <c r="B453">
        <v>64</v>
      </c>
      <c r="C453">
        <v>80.900000000000006</v>
      </c>
      <c r="D453">
        <v>59.97</v>
      </c>
      <c r="F453">
        <v>18509</v>
      </c>
      <c r="G453">
        <v>17733</v>
      </c>
      <c r="H453">
        <v>7.3245275064989812</v>
      </c>
      <c r="I453">
        <v>26381</v>
      </c>
      <c r="J453">
        <v>873.7</v>
      </c>
      <c r="L453" s="19">
        <v>271.21284986716699</v>
      </c>
      <c r="M453">
        <v>1704.3</v>
      </c>
      <c r="U453">
        <v>19.055238095238092</v>
      </c>
    </row>
    <row r="454" spans="1:21" x14ac:dyDescent="0.2">
      <c r="A454" s="1">
        <v>35550</v>
      </c>
      <c r="B454">
        <v>64.599999999999994</v>
      </c>
      <c r="C454">
        <v>82.9</v>
      </c>
      <c r="D454">
        <v>60.1678</v>
      </c>
      <c r="F454">
        <v>19942</v>
      </c>
      <c r="G454">
        <v>18571</v>
      </c>
      <c r="H454">
        <v>7.2050561797752808</v>
      </c>
      <c r="I454">
        <v>26428</v>
      </c>
      <c r="J454">
        <v>877.5</v>
      </c>
      <c r="L454" s="19">
        <v>269.59258016929601</v>
      </c>
      <c r="M454">
        <v>1662.6</v>
      </c>
      <c r="U454">
        <v>17.481818181818181</v>
      </c>
    </row>
    <row r="455" spans="1:21" x14ac:dyDescent="0.2">
      <c r="A455" s="1">
        <v>35581</v>
      </c>
      <c r="B455">
        <v>64.099999999999994</v>
      </c>
      <c r="C455">
        <v>82.6</v>
      </c>
      <c r="D455">
        <v>59.586300000000001</v>
      </c>
      <c r="F455">
        <v>19180</v>
      </c>
      <c r="G455">
        <v>17946</v>
      </c>
      <c r="H455">
        <v>7.183212267958031</v>
      </c>
      <c r="I455">
        <v>26450</v>
      </c>
      <c r="J455">
        <v>878.1</v>
      </c>
      <c r="L455" s="19">
        <v>270.53525054925501</v>
      </c>
      <c r="M455">
        <v>1619.6</v>
      </c>
      <c r="U455">
        <v>19.127272727272729</v>
      </c>
    </row>
    <row r="456" spans="1:21" x14ac:dyDescent="0.2">
      <c r="A456" s="1">
        <v>35611</v>
      </c>
      <c r="B456">
        <v>64.5</v>
      </c>
      <c r="C456">
        <v>82.8</v>
      </c>
      <c r="D456">
        <v>59.9621</v>
      </c>
      <c r="F456">
        <v>18731</v>
      </c>
      <c r="G456">
        <v>18573</v>
      </c>
      <c r="H456">
        <v>7.1801155259933482</v>
      </c>
      <c r="I456">
        <v>26514</v>
      </c>
      <c r="J456">
        <v>878.3</v>
      </c>
      <c r="L456" s="19">
        <v>270.91307299421101</v>
      </c>
      <c r="M456">
        <v>1571.5</v>
      </c>
      <c r="U456">
        <v>17.589523809523808</v>
      </c>
    </row>
    <row r="457" spans="1:21" x14ac:dyDescent="0.2">
      <c r="A457" s="1">
        <v>35642</v>
      </c>
      <c r="B457">
        <v>64.8</v>
      </c>
      <c r="C457">
        <v>84.5</v>
      </c>
      <c r="D457">
        <v>60.022799999999997</v>
      </c>
      <c r="F457">
        <v>19197</v>
      </c>
      <c r="G457">
        <v>18464</v>
      </c>
      <c r="H457">
        <v>7.2893337066069428</v>
      </c>
      <c r="I457">
        <v>26493</v>
      </c>
      <c r="J457">
        <v>877</v>
      </c>
      <c r="L457" s="19">
        <v>272.78630676840402</v>
      </c>
      <c r="M457">
        <v>1554.1</v>
      </c>
      <c r="U457">
        <v>18.50391304347826</v>
      </c>
    </row>
    <row r="458" spans="1:21" x14ac:dyDescent="0.2">
      <c r="A458" s="1">
        <v>35673</v>
      </c>
      <c r="B458">
        <v>64.900000000000006</v>
      </c>
      <c r="C458">
        <v>83.5</v>
      </c>
      <c r="D458">
        <v>60.340200000000003</v>
      </c>
      <c r="F458">
        <v>18364</v>
      </c>
      <c r="G458">
        <v>17051</v>
      </c>
      <c r="H458">
        <v>7.0870281448249273</v>
      </c>
      <c r="I458">
        <v>26509</v>
      </c>
      <c r="J458">
        <v>877.9</v>
      </c>
      <c r="L458" s="19">
        <v>274.44991627121902</v>
      </c>
      <c r="M458">
        <v>1526.5</v>
      </c>
      <c r="U458">
        <v>18.63904761904762</v>
      </c>
    </row>
    <row r="459" spans="1:21" x14ac:dyDescent="0.2">
      <c r="A459" s="1">
        <v>35703</v>
      </c>
      <c r="B459">
        <v>65</v>
      </c>
      <c r="C459">
        <v>84</v>
      </c>
      <c r="D459">
        <v>60.382599999999996</v>
      </c>
      <c r="F459">
        <v>19128</v>
      </c>
      <c r="G459">
        <v>17769</v>
      </c>
      <c r="H459">
        <v>6.8400939592609475</v>
      </c>
      <c r="I459">
        <v>26572</v>
      </c>
      <c r="J459">
        <v>880.2</v>
      </c>
      <c r="L459" s="19">
        <v>275.77947759640602</v>
      </c>
      <c r="M459">
        <v>1497.8</v>
      </c>
      <c r="U459">
        <v>18.476818181818182</v>
      </c>
    </row>
    <row r="460" spans="1:21" x14ac:dyDescent="0.2">
      <c r="A460" s="1">
        <v>35734</v>
      </c>
      <c r="B460">
        <v>65.400000000000006</v>
      </c>
      <c r="C460">
        <v>85</v>
      </c>
      <c r="D460">
        <v>60.638599999999997</v>
      </c>
      <c r="F460">
        <v>19429</v>
      </c>
      <c r="G460">
        <v>18478</v>
      </c>
      <c r="H460">
        <v>6.6954264870931537</v>
      </c>
      <c r="I460">
        <v>26603</v>
      </c>
      <c r="J460">
        <v>882.9</v>
      </c>
      <c r="L460" s="19">
        <v>276.634507610821</v>
      </c>
      <c r="M460">
        <v>1464.1</v>
      </c>
      <c r="U460">
        <v>19.906956521739129</v>
      </c>
    </row>
    <row r="461" spans="1:21" x14ac:dyDescent="0.2">
      <c r="A461" s="1">
        <v>35764</v>
      </c>
      <c r="B461">
        <v>65.7</v>
      </c>
      <c r="C461">
        <v>85.1</v>
      </c>
      <c r="D461">
        <v>60.882800000000003</v>
      </c>
      <c r="F461">
        <v>18977</v>
      </c>
      <c r="G461">
        <v>18202</v>
      </c>
      <c r="H461">
        <v>6.6189624329159216</v>
      </c>
      <c r="I461">
        <v>26622</v>
      </c>
      <c r="J461">
        <v>884.5</v>
      </c>
      <c r="L461" s="19">
        <v>278.17034162290503</v>
      </c>
      <c r="M461">
        <v>1431.7</v>
      </c>
      <c r="U461">
        <v>19.149499999999996</v>
      </c>
    </row>
    <row r="462" spans="1:21" x14ac:dyDescent="0.2">
      <c r="A462" s="1">
        <v>35795</v>
      </c>
      <c r="B462">
        <v>66.2</v>
      </c>
      <c r="C462">
        <v>85.3</v>
      </c>
      <c r="D462">
        <v>61.445300000000003</v>
      </c>
      <c r="F462">
        <v>20445</v>
      </c>
      <c r="G462">
        <v>18889</v>
      </c>
      <c r="H462">
        <v>6.5403508771929824</v>
      </c>
      <c r="I462">
        <v>26636</v>
      </c>
      <c r="J462">
        <v>879.8</v>
      </c>
      <c r="L462" s="19">
        <v>279.89422553291399</v>
      </c>
      <c r="M462">
        <v>1410.5</v>
      </c>
      <c r="U462">
        <v>17.094347826086949</v>
      </c>
    </row>
    <row r="463" spans="1:21" x14ac:dyDescent="0.2">
      <c r="A463" s="1">
        <v>35826</v>
      </c>
      <c r="B463">
        <v>66</v>
      </c>
      <c r="C463">
        <v>85.3</v>
      </c>
      <c r="D463">
        <v>61.107700000000001</v>
      </c>
      <c r="F463">
        <v>19329</v>
      </c>
      <c r="G463">
        <v>17908</v>
      </c>
      <c r="H463">
        <v>6.400028116543071</v>
      </c>
      <c r="I463">
        <v>26632</v>
      </c>
      <c r="J463">
        <v>881.1</v>
      </c>
      <c r="L463" s="19">
        <v>281.52333079999499</v>
      </c>
      <c r="M463">
        <v>1400.5</v>
      </c>
      <c r="U463">
        <v>15.14818181818182</v>
      </c>
    </row>
    <row r="464" spans="1:21" x14ac:dyDescent="0.2">
      <c r="A464" s="1">
        <v>35854</v>
      </c>
      <c r="B464">
        <v>66.599999999999994</v>
      </c>
      <c r="C464">
        <v>86.1</v>
      </c>
      <c r="D464">
        <v>61.627400000000002</v>
      </c>
      <c r="F464">
        <v>19492</v>
      </c>
      <c r="G464">
        <v>19024</v>
      </c>
      <c r="H464">
        <v>6.3777481210929272</v>
      </c>
      <c r="I464">
        <v>26658</v>
      </c>
      <c r="J464">
        <v>880.4</v>
      </c>
      <c r="L464" s="19">
        <v>283.007789703311</v>
      </c>
      <c r="M464">
        <v>1380.7</v>
      </c>
      <c r="U464">
        <v>14.014999999999997</v>
      </c>
    </row>
    <row r="465" spans="1:21" x14ac:dyDescent="0.2">
      <c r="A465" s="1">
        <v>35885</v>
      </c>
      <c r="B465">
        <v>66.400000000000006</v>
      </c>
      <c r="C465">
        <v>86.7</v>
      </c>
      <c r="D465">
        <v>61.294600000000003</v>
      </c>
      <c r="F465">
        <v>19861</v>
      </c>
      <c r="G465">
        <v>19887</v>
      </c>
      <c r="H465">
        <v>6.3636363636363633</v>
      </c>
      <c r="I465">
        <v>26677</v>
      </c>
      <c r="J465">
        <v>884.1</v>
      </c>
      <c r="L465" s="19">
        <v>286.32633216413899</v>
      </c>
      <c r="M465">
        <v>1364.9</v>
      </c>
      <c r="U465">
        <v>13.128181818181817</v>
      </c>
    </row>
    <row r="466" spans="1:21" x14ac:dyDescent="0.2">
      <c r="A466" s="1">
        <v>35915</v>
      </c>
      <c r="B466">
        <v>66.900000000000006</v>
      </c>
      <c r="C466">
        <v>87.1</v>
      </c>
      <c r="D466">
        <v>61.927300000000002</v>
      </c>
      <c r="F466">
        <v>19382</v>
      </c>
      <c r="G466">
        <v>18967</v>
      </c>
      <c r="H466">
        <v>6.3109520802638039</v>
      </c>
      <c r="I466">
        <v>26707</v>
      </c>
      <c r="J466">
        <v>885.9</v>
      </c>
      <c r="L466" s="19">
        <v>285.70380474544697</v>
      </c>
      <c r="M466">
        <v>1359.4</v>
      </c>
      <c r="U466">
        <v>13.509090909090908</v>
      </c>
    </row>
    <row r="467" spans="1:21" x14ac:dyDescent="0.2">
      <c r="A467" s="1">
        <v>35946</v>
      </c>
      <c r="B467">
        <v>66.7</v>
      </c>
      <c r="C467">
        <v>86.4</v>
      </c>
      <c r="D467">
        <v>61.8187</v>
      </c>
      <c r="F467">
        <v>19210</v>
      </c>
      <c r="G467">
        <v>19210</v>
      </c>
      <c r="H467">
        <v>6.2712756623969117</v>
      </c>
      <c r="I467">
        <v>26708</v>
      </c>
      <c r="J467">
        <v>885.1</v>
      </c>
      <c r="L467" s="19">
        <v>286.77974673929202</v>
      </c>
      <c r="M467">
        <v>1350</v>
      </c>
      <c r="U467">
        <v>14.402380952380952</v>
      </c>
    </row>
    <row r="468" spans="1:21" x14ac:dyDescent="0.2">
      <c r="A468" s="1">
        <v>35976</v>
      </c>
      <c r="B468">
        <v>66.8</v>
      </c>
      <c r="C468">
        <v>86.7</v>
      </c>
      <c r="D468">
        <v>61.836500000000001</v>
      </c>
      <c r="F468">
        <v>19479</v>
      </c>
      <c r="G468">
        <v>20098</v>
      </c>
      <c r="H468">
        <v>6.2831082266269078</v>
      </c>
      <c r="I468">
        <v>26714</v>
      </c>
      <c r="J468">
        <v>884.1</v>
      </c>
      <c r="L468" s="19">
        <v>285.22905315588798</v>
      </c>
      <c r="M468">
        <v>1344.2</v>
      </c>
      <c r="U468">
        <v>12.154090909090909</v>
      </c>
    </row>
    <row r="469" spans="1:21" x14ac:dyDescent="0.2">
      <c r="A469" s="1">
        <v>36007</v>
      </c>
      <c r="B469">
        <v>66.900000000000006</v>
      </c>
      <c r="C469">
        <v>86.4</v>
      </c>
      <c r="D469">
        <v>62.071100000000001</v>
      </c>
      <c r="F469">
        <v>19371</v>
      </c>
      <c r="G469">
        <v>19602</v>
      </c>
      <c r="H469">
        <v>6.3003150157507877</v>
      </c>
      <c r="I469">
        <v>26770</v>
      </c>
      <c r="J469">
        <v>884.6</v>
      </c>
      <c r="L469" s="19">
        <v>287.96869674432997</v>
      </c>
      <c r="M469">
        <v>1344</v>
      </c>
      <c r="U469">
        <v>12.09</v>
      </c>
    </row>
    <row r="470" spans="1:21" x14ac:dyDescent="0.2">
      <c r="A470" s="1">
        <v>36038</v>
      </c>
      <c r="B470">
        <v>67.099999999999994</v>
      </c>
      <c r="C470">
        <v>86.9</v>
      </c>
      <c r="D470">
        <v>62.187100000000001</v>
      </c>
      <c r="F470">
        <v>18828</v>
      </c>
      <c r="G470">
        <v>18981</v>
      </c>
      <c r="H470">
        <v>6.311340854318745</v>
      </c>
      <c r="I470">
        <v>26824</v>
      </c>
      <c r="J470">
        <v>885.4</v>
      </c>
      <c r="L470" s="19">
        <v>287.96172269469599</v>
      </c>
      <c r="M470">
        <v>1340.7</v>
      </c>
      <c r="U470">
        <v>11.96380952380952</v>
      </c>
    </row>
    <row r="471" spans="1:21" x14ac:dyDescent="0.2">
      <c r="A471" s="1">
        <v>36068</v>
      </c>
      <c r="B471">
        <v>67.099999999999994</v>
      </c>
      <c r="C471">
        <v>87.2</v>
      </c>
      <c r="D471">
        <v>62.114800000000002</v>
      </c>
      <c r="F471">
        <v>18972</v>
      </c>
      <c r="G471">
        <v>19916</v>
      </c>
      <c r="H471">
        <v>6.2403913347309574</v>
      </c>
      <c r="I471">
        <v>26834</v>
      </c>
      <c r="J471">
        <v>887.6</v>
      </c>
      <c r="L471" s="19">
        <v>289.43109239673498</v>
      </c>
      <c r="M471">
        <v>1327.2</v>
      </c>
      <c r="U471">
        <v>13.408181818181816</v>
      </c>
    </row>
    <row r="472" spans="1:21" x14ac:dyDescent="0.2">
      <c r="A472" s="1">
        <v>36099</v>
      </c>
      <c r="B472">
        <v>67.3</v>
      </c>
      <c r="C472">
        <v>87.2</v>
      </c>
      <c r="D472">
        <v>62.310099999999998</v>
      </c>
      <c r="F472">
        <v>19010</v>
      </c>
      <c r="G472">
        <v>19396</v>
      </c>
      <c r="H472">
        <v>6.2177250523377525</v>
      </c>
      <c r="I472">
        <v>26878</v>
      </c>
      <c r="J472">
        <v>888.2</v>
      </c>
      <c r="L472" s="19">
        <v>289.58378726166399</v>
      </c>
      <c r="M472">
        <v>1321.9</v>
      </c>
      <c r="U472">
        <v>12.620909090909093</v>
      </c>
    </row>
    <row r="473" spans="1:21" x14ac:dyDescent="0.2">
      <c r="A473" s="1">
        <v>36129</v>
      </c>
      <c r="B473">
        <v>67.7</v>
      </c>
      <c r="C473">
        <v>87.4</v>
      </c>
      <c r="D473">
        <v>62.669499999999999</v>
      </c>
      <c r="F473">
        <v>19037</v>
      </c>
      <c r="G473">
        <v>19654</v>
      </c>
      <c r="H473">
        <v>6.1587766050092316</v>
      </c>
      <c r="I473">
        <v>26939</v>
      </c>
      <c r="J473">
        <v>888.5</v>
      </c>
      <c r="L473" s="19">
        <v>290.657293743369</v>
      </c>
      <c r="M473">
        <v>1325.3</v>
      </c>
      <c r="U473">
        <v>10.987619047619045</v>
      </c>
    </row>
    <row r="474" spans="1:21" x14ac:dyDescent="0.2">
      <c r="A474" s="1">
        <v>36160</v>
      </c>
      <c r="B474">
        <v>67.8</v>
      </c>
      <c r="C474">
        <v>87.7</v>
      </c>
      <c r="D474">
        <v>62.709699999999998</v>
      </c>
      <c r="F474">
        <v>19318</v>
      </c>
      <c r="G474">
        <v>19562</v>
      </c>
      <c r="H474">
        <v>6.1422751488561582</v>
      </c>
      <c r="I474">
        <v>26955</v>
      </c>
      <c r="J474">
        <v>883.2</v>
      </c>
      <c r="L474" s="19">
        <v>291.59474736481098</v>
      </c>
      <c r="M474">
        <v>1314.3</v>
      </c>
      <c r="U474">
        <v>9.8791304347826117</v>
      </c>
    </row>
    <row r="475" spans="1:21" x14ac:dyDescent="0.2">
      <c r="A475" s="1">
        <v>36191</v>
      </c>
      <c r="B475">
        <v>67.900000000000006</v>
      </c>
      <c r="C475">
        <v>89</v>
      </c>
      <c r="D475">
        <v>62.460099999999997</v>
      </c>
      <c r="F475">
        <v>18332</v>
      </c>
      <c r="G475">
        <v>19612</v>
      </c>
      <c r="H475">
        <v>6.2174366099340048</v>
      </c>
      <c r="I475">
        <v>27000</v>
      </c>
      <c r="J475">
        <v>887.2</v>
      </c>
      <c r="L475" s="19">
        <v>293.45149966055402</v>
      </c>
      <c r="M475">
        <v>1309.7</v>
      </c>
      <c r="U475">
        <v>11.045714285714288</v>
      </c>
    </row>
    <row r="476" spans="1:21" x14ac:dyDescent="0.2">
      <c r="A476" s="1">
        <v>36219</v>
      </c>
      <c r="B476">
        <v>68.099999999999994</v>
      </c>
      <c r="C476">
        <v>89.1</v>
      </c>
      <c r="D476">
        <v>62.7376</v>
      </c>
      <c r="F476">
        <v>18637</v>
      </c>
      <c r="G476">
        <v>19671</v>
      </c>
      <c r="H476">
        <v>6.226572261557684</v>
      </c>
      <c r="I476">
        <v>27018</v>
      </c>
      <c r="J476">
        <v>888</v>
      </c>
      <c r="L476" s="19">
        <v>296.70613032445698</v>
      </c>
      <c r="M476">
        <v>1304.5</v>
      </c>
      <c r="U476">
        <v>10.236000000000001</v>
      </c>
    </row>
    <row r="477" spans="1:21" x14ac:dyDescent="0.2">
      <c r="A477" s="1">
        <v>36250</v>
      </c>
      <c r="B477">
        <v>68.099999999999994</v>
      </c>
      <c r="C477">
        <v>90</v>
      </c>
      <c r="D477">
        <v>62.551099999999998</v>
      </c>
      <c r="F477">
        <v>19592</v>
      </c>
      <c r="G477">
        <v>20632</v>
      </c>
      <c r="H477">
        <v>6.1771238200999443</v>
      </c>
      <c r="I477">
        <v>27036</v>
      </c>
      <c r="J477">
        <v>888.3</v>
      </c>
      <c r="L477" s="19">
        <v>299.69781791261101</v>
      </c>
      <c r="M477">
        <v>1297.5</v>
      </c>
      <c r="U477">
        <v>12.534782608695652</v>
      </c>
    </row>
    <row r="478" spans="1:21" x14ac:dyDescent="0.2">
      <c r="A478" s="1">
        <v>36280</v>
      </c>
      <c r="B478">
        <v>67.8</v>
      </c>
      <c r="C478">
        <v>89.8</v>
      </c>
      <c r="D478">
        <v>62.199300000000001</v>
      </c>
      <c r="F478">
        <v>18972</v>
      </c>
      <c r="G478">
        <v>19796</v>
      </c>
      <c r="H478">
        <v>6.1530452889120246</v>
      </c>
      <c r="I478">
        <v>27042</v>
      </c>
      <c r="J478">
        <v>886.2</v>
      </c>
      <c r="L478" s="19">
        <v>295.75035916348901</v>
      </c>
      <c r="M478">
        <v>1288.0999999999999</v>
      </c>
      <c r="U478">
        <v>15.25272727272727</v>
      </c>
    </row>
    <row r="479" spans="1:21" x14ac:dyDescent="0.2">
      <c r="A479" s="1">
        <v>36311</v>
      </c>
      <c r="B479">
        <v>68.599999999999994</v>
      </c>
      <c r="C479">
        <v>90.7</v>
      </c>
      <c r="D479">
        <v>62.893700000000003</v>
      </c>
      <c r="F479">
        <v>19443</v>
      </c>
      <c r="G479">
        <v>19702</v>
      </c>
      <c r="H479">
        <v>6.1072940523284061</v>
      </c>
      <c r="I479">
        <v>27058</v>
      </c>
      <c r="J479">
        <v>887.3</v>
      </c>
      <c r="L479" s="19">
        <v>297.87986351082498</v>
      </c>
      <c r="M479">
        <v>1273.0999999999999</v>
      </c>
      <c r="U479">
        <v>15.264285714285714</v>
      </c>
    </row>
    <row r="480" spans="1:21" x14ac:dyDescent="0.2">
      <c r="A480" s="1">
        <v>36341</v>
      </c>
      <c r="B480">
        <v>68.7</v>
      </c>
      <c r="C480">
        <v>90.5</v>
      </c>
      <c r="D480">
        <v>62.998199999999997</v>
      </c>
      <c r="F480">
        <v>19271</v>
      </c>
      <c r="G480">
        <v>20967</v>
      </c>
      <c r="H480">
        <v>6.0441084679936194</v>
      </c>
      <c r="I480">
        <v>27095</v>
      </c>
      <c r="J480">
        <v>890.6</v>
      </c>
      <c r="L480" s="19">
        <v>299.68374939011301</v>
      </c>
      <c r="M480">
        <v>1263.0999999999999</v>
      </c>
      <c r="U480">
        <v>15.85181818181818</v>
      </c>
    </row>
    <row r="481" spans="1:21" x14ac:dyDescent="0.2">
      <c r="A481" s="1">
        <v>36372</v>
      </c>
      <c r="B481">
        <v>69.2</v>
      </c>
      <c r="C481">
        <v>91.4</v>
      </c>
      <c r="D481">
        <v>63.444000000000003</v>
      </c>
      <c r="F481">
        <v>19678</v>
      </c>
      <c r="G481">
        <v>20841</v>
      </c>
      <c r="H481">
        <v>5.9747555308967337</v>
      </c>
      <c r="I481">
        <v>27115</v>
      </c>
      <c r="J481">
        <v>892.3</v>
      </c>
      <c r="L481" s="19">
        <v>299.33722836513198</v>
      </c>
      <c r="M481">
        <v>1244.7</v>
      </c>
      <c r="U481">
        <v>19.021818181818183</v>
      </c>
    </row>
    <row r="482" spans="1:21" x14ac:dyDescent="0.2">
      <c r="A482" s="1">
        <v>36403</v>
      </c>
      <c r="B482">
        <v>69.5</v>
      </c>
      <c r="C482">
        <v>92.1</v>
      </c>
      <c r="D482">
        <v>63.696899999999999</v>
      </c>
      <c r="F482">
        <v>20657</v>
      </c>
      <c r="G482">
        <v>21422</v>
      </c>
      <c r="H482">
        <v>5.9047619047619051</v>
      </c>
      <c r="I482">
        <v>27170</v>
      </c>
      <c r="J482">
        <v>893.4</v>
      </c>
      <c r="L482" s="19">
        <v>300.96504115400103</v>
      </c>
      <c r="M482">
        <v>1229</v>
      </c>
      <c r="U482">
        <v>20.292272727272728</v>
      </c>
    </row>
    <row r="483" spans="1:21" x14ac:dyDescent="0.2">
      <c r="A483" s="1">
        <v>36433</v>
      </c>
      <c r="B483">
        <v>69.900000000000006</v>
      </c>
      <c r="C483">
        <v>92.6</v>
      </c>
      <c r="D483">
        <v>64.080500000000001</v>
      </c>
      <c r="F483">
        <v>20752</v>
      </c>
      <c r="G483">
        <v>21304</v>
      </c>
      <c r="H483">
        <v>5.8852005532503462</v>
      </c>
      <c r="I483">
        <v>27218</v>
      </c>
      <c r="J483">
        <v>894.8</v>
      </c>
      <c r="L483" s="19">
        <v>301.38191194953203</v>
      </c>
      <c r="M483">
        <v>1222.9000000000001</v>
      </c>
      <c r="U483">
        <v>22.439999999999998</v>
      </c>
    </row>
    <row r="484" spans="1:21" x14ac:dyDescent="0.2">
      <c r="A484" s="1">
        <v>36464</v>
      </c>
      <c r="B484">
        <v>70.3</v>
      </c>
      <c r="C484">
        <v>92</v>
      </c>
      <c r="D484">
        <v>64.77</v>
      </c>
      <c r="F484">
        <v>20498</v>
      </c>
      <c r="G484">
        <v>21381</v>
      </c>
      <c r="H484">
        <v>5.8375722343333676</v>
      </c>
      <c r="I484">
        <v>27212</v>
      </c>
      <c r="J484">
        <v>892.6</v>
      </c>
      <c r="L484" s="19">
        <v>304.26179053752003</v>
      </c>
      <c r="M484">
        <v>1200.7</v>
      </c>
      <c r="U484">
        <v>21.944285714285716</v>
      </c>
    </row>
    <row r="485" spans="1:21" x14ac:dyDescent="0.2">
      <c r="A485" s="1">
        <v>36494</v>
      </c>
      <c r="B485">
        <v>70.7</v>
      </c>
      <c r="C485">
        <v>92.7</v>
      </c>
      <c r="D485">
        <v>65.142899999999997</v>
      </c>
      <c r="F485">
        <v>20764</v>
      </c>
      <c r="G485">
        <v>21742</v>
      </c>
      <c r="H485">
        <v>5.8453889445154159</v>
      </c>
      <c r="I485">
        <v>27270</v>
      </c>
      <c r="J485">
        <v>894.6</v>
      </c>
      <c r="L485" s="19">
        <v>305.430230225988</v>
      </c>
      <c r="M485">
        <v>1184.0999999999999</v>
      </c>
      <c r="U485">
        <v>24.607727272727274</v>
      </c>
    </row>
    <row r="486" spans="1:21" x14ac:dyDescent="0.2">
      <c r="A486" s="1">
        <v>36525</v>
      </c>
      <c r="B486">
        <v>70.599999999999994</v>
      </c>
      <c r="C486">
        <v>91.5</v>
      </c>
      <c r="D486">
        <v>65.182100000000005</v>
      </c>
      <c r="F486">
        <v>20365</v>
      </c>
      <c r="G486">
        <v>21152</v>
      </c>
      <c r="H486">
        <v>5.8056953733710266</v>
      </c>
      <c r="I486">
        <v>27322</v>
      </c>
      <c r="J486">
        <v>897</v>
      </c>
      <c r="L486" s="19">
        <v>308.88285219150703</v>
      </c>
      <c r="M486">
        <v>1159.3</v>
      </c>
      <c r="U486">
        <v>25.559130434782606</v>
      </c>
    </row>
    <row r="487" spans="1:21" x14ac:dyDescent="0.2">
      <c r="A487" s="1">
        <v>36556</v>
      </c>
      <c r="B487">
        <v>71.599999999999994</v>
      </c>
      <c r="C487">
        <v>92.3</v>
      </c>
      <c r="D487">
        <v>66.2136</v>
      </c>
      <c r="F487">
        <v>20689</v>
      </c>
      <c r="G487">
        <v>21769</v>
      </c>
      <c r="H487">
        <v>5.8671446792374784</v>
      </c>
      <c r="I487">
        <v>27307</v>
      </c>
      <c r="J487">
        <v>889.8</v>
      </c>
      <c r="L487" s="20">
        <v>311.42032507306601</v>
      </c>
      <c r="M487">
        <v>1162.9000000000001</v>
      </c>
      <c r="U487">
        <v>25.466666666666669</v>
      </c>
    </row>
    <row r="488" spans="1:21" x14ac:dyDescent="0.2">
      <c r="A488" s="1">
        <v>36585</v>
      </c>
      <c r="B488">
        <v>71.3</v>
      </c>
      <c r="C488">
        <v>92.6</v>
      </c>
      <c r="D488">
        <v>65.7166</v>
      </c>
      <c r="F488">
        <v>20833</v>
      </c>
      <c r="G488">
        <v>21796</v>
      </c>
      <c r="H488">
        <v>5.8115472166655167</v>
      </c>
      <c r="I488">
        <v>27309</v>
      </c>
      <c r="J488">
        <v>888.2</v>
      </c>
      <c r="L488" s="20">
        <v>306.30346749127801</v>
      </c>
      <c r="M488">
        <v>1152.2</v>
      </c>
      <c r="U488">
        <v>27.818571428571431</v>
      </c>
    </row>
    <row r="489" spans="1:21" x14ac:dyDescent="0.2">
      <c r="A489" s="1">
        <v>36616</v>
      </c>
      <c r="B489">
        <v>71.099999999999994</v>
      </c>
      <c r="C489">
        <v>92.3</v>
      </c>
      <c r="D489">
        <v>65.548500000000004</v>
      </c>
      <c r="F489">
        <v>21647</v>
      </c>
      <c r="G489">
        <v>22089</v>
      </c>
      <c r="H489">
        <v>5.7912133314970387</v>
      </c>
      <c r="I489">
        <v>27362</v>
      </c>
      <c r="J489">
        <v>884.4</v>
      </c>
      <c r="L489" s="20">
        <v>315.47308805697702</v>
      </c>
      <c r="M489">
        <v>1144</v>
      </c>
      <c r="U489">
        <v>27.249130434782604</v>
      </c>
    </row>
    <row r="490" spans="1:21" x14ac:dyDescent="0.2">
      <c r="A490" s="1">
        <v>36646</v>
      </c>
      <c r="B490">
        <v>71.5</v>
      </c>
      <c r="C490">
        <v>92.1</v>
      </c>
      <c r="D490">
        <v>66.215400000000002</v>
      </c>
      <c r="F490">
        <v>21507</v>
      </c>
      <c r="G490">
        <v>22367</v>
      </c>
      <c r="H490">
        <v>5.6949175871442828</v>
      </c>
      <c r="I490">
        <v>27406</v>
      </c>
      <c r="J490">
        <v>899</v>
      </c>
      <c r="L490" s="20">
        <v>313.49004740398698</v>
      </c>
      <c r="M490">
        <v>1113.3</v>
      </c>
      <c r="U490">
        <v>22.681000000000001</v>
      </c>
    </row>
    <row r="491" spans="1:21" x14ac:dyDescent="0.2">
      <c r="A491" s="1">
        <v>36677</v>
      </c>
      <c r="B491">
        <v>71.900000000000006</v>
      </c>
      <c r="C491">
        <v>92.4</v>
      </c>
      <c r="D491">
        <v>66.665300000000002</v>
      </c>
      <c r="F491">
        <v>21262</v>
      </c>
      <c r="G491">
        <v>21934</v>
      </c>
      <c r="H491">
        <v>5.6392270132728148</v>
      </c>
      <c r="I491">
        <v>27442</v>
      </c>
      <c r="J491">
        <v>893.3</v>
      </c>
      <c r="L491" s="20">
        <v>316.05707853990702</v>
      </c>
      <c r="M491">
        <v>1104.7</v>
      </c>
      <c r="U491">
        <v>27.652173913043487</v>
      </c>
    </row>
    <row r="492" spans="1:21" x14ac:dyDescent="0.2">
      <c r="A492" s="1">
        <v>36707</v>
      </c>
      <c r="B492">
        <v>72.3</v>
      </c>
      <c r="C492">
        <v>92.9</v>
      </c>
      <c r="D492">
        <v>67.055199999999999</v>
      </c>
      <c r="F492">
        <v>21870</v>
      </c>
      <c r="G492">
        <v>22767</v>
      </c>
      <c r="H492">
        <v>5.5010837031685416</v>
      </c>
      <c r="I492">
        <v>27468</v>
      </c>
      <c r="J492">
        <v>895.3</v>
      </c>
      <c r="L492" s="20">
        <v>315.36179660652903</v>
      </c>
      <c r="M492">
        <v>1093.5999999999999</v>
      </c>
      <c r="U492">
        <v>29.790909090909096</v>
      </c>
    </row>
    <row r="493" spans="1:21" x14ac:dyDescent="0.2">
      <c r="A493" s="1">
        <v>36738</v>
      </c>
      <c r="B493">
        <v>72</v>
      </c>
      <c r="C493">
        <v>92.3</v>
      </c>
      <c r="D493">
        <v>66.893299999999996</v>
      </c>
      <c r="F493">
        <v>20793</v>
      </c>
      <c r="G493">
        <v>23443</v>
      </c>
      <c r="H493">
        <v>5.3337460022696792</v>
      </c>
      <c r="I493">
        <v>27528</v>
      </c>
      <c r="J493">
        <v>896</v>
      </c>
      <c r="L493" s="20">
        <v>317.86257580790601</v>
      </c>
      <c r="M493">
        <v>1074.7</v>
      </c>
      <c r="U493">
        <v>28.440000000000012</v>
      </c>
    </row>
    <row r="494" spans="1:21" x14ac:dyDescent="0.2">
      <c r="A494" s="1">
        <v>36769</v>
      </c>
      <c r="B494">
        <v>72.7</v>
      </c>
      <c r="C494">
        <v>93.5</v>
      </c>
      <c r="D494">
        <v>67.515799999999999</v>
      </c>
      <c r="F494">
        <v>22167</v>
      </c>
      <c r="G494">
        <v>23012</v>
      </c>
      <c r="H494">
        <v>5.2553791159689283</v>
      </c>
      <c r="I494">
        <v>27565</v>
      </c>
      <c r="J494">
        <v>899.8</v>
      </c>
      <c r="L494" s="20">
        <v>319.40591335974</v>
      </c>
      <c r="M494">
        <v>1060.4000000000001</v>
      </c>
      <c r="U494">
        <v>30.099130434782609</v>
      </c>
    </row>
    <row r="495" spans="1:21" x14ac:dyDescent="0.2">
      <c r="A495" s="1">
        <v>36799</v>
      </c>
      <c r="B495">
        <v>72.599999999999994</v>
      </c>
      <c r="C495">
        <v>93.2</v>
      </c>
      <c r="D495">
        <v>67.415199999999999</v>
      </c>
      <c r="F495">
        <v>21728</v>
      </c>
      <c r="G495">
        <v>22801</v>
      </c>
      <c r="H495">
        <v>5.3190392743016188</v>
      </c>
      <c r="I495">
        <v>27555</v>
      </c>
      <c r="J495">
        <v>896</v>
      </c>
      <c r="L495" s="20">
        <v>321.49539303970602</v>
      </c>
      <c r="M495">
        <v>1044.8</v>
      </c>
      <c r="U495">
        <v>32.769047619047619</v>
      </c>
    </row>
    <row r="496" spans="1:21" x14ac:dyDescent="0.2">
      <c r="A496" s="1">
        <v>36830</v>
      </c>
      <c r="B496">
        <v>72.7</v>
      </c>
      <c r="C496">
        <v>93.4</v>
      </c>
      <c r="D496">
        <v>67.465000000000003</v>
      </c>
      <c r="F496">
        <v>22251</v>
      </c>
      <c r="G496">
        <v>23260</v>
      </c>
      <c r="H496">
        <v>5.3988109557029453</v>
      </c>
      <c r="I496">
        <v>27528</v>
      </c>
      <c r="J496">
        <v>894.8</v>
      </c>
      <c r="L496" s="20">
        <v>322.25521291554202</v>
      </c>
      <c r="M496">
        <v>1044.7</v>
      </c>
      <c r="U496">
        <v>30.907727272727278</v>
      </c>
    </row>
    <row r="497" spans="1:21" x14ac:dyDescent="0.2">
      <c r="A497" s="1">
        <v>36860</v>
      </c>
      <c r="B497">
        <v>72.900000000000006</v>
      </c>
      <c r="C497">
        <v>94.2</v>
      </c>
      <c r="D497">
        <v>67.578299999999999</v>
      </c>
      <c r="F497">
        <v>22876</v>
      </c>
      <c r="G497">
        <v>24409</v>
      </c>
      <c r="H497">
        <v>5.3001101321585899</v>
      </c>
      <c r="I497">
        <v>27516</v>
      </c>
      <c r="J497">
        <v>896.7</v>
      </c>
      <c r="L497" s="20">
        <v>324.30507494166199</v>
      </c>
      <c r="M497">
        <v>1035.5999999999999</v>
      </c>
      <c r="U497">
        <v>32.44590909090909</v>
      </c>
    </row>
    <row r="498" spans="1:21" x14ac:dyDescent="0.2">
      <c r="A498" s="1">
        <v>36891</v>
      </c>
      <c r="B498">
        <v>73.2</v>
      </c>
      <c r="C498">
        <v>96.2</v>
      </c>
      <c r="D498">
        <v>67.615399999999994</v>
      </c>
      <c r="F498">
        <v>22983</v>
      </c>
      <c r="G498">
        <v>24133</v>
      </c>
      <c r="H498">
        <v>5.2289380439643605</v>
      </c>
      <c r="I498">
        <v>27549</v>
      </c>
      <c r="J498">
        <v>903.4</v>
      </c>
      <c r="L498" s="20">
        <v>328.56796903416199</v>
      </c>
      <c r="M498">
        <v>1029.9000000000001</v>
      </c>
      <c r="U498">
        <v>24.969999999999995</v>
      </c>
    </row>
    <row r="499" spans="1:21" x14ac:dyDescent="0.2">
      <c r="A499" s="1">
        <v>36922</v>
      </c>
      <c r="B499">
        <v>73.5</v>
      </c>
      <c r="C499">
        <v>95.9</v>
      </c>
      <c r="D499">
        <v>68.013099999999994</v>
      </c>
      <c r="F499">
        <v>23636</v>
      </c>
      <c r="G499">
        <v>24494</v>
      </c>
      <c r="H499">
        <v>5.1611132081946396</v>
      </c>
      <c r="I499">
        <v>27637</v>
      </c>
      <c r="J499">
        <v>908</v>
      </c>
      <c r="L499" s="20">
        <v>328.57300193749802</v>
      </c>
      <c r="M499">
        <v>1008.6</v>
      </c>
      <c r="U499">
        <v>25.458260869565219</v>
      </c>
    </row>
    <row r="500" spans="1:21" x14ac:dyDescent="0.2">
      <c r="A500" s="1">
        <v>36950</v>
      </c>
      <c r="B500">
        <v>73.5</v>
      </c>
      <c r="C500">
        <v>96</v>
      </c>
      <c r="D500">
        <v>67.997299999999996</v>
      </c>
      <c r="F500">
        <v>23345</v>
      </c>
      <c r="G500">
        <v>24667</v>
      </c>
      <c r="H500">
        <v>5.2035422530376882</v>
      </c>
      <c r="I500">
        <v>27618</v>
      </c>
      <c r="J500">
        <v>904.8</v>
      </c>
      <c r="L500" s="20">
        <v>331.896686767267</v>
      </c>
      <c r="M500">
        <v>999.5</v>
      </c>
      <c r="U500">
        <v>27.378000000000004</v>
      </c>
    </row>
    <row r="501" spans="1:21" x14ac:dyDescent="0.2">
      <c r="A501" s="1">
        <v>36981</v>
      </c>
      <c r="B501">
        <v>73.8</v>
      </c>
      <c r="C501">
        <v>96.8</v>
      </c>
      <c r="D501">
        <v>68.273300000000006</v>
      </c>
      <c r="F501">
        <v>22993</v>
      </c>
      <c r="G501">
        <v>24947</v>
      </c>
      <c r="H501">
        <v>5.0886476085761405</v>
      </c>
      <c r="I501">
        <v>27623</v>
      </c>
      <c r="J501">
        <v>900.5</v>
      </c>
      <c r="L501" s="20">
        <v>330.54552689870502</v>
      </c>
      <c r="M501">
        <v>990.9</v>
      </c>
      <c r="U501">
        <v>24.435454545454547</v>
      </c>
    </row>
    <row r="502" spans="1:21" x14ac:dyDescent="0.2">
      <c r="A502" s="1">
        <v>37011</v>
      </c>
      <c r="B502">
        <v>73.7</v>
      </c>
      <c r="C502">
        <v>97.3</v>
      </c>
      <c r="D502">
        <v>68.031300000000002</v>
      </c>
      <c r="F502">
        <v>22262</v>
      </c>
      <c r="G502">
        <v>24456</v>
      </c>
      <c r="H502">
        <v>5.0099581072728521</v>
      </c>
      <c r="I502">
        <v>27663</v>
      </c>
      <c r="J502">
        <v>903.4</v>
      </c>
      <c r="L502" s="20">
        <v>326.484052587424</v>
      </c>
      <c r="M502">
        <v>975.5</v>
      </c>
      <c r="U502">
        <v>25.69047619047619</v>
      </c>
    </row>
    <row r="503" spans="1:21" x14ac:dyDescent="0.2">
      <c r="A503" s="1">
        <v>37042</v>
      </c>
      <c r="B503">
        <v>73.8</v>
      </c>
      <c r="C503">
        <v>96.8</v>
      </c>
      <c r="D503">
        <v>68.1267</v>
      </c>
      <c r="F503">
        <v>22132</v>
      </c>
      <c r="G503">
        <v>24425</v>
      </c>
      <c r="H503">
        <v>4.9124613800205976</v>
      </c>
      <c r="I503">
        <v>27699</v>
      </c>
      <c r="J503">
        <v>906.5</v>
      </c>
      <c r="L503" s="20">
        <v>326.62826657587499</v>
      </c>
      <c r="M503">
        <v>974.9</v>
      </c>
      <c r="U503">
        <v>28.399130434782613</v>
      </c>
    </row>
    <row r="504" spans="1:21" x14ac:dyDescent="0.2">
      <c r="A504" s="1">
        <v>37072</v>
      </c>
      <c r="B504">
        <v>74.099999999999994</v>
      </c>
      <c r="C504">
        <v>97.5</v>
      </c>
      <c r="D504">
        <v>68.365600000000001</v>
      </c>
      <c r="F504">
        <v>22577</v>
      </c>
      <c r="G504">
        <v>25351</v>
      </c>
      <c r="H504">
        <v>5.0317052270779774</v>
      </c>
      <c r="I504">
        <v>27707</v>
      </c>
      <c r="J504">
        <v>906.4</v>
      </c>
      <c r="K504">
        <v>680</v>
      </c>
      <c r="L504" s="20">
        <v>328.44500890779398</v>
      </c>
      <c r="M504">
        <v>961.6</v>
      </c>
      <c r="U504">
        <v>27.771904761904754</v>
      </c>
    </row>
    <row r="505" spans="1:21" x14ac:dyDescent="0.2">
      <c r="A505" s="1">
        <v>37103</v>
      </c>
      <c r="B505">
        <v>74.099999999999994</v>
      </c>
      <c r="C505">
        <v>97.2</v>
      </c>
      <c r="D505">
        <v>68.404399999999995</v>
      </c>
      <c r="F505">
        <v>22115</v>
      </c>
      <c r="G505">
        <v>24320</v>
      </c>
      <c r="H505">
        <v>5.0461074354667304</v>
      </c>
      <c r="I505">
        <v>27699</v>
      </c>
      <c r="J505">
        <v>905.8</v>
      </c>
      <c r="K505">
        <v>674</v>
      </c>
      <c r="L505" s="20">
        <v>328.39632125476999</v>
      </c>
      <c r="M505">
        <v>951.8</v>
      </c>
      <c r="U505">
        <v>24.614999999999998</v>
      </c>
    </row>
    <row r="506" spans="1:21" x14ac:dyDescent="0.2">
      <c r="A506" s="1">
        <v>37134</v>
      </c>
      <c r="B506">
        <v>74.3</v>
      </c>
      <c r="C506">
        <v>98.3</v>
      </c>
      <c r="D506">
        <v>68.479399999999998</v>
      </c>
      <c r="F506">
        <v>21732</v>
      </c>
      <c r="G506">
        <v>24820</v>
      </c>
      <c r="H506">
        <v>5.0784192863502504</v>
      </c>
      <c r="I506">
        <v>27719</v>
      </c>
      <c r="J506">
        <v>906.4</v>
      </c>
      <c r="K506">
        <v>663</v>
      </c>
      <c r="L506" s="20">
        <v>330.72633046839201</v>
      </c>
      <c r="M506">
        <v>951.2</v>
      </c>
      <c r="U506">
        <v>25.673043478260869</v>
      </c>
    </row>
    <row r="507" spans="1:21" x14ac:dyDescent="0.2">
      <c r="A507" s="1">
        <v>37164</v>
      </c>
      <c r="B507">
        <v>74.2</v>
      </c>
      <c r="C507">
        <v>97.8</v>
      </c>
      <c r="D507">
        <v>68.509500000000003</v>
      </c>
      <c r="F507">
        <v>21426</v>
      </c>
      <c r="G507">
        <v>23532</v>
      </c>
      <c r="H507">
        <v>5.092116978289158</v>
      </c>
      <c r="I507">
        <v>27715</v>
      </c>
      <c r="J507">
        <v>904.9</v>
      </c>
      <c r="K507">
        <v>663</v>
      </c>
      <c r="L507" s="20">
        <v>331.10736218489097</v>
      </c>
      <c r="M507">
        <v>946.1</v>
      </c>
      <c r="U507">
        <v>25.511499999999998</v>
      </c>
    </row>
    <row r="508" spans="1:21" x14ac:dyDescent="0.2">
      <c r="A508" s="1">
        <v>37195</v>
      </c>
      <c r="B508">
        <v>74.400000000000006</v>
      </c>
      <c r="C508">
        <v>97.2</v>
      </c>
      <c r="D508">
        <v>68.823400000000007</v>
      </c>
      <c r="F508">
        <v>22806</v>
      </c>
      <c r="G508">
        <v>24848</v>
      </c>
      <c r="H508">
        <v>5.0886318527137089</v>
      </c>
      <c r="I508">
        <v>27735</v>
      </c>
      <c r="J508">
        <v>904.2</v>
      </c>
      <c r="K508">
        <v>639</v>
      </c>
      <c r="L508" s="20">
        <v>332.70195283991097</v>
      </c>
      <c r="M508">
        <v>953</v>
      </c>
      <c r="U508">
        <v>20.452173913043481</v>
      </c>
    </row>
    <row r="509" spans="1:21" x14ac:dyDescent="0.2">
      <c r="A509" s="1">
        <v>37225</v>
      </c>
      <c r="B509">
        <v>74.400000000000006</v>
      </c>
      <c r="C509">
        <v>97.3</v>
      </c>
      <c r="D509">
        <v>68.743200000000002</v>
      </c>
      <c r="F509">
        <v>22025</v>
      </c>
      <c r="G509">
        <v>24191</v>
      </c>
      <c r="H509">
        <v>5.1055255788539036</v>
      </c>
      <c r="I509">
        <v>27787</v>
      </c>
      <c r="J509">
        <v>903.5</v>
      </c>
      <c r="K509">
        <v>626</v>
      </c>
      <c r="L509" s="20">
        <v>333.74069901533397</v>
      </c>
      <c r="M509">
        <v>959.7</v>
      </c>
      <c r="U509">
        <v>18.914090909090909</v>
      </c>
    </row>
    <row r="510" spans="1:21" x14ac:dyDescent="0.2">
      <c r="A510" s="1">
        <v>37256</v>
      </c>
      <c r="B510">
        <v>74.3</v>
      </c>
      <c r="C510">
        <v>96.9</v>
      </c>
      <c r="D510">
        <v>68.695300000000003</v>
      </c>
      <c r="F510">
        <v>21049</v>
      </c>
      <c r="G510">
        <v>23801</v>
      </c>
      <c r="H510">
        <v>5.1836442383112233</v>
      </c>
      <c r="I510">
        <v>27803</v>
      </c>
      <c r="J510">
        <v>903.5</v>
      </c>
      <c r="K510">
        <v>602</v>
      </c>
      <c r="L510" s="20">
        <v>334.15437024259103</v>
      </c>
      <c r="M510">
        <v>966.5</v>
      </c>
      <c r="U510">
        <v>18.53142857142857</v>
      </c>
    </row>
    <row r="511" spans="1:21" x14ac:dyDescent="0.2">
      <c r="A511" s="1">
        <v>37287</v>
      </c>
      <c r="B511">
        <v>74.5</v>
      </c>
      <c r="C511">
        <v>96.3</v>
      </c>
      <c r="D511">
        <v>68.991699999999994</v>
      </c>
      <c r="F511">
        <v>22703</v>
      </c>
      <c r="G511">
        <v>24581</v>
      </c>
      <c r="H511">
        <v>5.1831870795916277</v>
      </c>
      <c r="I511">
        <v>27769</v>
      </c>
      <c r="J511">
        <v>899.7</v>
      </c>
      <c r="K511">
        <v>605</v>
      </c>
      <c r="L511" s="20">
        <v>332.56489400253599</v>
      </c>
      <c r="M511">
        <v>958.2</v>
      </c>
      <c r="U511">
        <v>19.462608695652172</v>
      </c>
    </row>
    <row r="512" spans="1:21" x14ac:dyDescent="0.2">
      <c r="A512" s="1">
        <v>37315</v>
      </c>
      <c r="B512">
        <v>74.400000000000006</v>
      </c>
      <c r="C512">
        <v>96.4</v>
      </c>
      <c r="D512">
        <v>68.841200000000001</v>
      </c>
      <c r="F512">
        <v>22397</v>
      </c>
      <c r="G512">
        <v>25339</v>
      </c>
      <c r="H512">
        <v>5.1486906347092765</v>
      </c>
      <c r="I512">
        <v>27781</v>
      </c>
      <c r="J512">
        <v>900.1</v>
      </c>
      <c r="K512">
        <v>616</v>
      </c>
      <c r="L512" s="20">
        <v>334.08736328413897</v>
      </c>
      <c r="M512">
        <v>951.9</v>
      </c>
      <c r="U512">
        <v>20.110999999999997</v>
      </c>
    </row>
    <row r="513" spans="1:21" x14ac:dyDescent="0.2">
      <c r="A513" s="1">
        <v>37346</v>
      </c>
      <c r="B513">
        <v>74.599999999999994</v>
      </c>
      <c r="C513">
        <v>98.2</v>
      </c>
      <c r="D513">
        <v>68.745900000000006</v>
      </c>
      <c r="F513">
        <v>22615</v>
      </c>
      <c r="G513">
        <v>25448</v>
      </c>
      <c r="H513">
        <v>5.1685316593886466</v>
      </c>
      <c r="I513">
        <v>27797</v>
      </c>
      <c r="J513">
        <v>901.5</v>
      </c>
      <c r="K513">
        <v>617</v>
      </c>
      <c r="L513" s="20">
        <v>334.311332153649</v>
      </c>
      <c r="M513">
        <v>947.5</v>
      </c>
      <c r="U513">
        <v>23.843809523809526</v>
      </c>
    </row>
    <row r="514" spans="1:21" x14ac:dyDescent="0.2">
      <c r="A514" s="1">
        <v>37376</v>
      </c>
      <c r="B514">
        <v>75</v>
      </c>
      <c r="C514">
        <v>96.1</v>
      </c>
      <c r="D514">
        <v>69.701499999999996</v>
      </c>
      <c r="F514">
        <v>23208</v>
      </c>
      <c r="G514">
        <v>26560</v>
      </c>
      <c r="H514">
        <v>5.1807474981278512</v>
      </c>
      <c r="I514">
        <v>27856</v>
      </c>
      <c r="J514">
        <v>903.9</v>
      </c>
      <c r="K514">
        <v>622</v>
      </c>
      <c r="L514" s="20">
        <v>338.34113920921902</v>
      </c>
      <c r="M514">
        <v>954.9</v>
      </c>
      <c r="U514">
        <v>25.598181818181818</v>
      </c>
    </row>
    <row r="515" spans="1:21" x14ac:dyDescent="0.2">
      <c r="A515" s="1">
        <v>37407</v>
      </c>
      <c r="B515">
        <v>75.5</v>
      </c>
      <c r="C515">
        <v>99.1</v>
      </c>
      <c r="D515">
        <v>69.808199999999999</v>
      </c>
      <c r="F515">
        <v>25099</v>
      </c>
      <c r="G515">
        <v>26852</v>
      </c>
      <c r="H515">
        <v>5.2395514780835883</v>
      </c>
      <c r="I515">
        <v>27888</v>
      </c>
      <c r="J515">
        <v>908.3</v>
      </c>
      <c r="K515">
        <v>613</v>
      </c>
      <c r="L515" s="20">
        <v>338.78087109263402</v>
      </c>
      <c r="M515">
        <v>947.1</v>
      </c>
      <c r="U515">
        <v>25.339130434782607</v>
      </c>
    </row>
    <row r="516" spans="1:21" x14ac:dyDescent="0.2">
      <c r="A516" s="1">
        <v>37437</v>
      </c>
      <c r="B516">
        <v>73.8</v>
      </c>
      <c r="C516">
        <v>94</v>
      </c>
      <c r="D516">
        <v>68.494100000000003</v>
      </c>
      <c r="F516">
        <v>22436</v>
      </c>
      <c r="G516">
        <v>25608</v>
      </c>
      <c r="H516">
        <v>5.1607646080195568</v>
      </c>
      <c r="I516">
        <v>27933</v>
      </c>
      <c r="J516">
        <v>897.4</v>
      </c>
      <c r="K516">
        <v>616</v>
      </c>
      <c r="L516" s="20">
        <v>340.467139414288</v>
      </c>
      <c r="M516">
        <v>949.7</v>
      </c>
      <c r="U516">
        <v>24.178999999999995</v>
      </c>
    </row>
    <row r="517" spans="1:21" x14ac:dyDescent="0.2">
      <c r="A517" s="1">
        <v>37468</v>
      </c>
      <c r="B517">
        <v>75.099999999999994</v>
      </c>
      <c r="C517">
        <v>100.2</v>
      </c>
      <c r="D517">
        <v>69.067300000000003</v>
      </c>
      <c r="F517">
        <v>23561</v>
      </c>
      <c r="G517">
        <v>26872</v>
      </c>
      <c r="H517">
        <v>5.187701715644641</v>
      </c>
      <c r="I517">
        <v>27908</v>
      </c>
      <c r="J517">
        <v>898.9</v>
      </c>
      <c r="K517">
        <v>612</v>
      </c>
      <c r="L517" s="20">
        <v>341.41961920593201</v>
      </c>
      <c r="M517">
        <v>950</v>
      </c>
      <c r="U517">
        <v>25.833913043478258</v>
      </c>
    </row>
    <row r="518" spans="1:21" x14ac:dyDescent="0.2">
      <c r="A518" s="1">
        <v>37499</v>
      </c>
      <c r="B518">
        <v>75.400000000000006</v>
      </c>
      <c r="C518">
        <v>100</v>
      </c>
      <c r="D518">
        <v>69.412000000000006</v>
      </c>
      <c r="F518">
        <v>21328</v>
      </c>
      <c r="G518">
        <v>24721</v>
      </c>
      <c r="H518">
        <v>5.2190721649484537</v>
      </c>
      <c r="I518">
        <v>27949</v>
      </c>
      <c r="J518">
        <v>894.2</v>
      </c>
      <c r="K518">
        <v>613</v>
      </c>
      <c r="L518" s="20">
        <v>340.96253140618001</v>
      </c>
      <c r="M518">
        <v>945.7</v>
      </c>
      <c r="U518">
        <v>26.658636363636365</v>
      </c>
    </row>
    <row r="519" spans="1:21" x14ac:dyDescent="0.2">
      <c r="A519" s="1">
        <v>37529</v>
      </c>
      <c r="B519">
        <v>75.7</v>
      </c>
      <c r="C519">
        <v>101.5</v>
      </c>
      <c r="D519">
        <v>69.474299999999999</v>
      </c>
      <c r="F519">
        <v>22519</v>
      </c>
      <c r="G519">
        <v>25408</v>
      </c>
      <c r="H519">
        <v>5.3082946340802009</v>
      </c>
      <c r="I519">
        <v>27935</v>
      </c>
      <c r="J519">
        <v>903.9</v>
      </c>
      <c r="K519">
        <v>609</v>
      </c>
      <c r="L519" s="20">
        <v>341.99631167898502</v>
      </c>
      <c r="M519">
        <v>943.7</v>
      </c>
      <c r="U519">
        <v>28.378095238095231</v>
      </c>
    </row>
    <row r="520" spans="1:21" x14ac:dyDescent="0.2">
      <c r="A520" s="1">
        <v>37560</v>
      </c>
      <c r="B520">
        <v>75.900000000000006</v>
      </c>
      <c r="C520">
        <v>100.2</v>
      </c>
      <c r="D520">
        <v>69.896900000000002</v>
      </c>
      <c r="F520">
        <v>22091</v>
      </c>
      <c r="G520">
        <v>26131</v>
      </c>
      <c r="H520">
        <v>5.2284487131793433</v>
      </c>
      <c r="I520">
        <v>28023</v>
      </c>
      <c r="J520">
        <v>904.3</v>
      </c>
      <c r="K520">
        <v>609</v>
      </c>
      <c r="L520" s="20">
        <v>342.37653370099702</v>
      </c>
      <c r="M520">
        <v>939.5</v>
      </c>
      <c r="U520">
        <v>27.533043478260879</v>
      </c>
    </row>
    <row r="521" spans="1:21" x14ac:dyDescent="0.2">
      <c r="A521" s="1">
        <v>37590</v>
      </c>
      <c r="B521">
        <v>76</v>
      </c>
      <c r="C521">
        <v>100.5</v>
      </c>
      <c r="D521">
        <v>70.114500000000007</v>
      </c>
      <c r="F521">
        <v>21226</v>
      </c>
      <c r="G521">
        <v>26085</v>
      </c>
      <c r="H521">
        <v>5.17724983947822</v>
      </c>
      <c r="I521">
        <v>28059</v>
      </c>
      <c r="J521">
        <v>906.4</v>
      </c>
      <c r="K521">
        <v>608</v>
      </c>
      <c r="L521" s="20">
        <v>343.42755089607198</v>
      </c>
      <c r="M521">
        <v>936.4</v>
      </c>
      <c r="U521">
        <v>24.150952380952383</v>
      </c>
    </row>
    <row r="522" spans="1:21" x14ac:dyDescent="0.2">
      <c r="A522" s="1">
        <v>37621</v>
      </c>
      <c r="B522">
        <v>76</v>
      </c>
      <c r="C522">
        <v>101.3</v>
      </c>
      <c r="D522">
        <v>70.077399999999997</v>
      </c>
      <c r="F522">
        <v>21252</v>
      </c>
      <c r="G522">
        <v>24444</v>
      </c>
      <c r="H522">
        <v>5.1171268480388852</v>
      </c>
      <c r="I522">
        <v>28110</v>
      </c>
      <c r="J522">
        <v>905.3</v>
      </c>
      <c r="K522">
        <v>603</v>
      </c>
      <c r="L522" s="20">
        <v>342.90749097964601</v>
      </c>
      <c r="M522">
        <v>935.2</v>
      </c>
      <c r="U522">
        <v>28.659545454545455</v>
      </c>
    </row>
    <row r="523" spans="1:21" x14ac:dyDescent="0.2">
      <c r="A523" s="1">
        <v>37652</v>
      </c>
      <c r="B523">
        <v>76.3</v>
      </c>
      <c r="C523">
        <v>100.8</v>
      </c>
      <c r="D523">
        <v>70.593800000000002</v>
      </c>
      <c r="F523">
        <v>23364</v>
      </c>
      <c r="G523">
        <v>25772</v>
      </c>
      <c r="H523">
        <v>5.0065965292107846</v>
      </c>
      <c r="I523">
        <v>28081</v>
      </c>
      <c r="J523">
        <v>903.5</v>
      </c>
      <c r="K523">
        <v>602</v>
      </c>
      <c r="L523" s="20">
        <v>339.25820746739203</v>
      </c>
      <c r="M523">
        <v>939.3</v>
      </c>
      <c r="U523">
        <v>31.142608695652171</v>
      </c>
    </row>
    <row r="524" spans="1:21" x14ac:dyDescent="0.2">
      <c r="A524" s="1">
        <v>37680</v>
      </c>
      <c r="B524">
        <v>76.599999999999994</v>
      </c>
      <c r="C524">
        <v>101.9</v>
      </c>
      <c r="D524">
        <v>70.834599999999995</v>
      </c>
      <c r="F524">
        <v>22566</v>
      </c>
      <c r="G524">
        <v>25480</v>
      </c>
      <c r="H524">
        <v>5.1293322062552829</v>
      </c>
      <c r="I524">
        <v>28058</v>
      </c>
      <c r="J524">
        <v>901.7</v>
      </c>
      <c r="K524">
        <v>596</v>
      </c>
      <c r="L524" s="20">
        <v>340.901370925116</v>
      </c>
      <c r="M524">
        <v>942.5</v>
      </c>
      <c r="U524">
        <v>32.697499999999998</v>
      </c>
    </row>
    <row r="525" spans="1:21" x14ac:dyDescent="0.2">
      <c r="A525" s="1">
        <v>37711</v>
      </c>
      <c r="B525">
        <v>76.400000000000006</v>
      </c>
      <c r="C525">
        <v>101.6</v>
      </c>
      <c r="D525">
        <v>70.66</v>
      </c>
      <c r="F525">
        <v>21850</v>
      </c>
      <c r="G525">
        <v>26017</v>
      </c>
      <c r="H525">
        <v>5.1670604117448535</v>
      </c>
      <c r="I525">
        <v>28099</v>
      </c>
      <c r="J525">
        <v>904.6</v>
      </c>
      <c r="K525">
        <v>594</v>
      </c>
      <c r="L525" s="20">
        <v>348.75712707274698</v>
      </c>
      <c r="M525">
        <v>941.2</v>
      </c>
      <c r="U525">
        <v>30.296666666666663</v>
      </c>
    </row>
    <row r="526" spans="1:21" x14ac:dyDescent="0.2">
      <c r="A526" s="1">
        <v>37741</v>
      </c>
      <c r="B526">
        <v>77.2</v>
      </c>
      <c r="C526">
        <v>101.1</v>
      </c>
      <c r="D526">
        <v>71.655799999999999</v>
      </c>
      <c r="F526">
        <v>23600</v>
      </c>
      <c r="G526">
        <v>25401</v>
      </c>
      <c r="H526">
        <v>5.1148049495937151</v>
      </c>
      <c r="I526">
        <v>28142</v>
      </c>
      <c r="J526">
        <v>905.3</v>
      </c>
      <c r="K526">
        <v>585</v>
      </c>
      <c r="L526" s="20">
        <v>347.33965449324302</v>
      </c>
      <c r="M526">
        <v>936.1</v>
      </c>
      <c r="U526">
        <v>24.923636363636362</v>
      </c>
    </row>
    <row r="527" spans="1:21" x14ac:dyDescent="0.2">
      <c r="A527" s="1">
        <v>37772</v>
      </c>
      <c r="B527">
        <v>76.900000000000006</v>
      </c>
      <c r="C527">
        <v>99.8</v>
      </c>
      <c r="D527">
        <v>71.506</v>
      </c>
      <c r="F527">
        <v>21733</v>
      </c>
      <c r="G527">
        <v>25665</v>
      </c>
      <c r="H527">
        <v>5.0058952332828026</v>
      </c>
      <c r="I527">
        <v>28199</v>
      </c>
      <c r="J527">
        <v>905.5</v>
      </c>
      <c r="K527">
        <v>588</v>
      </c>
      <c r="L527" s="20">
        <v>348.239241293585</v>
      </c>
      <c r="M527">
        <v>947.2</v>
      </c>
      <c r="U527">
        <v>25.780909090909095</v>
      </c>
    </row>
    <row r="528" spans="1:21" x14ac:dyDescent="0.2">
      <c r="A528" s="1">
        <v>37802</v>
      </c>
      <c r="B528">
        <v>77.400000000000006</v>
      </c>
      <c r="C528">
        <v>100.4</v>
      </c>
      <c r="D528">
        <v>71.950999999999993</v>
      </c>
      <c r="F528">
        <v>20288</v>
      </c>
      <c r="G528">
        <v>25538</v>
      </c>
      <c r="H528">
        <v>4.940558380763143</v>
      </c>
      <c r="I528">
        <v>28226</v>
      </c>
      <c r="J528">
        <v>907.2</v>
      </c>
      <c r="K528">
        <v>579</v>
      </c>
      <c r="L528" s="20">
        <v>349.23178237283702</v>
      </c>
      <c r="M528">
        <v>947.1</v>
      </c>
      <c r="U528">
        <v>27.619523809523816</v>
      </c>
    </row>
    <row r="529" spans="1:21" x14ac:dyDescent="0.2">
      <c r="A529" s="1">
        <v>37833</v>
      </c>
      <c r="B529">
        <v>77.599999999999994</v>
      </c>
      <c r="C529">
        <v>101</v>
      </c>
      <c r="D529">
        <v>72.194999999999993</v>
      </c>
      <c r="F529">
        <v>22261</v>
      </c>
      <c r="G529">
        <v>25570</v>
      </c>
      <c r="H529">
        <v>5.0635464998991324</v>
      </c>
      <c r="I529">
        <v>28236</v>
      </c>
      <c r="J529">
        <v>908.6</v>
      </c>
      <c r="K529">
        <v>574</v>
      </c>
      <c r="L529" s="20">
        <v>351.22218740315702</v>
      </c>
      <c r="M529">
        <v>940.2</v>
      </c>
      <c r="U529">
        <v>28.482173913043479</v>
      </c>
    </row>
    <row r="530" spans="1:21" x14ac:dyDescent="0.2">
      <c r="A530" s="1">
        <v>37864</v>
      </c>
      <c r="B530">
        <v>77.7</v>
      </c>
      <c r="C530">
        <v>101.2</v>
      </c>
      <c r="D530">
        <v>72.2684</v>
      </c>
      <c r="F530">
        <v>21684</v>
      </c>
      <c r="G530">
        <v>24876</v>
      </c>
      <c r="H530">
        <v>5.0585228037131706</v>
      </c>
      <c r="I530">
        <v>28228</v>
      </c>
      <c r="J530">
        <v>908.1</v>
      </c>
      <c r="K530">
        <v>576</v>
      </c>
      <c r="L530" s="20">
        <v>352.19249594941402</v>
      </c>
      <c r="M530">
        <v>933.3</v>
      </c>
      <c r="U530">
        <v>29.77571428571429</v>
      </c>
    </row>
    <row r="531" spans="1:21" x14ac:dyDescent="0.2">
      <c r="A531" s="1">
        <v>37894</v>
      </c>
      <c r="B531">
        <v>78.2</v>
      </c>
      <c r="C531">
        <v>101.4</v>
      </c>
      <c r="D531">
        <v>72.888099999999994</v>
      </c>
      <c r="F531">
        <v>21152</v>
      </c>
      <c r="G531">
        <v>26398</v>
      </c>
      <c r="H531">
        <v>5.0473822165468105</v>
      </c>
      <c r="I531">
        <v>28256</v>
      </c>
      <c r="J531">
        <v>908.3</v>
      </c>
      <c r="K531">
        <v>592</v>
      </c>
      <c r="L531" s="20">
        <v>354.54397538303499</v>
      </c>
      <c r="M531">
        <v>928.7</v>
      </c>
      <c r="U531">
        <v>27.050454545454542</v>
      </c>
    </row>
    <row r="532" spans="1:21" x14ac:dyDescent="0.2">
      <c r="A532" s="1">
        <v>37925</v>
      </c>
      <c r="B532">
        <v>78.599999999999994</v>
      </c>
      <c r="C532">
        <v>103.2</v>
      </c>
      <c r="D532">
        <v>72.998999999999995</v>
      </c>
      <c r="F532">
        <v>22846</v>
      </c>
      <c r="G532">
        <v>26907</v>
      </c>
      <c r="H532">
        <v>4.9499294307413129</v>
      </c>
      <c r="I532">
        <v>28285</v>
      </c>
      <c r="J532">
        <v>907.4</v>
      </c>
      <c r="K532">
        <v>604</v>
      </c>
      <c r="L532" s="20">
        <v>356.50807679187801</v>
      </c>
      <c r="M532">
        <v>922</v>
      </c>
      <c r="U532">
        <v>29.574782608695653</v>
      </c>
    </row>
    <row r="533" spans="1:21" x14ac:dyDescent="0.2">
      <c r="A533" s="1">
        <v>37955</v>
      </c>
      <c r="B533">
        <v>78.3</v>
      </c>
      <c r="C533">
        <v>101.8</v>
      </c>
      <c r="D533">
        <v>72.871700000000004</v>
      </c>
      <c r="F533">
        <v>21919</v>
      </c>
      <c r="G533">
        <v>26354</v>
      </c>
      <c r="H533">
        <v>4.9099341309315765</v>
      </c>
      <c r="I533">
        <v>28295</v>
      </c>
      <c r="J533">
        <v>905.2</v>
      </c>
      <c r="K533">
        <v>610</v>
      </c>
      <c r="L533" s="20">
        <v>356.758195127178</v>
      </c>
      <c r="M533">
        <v>913</v>
      </c>
      <c r="U533">
        <v>28.838000000000005</v>
      </c>
    </row>
    <row r="534" spans="1:21" x14ac:dyDescent="0.2">
      <c r="A534" s="1">
        <v>37986</v>
      </c>
      <c r="B534">
        <v>78.7</v>
      </c>
      <c r="C534">
        <v>101.8</v>
      </c>
      <c r="D534">
        <v>73.328199999999995</v>
      </c>
      <c r="F534">
        <v>22732</v>
      </c>
      <c r="G534">
        <v>27001</v>
      </c>
      <c r="H534">
        <v>4.895668828332381</v>
      </c>
      <c r="I534">
        <v>28304</v>
      </c>
      <c r="J534">
        <v>903.9</v>
      </c>
      <c r="K534">
        <v>615</v>
      </c>
      <c r="L534" s="20">
        <v>357.32472870818202</v>
      </c>
      <c r="M534">
        <v>906</v>
      </c>
      <c r="U534">
        <v>29.839130434782611</v>
      </c>
    </row>
    <row r="535" spans="1:21" x14ac:dyDescent="0.2">
      <c r="A535" s="1">
        <v>38017</v>
      </c>
      <c r="B535">
        <v>78.599999999999994</v>
      </c>
      <c r="C535">
        <v>103.1</v>
      </c>
      <c r="D535">
        <v>72.989099999999993</v>
      </c>
      <c r="F535">
        <v>21520</v>
      </c>
      <c r="G535">
        <v>26697</v>
      </c>
      <c r="H535">
        <v>4.8322777386816798</v>
      </c>
      <c r="I535">
        <v>28399</v>
      </c>
      <c r="J535">
        <v>905.2</v>
      </c>
      <c r="K535">
        <v>613</v>
      </c>
      <c r="L535" s="20">
        <v>364.31027779583098</v>
      </c>
      <c r="M535">
        <v>899.2</v>
      </c>
      <c r="U535">
        <v>31.114999999999998</v>
      </c>
    </row>
    <row r="536" spans="1:21" x14ac:dyDescent="0.2">
      <c r="A536" s="1">
        <v>38046</v>
      </c>
      <c r="B536">
        <v>78.599999999999994</v>
      </c>
      <c r="C536">
        <v>102.8</v>
      </c>
      <c r="D536">
        <v>72.993799999999993</v>
      </c>
      <c r="F536">
        <v>22221</v>
      </c>
      <c r="G536">
        <v>26488</v>
      </c>
      <c r="H536">
        <v>4.8068554595969744</v>
      </c>
      <c r="I536">
        <v>28438</v>
      </c>
      <c r="J536">
        <v>909.1</v>
      </c>
      <c r="K536">
        <v>617</v>
      </c>
      <c r="L536" s="20">
        <v>351.94301705709</v>
      </c>
      <c r="M536">
        <v>892.1</v>
      </c>
      <c r="U536">
        <v>30.861999999999995</v>
      </c>
    </row>
    <row r="537" spans="1:21" x14ac:dyDescent="0.2">
      <c r="A537" s="1">
        <v>38077</v>
      </c>
      <c r="B537">
        <v>78.900000000000006</v>
      </c>
      <c r="C537">
        <v>102.9</v>
      </c>
      <c r="D537">
        <v>73.435599999999994</v>
      </c>
      <c r="F537">
        <v>22482</v>
      </c>
      <c r="G537">
        <v>26959</v>
      </c>
      <c r="H537">
        <v>4.7971096912320608</v>
      </c>
      <c r="I537">
        <v>28459</v>
      </c>
      <c r="J537">
        <v>913.1</v>
      </c>
      <c r="K537">
        <v>624</v>
      </c>
      <c r="L537" s="20">
        <v>361.39628269518698</v>
      </c>
      <c r="M537">
        <v>881</v>
      </c>
      <c r="U537">
        <v>33.746956521739136</v>
      </c>
    </row>
    <row r="538" spans="1:21" x14ac:dyDescent="0.2">
      <c r="A538" s="1">
        <v>38107</v>
      </c>
      <c r="B538">
        <v>78.900000000000006</v>
      </c>
      <c r="C538">
        <v>103.4</v>
      </c>
      <c r="D538">
        <v>73.433800000000005</v>
      </c>
      <c r="F538">
        <v>22786</v>
      </c>
      <c r="G538">
        <v>27269</v>
      </c>
      <c r="H538">
        <v>4.8082714314394703</v>
      </c>
      <c r="I538">
        <v>28449</v>
      </c>
      <c r="J538">
        <v>911.5</v>
      </c>
      <c r="K538">
        <v>631</v>
      </c>
      <c r="L538" s="20">
        <v>362.036567016775</v>
      </c>
      <c r="M538">
        <v>871.9</v>
      </c>
      <c r="U538">
        <v>33.356363636363646</v>
      </c>
    </row>
    <row r="539" spans="1:21" x14ac:dyDescent="0.2">
      <c r="A539" s="1">
        <v>38138</v>
      </c>
      <c r="B539">
        <v>79.099999999999994</v>
      </c>
      <c r="C539">
        <v>101.9</v>
      </c>
      <c r="D539">
        <v>73.978099999999998</v>
      </c>
      <c r="F539">
        <v>21879</v>
      </c>
      <c r="G539">
        <v>26946</v>
      </c>
      <c r="H539">
        <v>4.7991705963011269</v>
      </c>
      <c r="I539">
        <v>28466</v>
      </c>
      <c r="J539">
        <v>911.4</v>
      </c>
      <c r="K539">
        <v>636</v>
      </c>
      <c r="L539" s="20">
        <v>363.316992200605</v>
      </c>
      <c r="M539">
        <v>858.1</v>
      </c>
      <c r="U539">
        <v>37.720952380952376</v>
      </c>
    </row>
    <row r="540" spans="1:21" x14ac:dyDescent="0.2">
      <c r="A540" s="1">
        <v>38168</v>
      </c>
      <c r="B540">
        <v>79.400000000000006</v>
      </c>
      <c r="C540">
        <v>101.7</v>
      </c>
      <c r="D540">
        <v>74.406800000000004</v>
      </c>
      <c r="F540">
        <v>22214</v>
      </c>
      <c r="G540">
        <v>27671</v>
      </c>
      <c r="H540">
        <v>4.8048951750426321</v>
      </c>
      <c r="I540">
        <v>28470</v>
      </c>
      <c r="J540">
        <v>909.8</v>
      </c>
      <c r="K540">
        <v>641</v>
      </c>
      <c r="L540" s="20">
        <v>363.78591533882201</v>
      </c>
      <c r="M540">
        <v>846.9</v>
      </c>
      <c r="U540">
        <v>35.145909090909086</v>
      </c>
    </row>
    <row r="541" spans="1:21" x14ac:dyDescent="0.2">
      <c r="A541" s="1">
        <v>38199</v>
      </c>
      <c r="B541">
        <v>79.3</v>
      </c>
      <c r="C541">
        <v>101.3</v>
      </c>
      <c r="D541">
        <v>74.460599999999999</v>
      </c>
      <c r="F541">
        <v>22796</v>
      </c>
      <c r="G541">
        <v>28296</v>
      </c>
      <c r="H541">
        <v>4.7612674406932785</v>
      </c>
      <c r="I541">
        <v>28464</v>
      </c>
      <c r="J541">
        <v>907.9</v>
      </c>
      <c r="K541">
        <v>652</v>
      </c>
      <c r="L541" s="20">
        <v>364.72424473195798</v>
      </c>
      <c r="M541">
        <v>836.4</v>
      </c>
      <c r="U541">
        <v>38.31363636363637</v>
      </c>
    </row>
    <row r="542" spans="1:21" x14ac:dyDescent="0.2">
      <c r="A542" s="1">
        <v>38230</v>
      </c>
      <c r="B542">
        <v>79.2</v>
      </c>
      <c r="C542">
        <v>99.8</v>
      </c>
      <c r="D542">
        <v>74.477699999999999</v>
      </c>
      <c r="F542">
        <v>22489</v>
      </c>
      <c r="G542">
        <v>27931</v>
      </c>
      <c r="H542">
        <v>4.7013551949138366</v>
      </c>
      <c r="I542">
        <v>28480</v>
      </c>
      <c r="J542">
        <v>908.9</v>
      </c>
      <c r="K542">
        <v>654</v>
      </c>
      <c r="L542" s="20">
        <v>367.287809205673</v>
      </c>
      <c r="M542">
        <v>834.5</v>
      </c>
      <c r="U542">
        <v>42.839545454545458</v>
      </c>
    </row>
    <row r="543" spans="1:21" x14ac:dyDescent="0.2">
      <c r="A543" s="1">
        <v>38260</v>
      </c>
      <c r="B543">
        <v>79.400000000000006</v>
      </c>
      <c r="C543">
        <v>99.5</v>
      </c>
      <c r="D543">
        <v>74.923900000000003</v>
      </c>
      <c r="F543">
        <v>22816</v>
      </c>
      <c r="G543">
        <v>27784</v>
      </c>
      <c r="H543">
        <v>4.6826431364684646</v>
      </c>
      <c r="I543">
        <v>28518</v>
      </c>
      <c r="J543">
        <v>911.9</v>
      </c>
      <c r="K543">
        <v>654</v>
      </c>
      <c r="L543" s="20">
        <v>369.29898660672501</v>
      </c>
      <c r="M543">
        <v>832.9</v>
      </c>
      <c r="U543">
        <v>43.278181818181821</v>
      </c>
    </row>
    <row r="544" spans="1:21" x14ac:dyDescent="0.2">
      <c r="A544" s="1">
        <v>38291</v>
      </c>
      <c r="B544">
        <v>79.7</v>
      </c>
      <c r="C544">
        <v>99.5</v>
      </c>
      <c r="D544">
        <v>75.289699999999996</v>
      </c>
      <c r="F544">
        <v>22342</v>
      </c>
      <c r="G544">
        <v>28300</v>
      </c>
      <c r="H544">
        <v>4.6658428242209675</v>
      </c>
      <c r="I544">
        <v>28544</v>
      </c>
      <c r="J544">
        <v>916</v>
      </c>
      <c r="K544">
        <v>654</v>
      </c>
      <c r="L544" s="20">
        <v>371.63648077618598</v>
      </c>
      <c r="M544">
        <v>831.5</v>
      </c>
      <c r="U544">
        <v>49.658095238095243</v>
      </c>
    </row>
    <row r="545" spans="1:21" x14ac:dyDescent="0.2">
      <c r="A545" s="1">
        <v>38321</v>
      </c>
      <c r="B545">
        <v>79.8</v>
      </c>
      <c r="C545">
        <v>100.2</v>
      </c>
      <c r="D545">
        <v>75.358400000000003</v>
      </c>
      <c r="F545">
        <v>23045</v>
      </c>
      <c r="G545">
        <v>28250</v>
      </c>
      <c r="H545">
        <v>4.6846906838915894</v>
      </c>
      <c r="I545">
        <v>28627</v>
      </c>
      <c r="J545">
        <v>919.3</v>
      </c>
      <c r="K545">
        <v>658</v>
      </c>
      <c r="L545" s="20">
        <v>372.00604265607097</v>
      </c>
      <c r="M545">
        <v>829.5</v>
      </c>
      <c r="U545">
        <v>42.933636363636367</v>
      </c>
    </row>
    <row r="546" spans="1:21" x14ac:dyDescent="0.2">
      <c r="A546" s="1">
        <v>38352</v>
      </c>
      <c r="B546">
        <v>79.900000000000006</v>
      </c>
      <c r="C546">
        <v>99.7</v>
      </c>
      <c r="D546">
        <v>75.456299999999999</v>
      </c>
      <c r="F546">
        <v>24143</v>
      </c>
      <c r="G546">
        <v>28981</v>
      </c>
      <c r="H546">
        <v>4.7282030834662416</v>
      </c>
      <c r="I546">
        <v>28673</v>
      </c>
      <c r="J546">
        <v>923</v>
      </c>
      <c r="K546">
        <v>662</v>
      </c>
      <c r="L546" s="20">
        <v>372.99633414557599</v>
      </c>
      <c r="M546">
        <v>826.1</v>
      </c>
      <c r="U546">
        <v>39.900869565217391</v>
      </c>
    </row>
    <row r="547" spans="1:21" x14ac:dyDescent="0.2">
      <c r="A547" s="1">
        <v>38383</v>
      </c>
      <c r="B547">
        <v>80.599999999999994</v>
      </c>
      <c r="C547">
        <v>100.3</v>
      </c>
      <c r="D547">
        <v>76.104200000000006</v>
      </c>
      <c r="F547">
        <v>22362</v>
      </c>
      <c r="G547">
        <v>28217</v>
      </c>
      <c r="H547">
        <v>4.7262114026068787</v>
      </c>
      <c r="I547">
        <v>28726</v>
      </c>
      <c r="J547">
        <v>924.2</v>
      </c>
      <c r="K547">
        <v>661</v>
      </c>
      <c r="L547" s="20">
        <v>379.10094782412898</v>
      </c>
      <c r="M547">
        <v>823.7</v>
      </c>
      <c r="U547">
        <v>44.236190476190487</v>
      </c>
    </row>
    <row r="548" spans="1:21" x14ac:dyDescent="0.2">
      <c r="A548" s="1">
        <v>38411</v>
      </c>
      <c r="B548">
        <v>80.599999999999994</v>
      </c>
      <c r="C548">
        <v>99.9</v>
      </c>
      <c r="D548">
        <v>76.048299999999998</v>
      </c>
      <c r="F548">
        <v>22106</v>
      </c>
      <c r="G548">
        <v>27519</v>
      </c>
      <c r="H548">
        <v>4.7848946794087501</v>
      </c>
      <c r="I548">
        <v>28794</v>
      </c>
      <c r="J548">
        <v>926.4</v>
      </c>
      <c r="K548">
        <v>655</v>
      </c>
      <c r="L548" s="20">
        <v>370.85010893262</v>
      </c>
      <c r="M548">
        <v>821.7</v>
      </c>
      <c r="U548">
        <v>45.397499999999994</v>
      </c>
    </row>
    <row r="549" spans="1:21" x14ac:dyDescent="0.2">
      <c r="A549" s="1">
        <v>38442</v>
      </c>
      <c r="B549">
        <v>80.3</v>
      </c>
      <c r="C549">
        <v>98.3</v>
      </c>
      <c r="D549">
        <v>75.951400000000007</v>
      </c>
      <c r="F549">
        <v>22718</v>
      </c>
      <c r="G549">
        <v>28904</v>
      </c>
      <c r="H549">
        <v>4.6879655686144677</v>
      </c>
      <c r="I549">
        <v>28789</v>
      </c>
      <c r="J549">
        <v>923.8</v>
      </c>
      <c r="K549">
        <v>642</v>
      </c>
      <c r="L549" s="20">
        <v>375.90823693098997</v>
      </c>
      <c r="M549">
        <v>830.1</v>
      </c>
      <c r="U549">
        <v>52.953478260869581</v>
      </c>
    </row>
    <row r="550" spans="1:21" x14ac:dyDescent="0.2">
      <c r="A550" s="1">
        <v>38472</v>
      </c>
      <c r="B550">
        <v>81.3</v>
      </c>
      <c r="C550">
        <v>100.9</v>
      </c>
      <c r="D550">
        <v>76.704499999999996</v>
      </c>
      <c r="F550">
        <v>23899</v>
      </c>
      <c r="G550">
        <v>29938</v>
      </c>
      <c r="H550">
        <v>4.7052586235461744</v>
      </c>
      <c r="I550">
        <v>28759</v>
      </c>
      <c r="J550">
        <v>923.6</v>
      </c>
      <c r="K550">
        <v>638</v>
      </c>
      <c r="L550" s="20">
        <v>378.55975062123503</v>
      </c>
      <c r="M550">
        <v>840.3</v>
      </c>
      <c r="U550">
        <v>51.830952380952375</v>
      </c>
    </row>
    <row r="551" spans="1:21" x14ac:dyDescent="0.2">
      <c r="A551" s="1">
        <v>38503</v>
      </c>
      <c r="B551">
        <v>81</v>
      </c>
      <c r="C551">
        <v>100.3</v>
      </c>
      <c r="D551">
        <v>76.447400000000002</v>
      </c>
      <c r="F551">
        <v>23542</v>
      </c>
      <c r="G551">
        <v>29129</v>
      </c>
      <c r="H551">
        <v>4.7524490336245702</v>
      </c>
      <c r="I551">
        <v>28780</v>
      </c>
      <c r="J551">
        <v>923</v>
      </c>
      <c r="K551">
        <v>642</v>
      </c>
      <c r="L551" s="20">
        <v>379.53916656437099</v>
      </c>
      <c r="M551">
        <v>854.1</v>
      </c>
      <c r="U551">
        <v>48.665909090909082</v>
      </c>
    </row>
    <row r="552" spans="1:21" x14ac:dyDescent="0.2">
      <c r="A552" s="1">
        <v>38533</v>
      </c>
      <c r="B552">
        <v>81.5</v>
      </c>
      <c r="C552">
        <v>101.1</v>
      </c>
      <c r="D552">
        <v>76.969200000000001</v>
      </c>
      <c r="F552">
        <v>24990</v>
      </c>
      <c r="G552">
        <v>29691</v>
      </c>
      <c r="H552">
        <v>4.752141274513046</v>
      </c>
      <c r="I552">
        <v>28802</v>
      </c>
      <c r="J552">
        <v>922.9</v>
      </c>
      <c r="K552">
        <v>642</v>
      </c>
      <c r="L552" s="20">
        <v>379.73290552237103</v>
      </c>
      <c r="M552">
        <v>863.2</v>
      </c>
      <c r="U552">
        <v>54.44681818181818</v>
      </c>
    </row>
    <row r="553" spans="1:21" x14ac:dyDescent="0.2">
      <c r="A553" s="1">
        <v>38564</v>
      </c>
      <c r="B553">
        <v>81.8</v>
      </c>
      <c r="C553">
        <v>99.9</v>
      </c>
      <c r="D553">
        <v>77.670500000000004</v>
      </c>
      <c r="F553">
        <v>24073</v>
      </c>
      <c r="G553">
        <v>29707</v>
      </c>
      <c r="H553">
        <v>4.7029294230324643</v>
      </c>
      <c r="I553">
        <v>28855</v>
      </c>
      <c r="J553">
        <v>925.1</v>
      </c>
      <c r="K553">
        <v>633</v>
      </c>
      <c r="L553" s="20">
        <v>382.69394809840202</v>
      </c>
      <c r="M553">
        <v>866.7</v>
      </c>
      <c r="U553">
        <v>57.589523809523804</v>
      </c>
    </row>
    <row r="554" spans="1:21" x14ac:dyDescent="0.2">
      <c r="A554" s="1">
        <v>38595</v>
      </c>
      <c r="B554">
        <v>81.8</v>
      </c>
      <c r="C554">
        <v>99.1</v>
      </c>
      <c r="D554">
        <v>77.793599999999998</v>
      </c>
      <c r="F554">
        <v>24670</v>
      </c>
      <c r="G554">
        <v>30499</v>
      </c>
      <c r="H554">
        <v>4.6824507023676052</v>
      </c>
      <c r="I554">
        <v>28906</v>
      </c>
      <c r="J554">
        <v>924.8</v>
      </c>
      <c r="K554">
        <v>624</v>
      </c>
      <c r="L554" s="20">
        <v>386.14323668511099</v>
      </c>
      <c r="M554">
        <v>868.2</v>
      </c>
      <c r="U554">
        <v>64.075217391304349</v>
      </c>
    </row>
    <row r="555" spans="1:21" x14ac:dyDescent="0.2">
      <c r="A555" s="1">
        <v>38625</v>
      </c>
      <c r="B555">
        <v>82.3</v>
      </c>
      <c r="C555">
        <v>100.5</v>
      </c>
      <c r="D555">
        <v>78.126599999999996</v>
      </c>
      <c r="F555">
        <v>25653</v>
      </c>
      <c r="G555">
        <v>30714</v>
      </c>
      <c r="H555">
        <v>4.7324221966079367</v>
      </c>
      <c r="I555">
        <v>28928</v>
      </c>
      <c r="J555">
        <v>929.5</v>
      </c>
      <c r="K555">
        <v>622</v>
      </c>
      <c r="L555" s="20">
        <v>387.27173100208699</v>
      </c>
      <c r="M555">
        <v>876.1</v>
      </c>
      <c r="U555">
        <v>62.907272727272741</v>
      </c>
    </row>
    <row r="556" spans="1:21" x14ac:dyDescent="0.2">
      <c r="A556" s="1">
        <v>38656</v>
      </c>
      <c r="B556">
        <v>82</v>
      </c>
      <c r="C556">
        <v>99.5</v>
      </c>
      <c r="D556">
        <v>78.011399999999995</v>
      </c>
      <c r="F556">
        <v>25817</v>
      </c>
      <c r="G556">
        <v>30400</v>
      </c>
      <c r="H556">
        <v>4.9321014040048663</v>
      </c>
      <c r="I556">
        <v>28913</v>
      </c>
      <c r="J556">
        <v>928.3</v>
      </c>
      <c r="K556">
        <v>608</v>
      </c>
      <c r="L556" s="20">
        <v>387.77632178103499</v>
      </c>
      <c r="M556">
        <v>888.2</v>
      </c>
      <c r="U556">
        <v>58.626666666666679</v>
      </c>
    </row>
    <row r="557" spans="1:21" x14ac:dyDescent="0.2">
      <c r="A557" s="1">
        <v>38686</v>
      </c>
      <c r="B557">
        <v>82.9</v>
      </c>
      <c r="C557">
        <v>100.8</v>
      </c>
      <c r="D557">
        <v>78.804199999999994</v>
      </c>
      <c r="F557">
        <v>25462</v>
      </c>
      <c r="G557">
        <v>31076</v>
      </c>
      <c r="H557">
        <v>5.0562167137878884</v>
      </c>
      <c r="I557">
        <v>28880</v>
      </c>
      <c r="J557">
        <v>928.4</v>
      </c>
      <c r="K557">
        <v>606</v>
      </c>
      <c r="L557" s="20">
        <v>389.77780603270401</v>
      </c>
      <c r="M557">
        <v>900.9</v>
      </c>
      <c r="U557">
        <v>55.230454545454563</v>
      </c>
    </row>
    <row r="558" spans="1:21" x14ac:dyDescent="0.2">
      <c r="A558" s="1">
        <v>38717</v>
      </c>
      <c r="B558">
        <v>83.6</v>
      </c>
      <c r="C558">
        <v>104.2</v>
      </c>
      <c r="D558">
        <v>79.134299999999996</v>
      </c>
      <c r="F558">
        <v>26237</v>
      </c>
      <c r="G558">
        <v>31840</v>
      </c>
      <c r="H558">
        <v>5.1466482740499888</v>
      </c>
      <c r="I558">
        <v>28880</v>
      </c>
      <c r="J558">
        <v>929.3</v>
      </c>
      <c r="K558">
        <v>609</v>
      </c>
      <c r="L558" s="20">
        <v>389.88062755603698</v>
      </c>
      <c r="M558">
        <v>908.1</v>
      </c>
      <c r="U558">
        <v>56.84</v>
      </c>
    </row>
    <row r="559" spans="1:21" x14ac:dyDescent="0.2">
      <c r="A559" s="1">
        <v>38748</v>
      </c>
      <c r="B559">
        <v>83.3</v>
      </c>
      <c r="C559">
        <v>102.8</v>
      </c>
      <c r="D559">
        <v>78.946100000000001</v>
      </c>
      <c r="F559">
        <v>27538</v>
      </c>
      <c r="G559">
        <v>33919</v>
      </c>
      <c r="H559">
        <v>5.0877480728226994</v>
      </c>
      <c r="I559">
        <v>28934</v>
      </c>
      <c r="J559">
        <v>931.3</v>
      </c>
      <c r="K559">
        <v>615</v>
      </c>
      <c r="L559" s="20">
        <v>391.16368664586099</v>
      </c>
      <c r="M559">
        <v>913.5</v>
      </c>
      <c r="U559">
        <v>62.900454545454551</v>
      </c>
    </row>
    <row r="560" spans="1:21" x14ac:dyDescent="0.2">
      <c r="A560" s="1">
        <v>38776</v>
      </c>
      <c r="B560">
        <v>83.1</v>
      </c>
      <c r="C560">
        <v>102.7</v>
      </c>
      <c r="D560">
        <v>78.760999999999996</v>
      </c>
      <c r="F560">
        <v>29812</v>
      </c>
      <c r="G560">
        <v>35209</v>
      </c>
      <c r="H560">
        <v>5.1812115661389511</v>
      </c>
      <c r="I560">
        <v>28988</v>
      </c>
      <c r="J560">
        <v>932.1</v>
      </c>
      <c r="K560">
        <v>612</v>
      </c>
      <c r="L560" s="20">
        <v>391.75205452405299</v>
      </c>
      <c r="M560">
        <v>923.8</v>
      </c>
      <c r="U560">
        <v>60.230500000000006</v>
      </c>
    </row>
    <row r="561" spans="1:21" x14ac:dyDescent="0.2">
      <c r="A561" s="1">
        <v>38807</v>
      </c>
      <c r="B561">
        <v>83.5</v>
      </c>
      <c r="C561">
        <v>103.9</v>
      </c>
      <c r="D561">
        <v>79.0047</v>
      </c>
      <c r="F561">
        <v>32813</v>
      </c>
      <c r="G561">
        <v>36939</v>
      </c>
      <c r="H561">
        <v>5.2329374918439253</v>
      </c>
      <c r="I561">
        <v>29048</v>
      </c>
      <c r="J561">
        <v>931.7</v>
      </c>
      <c r="K561">
        <v>600</v>
      </c>
      <c r="L561" s="20">
        <v>398.09676579834002</v>
      </c>
      <c r="M561">
        <v>935.8</v>
      </c>
      <c r="U561">
        <v>62.161304347826096</v>
      </c>
    </row>
    <row r="562" spans="1:21" x14ac:dyDescent="0.2">
      <c r="A562" s="1">
        <v>38837</v>
      </c>
      <c r="B562">
        <v>83.3</v>
      </c>
      <c r="C562">
        <v>104.1</v>
      </c>
      <c r="D562">
        <v>78.703400000000002</v>
      </c>
      <c r="F562">
        <v>32338</v>
      </c>
      <c r="G562">
        <v>36410</v>
      </c>
      <c r="H562">
        <v>5.3161013086789506</v>
      </c>
      <c r="I562">
        <v>29085</v>
      </c>
      <c r="J562">
        <v>932</v>
      </c>
      <c r="K562">
        <v>598</v>
      </c>
      <c r="L562" s="20">
        <v>395.25862097644699</v>
      </c>
      <c r="M562">
        <v>945.4</v>
      </c>
      <c r="U562">
        <v>70.289999999999992</v>
      </c>
    </row>
    <row r="563" spans="1:21" x14ac:dyDescent="0.2">
      <c r="A563" s="1">
        <v>38868</v>
      </c>
      <c r="B563">
        <v>83.6</v>
      </c>
      <c r="C563">
        <v>105</v>
      </c>
      <c r="D563">
        <v>78.957099999999997</v>
      </c>
      <c r="F563">
        <v>32366</v>
      </c>
      <c r="G563">
        <v>37631</v>
      </c>
      <c r="H563">
        <v>5.4154326813551599</v>
      </c>
      <c r="I563">
        <v>29063</v>
      </c>
      <c r="J563">
        <v>931.1</v>
      </c>
      <c r="K563">
        <v>597</v>
      </c>
      <c r="L563" s="20">
        <v>397.19422019410098</v>
      </c>
      <c r="M563">
        <v>950.8</v>
      </c>
      <c r="U563">
        <v>69.872608695652147</v>
      </c>
    </row>
    <row r="564" spans="1:21" x14ac:dyDescent="0.2">
      <c r="A564" s="1">
        <v>38898</v>
      </c>
      <c r="B564">
        <v>83.9</v>
      </c>
      <c r="C564">
        <v>105.6</v>
      </c>
      <c r="D564">
        <v>79.170400000000001</v>
      </c>
      <c r="F564">
        <v>30235</v>
      </c>
      <c r="G564">
        <v>35324</v>
      </c>
      <c r="H564">
        <v>5.4723782923581563</v>
      </c>
      <c r="I564">
        <v>29106</v>
      </c>
      <c r="J564">
        <v>930.5</v>
      </c>
      <c r="K564">
        <v>604</v>
      </c>
      <c r="L564" s="20">
        <v>400.72106565498501</v>
      </c>
      <c r="M564">
        <v>955.7</v>
      </c>
      <c r="U564">
        <v>68.690454545454557</v>
      </c>
    </row>
    <row r="565" spans="1:21" x14ac:dyDescent="0.2">
      <c r="A565" s="1">
        <v>38929</v>
      </c>
      <c r="B565">
        <v>83.4</v>
      </c>
      <c r="C565">
        <v>104.5</v>
      </c>
      <c r="D565">
        <v>78.790400000000005</v>
      </c>
      <c r="F565">
        <v>24568</v>
      </c>
      <c r="G565">
        <v>31181</v>
      </c>
      <c r="H565">
        <v>5.5061936571762109</v>
      </c>
      <c r="I565">
        <v>29140</v>
      </c>
      <c r="J565">
        <v>931.8</v>
      </c>
      <c r="K565">
        <v>607</v>
      </c>
      <c r="L565" s="20">
        <v>400.77256455920002</v>
      </c>
      <c r="M565">
        <v>956.7</v>
      </c>
      <c r="U565">
        <v>73.682380952380953</v>
      </c>
    </row>
    <row r="566" spans="1:21" x14ac:dyDescent="0.2">
      <c r="A566" s="1">
        <v>38960</v>
      </c>
      <c r="B566">
        <v>83.7</v>
      </c>
      <c r="C566">
        <v>105.4</v>
      </c>
      <c r="D566">
        <v>79.049499999999995</v>
      </c>
      <c r="F566">
        <v>25278</v>
      </c>
      <c r="G566">
        <v>32116</v>
      </c>
      <c r="H566">
        <v>5.466778805719092</v>
      </c>
      <c r="I566">
        <v>29224</v>
      </c>
      <c r="J566">
        <v>934.3</v>
      </c>
      <c r="K566">
        <v>611</v>
      </c>
      <c r="L566" s="20">
        <v>400.88835160071898</v>
      </c>
      <c r="M566">
        <v>951.4</v>
      </c>
      <c r="U566">
        <v>73.185217391304349</v>
      </c>
    </row>
    <row r="567" spans="1:21" x14ac:dyDescent="0.2">
      <c r="A567" s="1">
        <v>38990</v>
      </c>
      <c r="B567">
        <v>84.1</v>
      </c>
      <c r="C567">
        <v>105.7</v>
      </c>
      <c r="D567">
        <v>79.384</v>
      </c>
      <c r="F567">
        <v>24742</v>
      </c>
      <c r="G567">
        <v>31251</v>
      </c>
      <c r="H567">
        <v>5.4832232154424148</v>
      </c>
      <c r="I567">
        <v>29183</v>
      </c>
      <c r="J567">
        <v>931.8</v>
      </c>
      <c r="K567">
        <v>611</v>
      </c>
      <c r="L567" s="20">
        <v>401.84033061169902</v>
      </c>
      <c r="M567">
        <v>958.1</v>
      </c>
      <c r="U567">
        <v>61.797142857142859</v>
      </c>
    </row>
    <row r="568" spans="1:21" x14ac:dyDescent="0.2">
      <c r="A568" s="1">
        <v>39021</v>
      </c>
      <c r="B568">
        <v>83.7</v>
      </c>
      <c r="C568">
        <v>104.6</v>
      </c>
      <c r="D568">
        <v>79.109399999999994</v>
      </c>
      <c r="F568">
        <v>24663</v>
      </c>
      <c r="G568">
        <v>30866</v>
      </c>
      <c r="H568">
        <v>5.4760362694300522</v>
      </c>
      <c r="I568">
        <v>29189</v>
      </c>
      <c r="J568">
        <v>932</v>
      </c>
      <c r="K568">
        <v>618</v>
      </c>
      <c r="L568" s="20">
        <v>405.07759523812098</v>
      </c>
      <c r="M568">
        <v>958.5</v>
      </c>
      <c r="U568">
        <v>57.883636363636356</v>
      </c>
    </row>
    <row r="569" spans="1:21" x14ac:dyDescent="0.2">
      <c r="A569" s="1">
        <v>39051</v>
      </c>
      <c r="B569">
        <v>84.1</v>
      </c>
      <c r="C569">
        <v>105.3</v>
      </c>
      <c r="D569">
        <v>79.446200000000005</v>
      </c>
      <c r="F569">
        <v>25171</v>
      </c>
      <c r="G569">
        <v>31773</v>
      </c>
      <c r="H569">
        <v>5.4213355787291926</v>
      </c>
      <c r="I569">
        <v>29204</v>
      </c>
      <c r="J569">
        <v>932.6</v>
      </c>
      <c r="K569">
        <v>620</v>
      </c>
      <c r="L569" s="20">
        <v>406.71558565096302</v>
      </c>
      <c r="M569">
        <v>949.2</v>
      </c>
      <c r="U569">
        <v>58.921363636363637</v>
      </c>
    </row>
    <row r="570" spans="1:21" x14ac:dyDescent="0.2">
      <c r="A570" s="1">
        <v>39082</v>
      </c>
      <c r="B570">
        <v>84.7</v>
      </c>
      <c r="C570">
        <v>104.6</v>
      </c>
      <c r="D570">
        <v>80.316699999999997</v>
      </c>
      <c r="F570">
        <v>24862</v>
      </c>
      <c r="G570">
        <v>31298</v>
      </c>
      <c r="H570">
        <v>5.5021834061135371</v>
      </c>
      <c r="I570">
        <v>29214</v>
      </c>
      <c r="J570">
        <v>935.6</v>
      </c>
      <c r="K570">
        <v>620</v>
      </c>
      <c r="L570" s="20">
        <v>412.49284630168802</v>
      </c>
      <c r="M570">
        <v>939.9</v>
      </c>
      <c r="U570">
        <v>62.272380952380956</v>
      </c>
    </row>
    <row r="571" spans="1:21" x14ac:dyDescent="0.2">
      <c r="A571" s="1">
        <v>39113</v>
      </c>
      <c r="B571">
        <v>84.7</v>
      </c>
      <c r="C571">
        <v>105</v>
      </c>
      <c r="D571">
        <v>80.351600000000005</v>
      </c>
      <c r="F571">
        <v>24526</v>
      </c>
      <c r="G571">
        <v>31671</v>
      </c>
      <c r="H571">
        <v>5.5104352046594398</v>
      </c>
      <c r="I571">
        <v>29202</v>
      </c>
      <c r="J571">
        <v>938.2</v>
      </c>
      <c r="K571">
        <v>619</v>
      </c>
      <c r="L571">
        <v>414.748269091162</v>
      </c>
      <c r="M571">
        <v>925.6</v>
      </c>
      <c r="U571">
        <v>53.876956521739125</v>
      </c>
    </row>
    <row r="572" spans="1:21" x14ac:dyDescent="0.2">
      <c r="A572" s="1">
        <v>39141</v>
      </c>
      <c r="B572">
        <v>85</v>
      </c>
      <c r="C572">
        <v>103.6</v>
      </c>
      <c r="D572">
        <v>80.951099999999997</v>
      </c>
      <c r="F572">
        <v>24302</v>
      </c>
      <c r="G572">
        <v>32069</v>
      </c>
      <c r="H572">
        <v>5.5305507884596707</v>
      </c>
      <c r="I572">
        <v>29175</v>
      </c>
      <c r="J572">
        <v>937.3</v>
      </c>
      <c r="K572">
        <v>629</v>
      </c>
      <c r="L572">
        <v>418.51778443260201</v>
      </c>
      <c r="M572">
        <v>911.5</v>
      </c>
      <c r="U572">
        <v>57.447999999999993</v>
      </c>
    </row>
    <row r="573" spans="1:21" x14ac:dyDescent="0.2">
      <c r="A573" s="1">
        <v>39172</v>
      </c>
      <c r="B573">
        <v>85.3</v>
      </c>
      <c r="C573">
        <v>103.3</v>
      </c>
      <c r="D573">
        <v>81.282499999999999</v>
      </c>
      <c r="F573">
        <v>25432</v>
      </c>
      <c r="G573">
        <v>33551</v>
      </c>
      <c r="H573">
        <v>5.5149200595507804</v>
      </c>
      <c r="I573">
        <v>29194</v>
      </c>
      <c r="J573">
        <v>937.1</v>
      </c>
      <c r="K573">
        <v>642</v>
      </c>
      <c r="L573">
        <v>416.52652303507</v>
      </c>
      <c r="M573">
        <v>896.8</v>
      </c>
      <c r="U573">
        <v>62.18863636363637</v>
      </c>
    </row>
    <row r="574" spans="1:21" x14ac:dyDescent="0.2">
      <c r="A574" s="1">
        <v>39202</v>
      </c>
      <c r="B574">
        <v>85.4</v>
      </c>
      <c r="C574">
        <v>101.9</v>
      </c>
      <c r="D574">
        <v>81.688999999999993</v>
      </c>
      <c r="F574">
        <v>25679</v>
      </c>
      <c r="G574">
        <v>31337</v>
      </c>
      <c r="H574">
        <v>5.4714784633294524</v>
      </c>
      <c r="I574">
        <v>29232</v>
      </c>
      <c r="J574">
        <v>936.4</v>
      </c>
      <c r="K574">
        <v>648</v>
      </c>
      <c r="L574">
        <v>412.40017671750297</v>
      </c>
      <c r="M574">
        <v>878.2</v>
      </c>
      <c r="U574">
        <v>67.532857142857139</v>
      </c>
    </row>
    <row r="575" spans="1:21" x14ac:dyDescent="0.2">
      <c r="A575" s="1">
        <v>39233</v>
      </c>
      <c r="B575">
        <v>85.8</v>
      </c>
      <c r="C575">
        <v>104</v>
      </c>
      <c r="D575">
        <v>81.913399999999996</v>
      </c>
      <c r="F575">
        <v>25491</v>
      </c>
      <c r="G575">
        <v>31794</v>
      </c>
      <c r="H575">
        <v>5.3898786470436351</v>
      </c>
      <c r="I575">
        <v>29314</v>
      </c>
      <c r="J575">
        <v>939.9</v>
      </c>
      <c r="K575">
        <v>651</v>
      </c>
      <c r="L575">
        <v>415.73474857286999</v>
      </c>
      <c r="M575">
        <v>870.8</v>
      </c>
      <c r="U575">
        <v>67.413043478260875</v>
      </c>
    </row>
    <row r="576" spans="1:21" x14ac:dyDescent="0.2">
      <c r="A576" s="1">
        <v>39263</v>
      </c>
      <c r="B576">
        <v>85.9</v>
      </c>
      <c r="C576">
        <v>102.3</v>
      </c>
      <c r="D576">
        <v>82.429100000000005</v>
      </c>
      <c r="F576">
        <v>25796</v>
      </c>
      <c r="G576">
        <v>33134</v>
      </c>
      <c r="H576">
        <v>5.3518398967075536</v>
      </c>
      <c r="I576">
        <v>29322</v>
      </c>
      <c r="J576">
        <v>941.2</v>
      </c>
      <c r="K576">
        <v>659</v>
      </c>
      <c r="L576">
        <v>418.07133848451701</v>
      </c>
      <c r="M576">
        <v>861.9</v>
      </c>
      <c r="U576">
        <v>71.238571428571433</v>
      </c>
    </row>
    <row r="577" spans="1:21" x14ac:dyDescent="0.2">
      <c r="A577" s="1">
        <v>39294</v>
      </c>
      <c r="B577">
        <v>85.9</v>
      </c>
      <c r="C577">
        <v>101.8</v>
      </c>
      <c r="D577">
        <v>82.522599999999997</v>
      </c>
      <c r="F577">
        <v>25307</v>
      </c>
      <c r="G577">
        <v>33588</v>
      </c>
      <c r="H577">
        <v>5.306965190179695</v>
      </c>
      <c r="I577">
        <v>29352</v>
      </c>
      <c r="J577">
        <v>941.2</v>
      </c>
      <c r="K577">
        <v>670</v>
      </c>
      <c r="L577">
        <v>420.26046639588799</v>
      </c>
      <c r="M577">
        <v>856.3</v>
      </c>
      <c r="U577">
        <v>76.985000000000014</v>
      </c>
    </row>
    <row r="578" spans="1:21" x14ac:dyDescent="0.2">
      <c r="A578" s="1">
        <v>39325</v>
      </c>
      <c r="B578">
        <v>86.4</v>
      </c>
      <c r="C578">
        <v>103.1</v>
      </c>
      <c r="D578">
        <v>82.958600000000004</v>
      </c>
      <c r="F578">
        <v>25719</v>
      </c>
      <c r="G578">
        <v>33521</v>
      </c>
      <c r="H578">
        <v>5.3028593533412849</v>
      </c>
      <c r="I578">
        <v>29376</v>
      </c>
      <c r="J578">
        <v>943</v>
      </c>
      <c r="K578">
        <v>681</v>
      </c>
      <c r="L578">
        <v>421.92091145814999</v>
      </c>
      <c r="M578">
        <v>851.3</v>
      </c>
      <c r="U578">
        <v>70.748260869565229</v>
      </c>
    </row>
    <row r="579" spans="1:21" x14ac:dyDescent="0.2">
      <c r="A579" s="1">
        <v>39355</v>
      </c>
      <c r="B579">
        <v>86.5</v>
      </c>
      <c r="C579">
        <v>101.8</v>
      </c>
      <c r="D579">
        <v>83.266800000000003</v>
      </c>
      <c r="F579">
        <v>24882</v>
      </c>
      <c r="G579">
        <v>33395</v>
      </c>
      <c r="H579">
        <v>5.3105889925973608</v>
      </c>
      <c r="I579">
        <v>29420</v>
      </c>
      <c r="J579">
        <v>943.1</v>
      </c>
      <c r="K579">
        <v>683</v>
      </c>
      <c r="L579">
        <v>424.012486256209</v>
      </c>
      <c r="M579">
        <v>844.5</v>
      </c>
      <c r="U579">
        <v>76.856000000000009</v>
      </c>
    </row>
    <row r="580" spans="1:21" x14ac:dyDescent="0.2">
      <c r="A580" s="1">
        <v>39386</v>
      </c>
      <c r="B580">
        <v>86.2</v>
      </c>
      <c r="C580">
        <v>102.4</v>
      </c>
      <c r="D580">
        <v>82.887200000000007</v>
      </c>
      <c r="F580">
        <v>25619</v>
      </c>
      <c r="G580">
        <v>33367</v>
      </c>
      <c r="H580">
        <v>5.2381105501784626</v>
      </c>
      <c r="I580">
        <v>29470</v>
      </c>
      <c r="J580">
        <v>944.9</v>
      </c>
      <c r="K580">
        <v>686</v>
      </c>
      <c r="L580">
        <v>422.64946139945602</v>
      </c>
      <c r="M580">
        <v>836.3</v>
      </c>
      <c r="U580">
        <v>82.466521739130442</v>
      </c>
    </row>
    <row r="581" spans="1:21" x14ac:dyDescent="0.2">
      <c r="A581" s="1">
        <v>39416</v>
      </c>
      <c r="B581">
        <v>86.7</v>
      </c>
      <c r="C581">
        <v>102.6</v>
      </c>
      <c r="D581">
        <v>83.431799999999996</v>
      </c>
      <c r="F581">
        <v>26526</v>
      </c>
      <c r="G581">
        <v>33705</v>
      </c>
      <c r="H581">
        <v>5.2406931964056485</v>
      </c>
      <c r="I581">
        <v>29527</v>
      </c>
      <c r="J581">
        <v>944.7</v>
      </c>
      <c r="K581">
        <v>691</v>
      </c>
      <c r="L581">
        <v>425.88267690437402</v>
      </c>
      <c r="M581">
        <v>825.2</v>
      </c>
      <c r="U581">
        <v>92.587272727272719</v>
      </c>
    </row>
    <row r="582" spans="1:21" x14ac:dyDescent="0.2">
      <c r="A582" s="1">
        <v>39447</v>
      </c>
      <c r="B582">
        <v>87.1</v>
      </c>
      <c r="C582">
        <v>102.1</v>
      </c>
      <c r="D582">
        <v>83.911799999999999</v>
      </c>
      <c r="F582">
        <v>24988</v>
      </c>
      <c r="G582">
        <v>32090</v>
      </c>
      <c r="H582">
        <v>5.1564905079527961</v>
      </c>
      <c r="I582">
        <v>29576</v>
      </c>
      <c r="J582">
        <v>943.1</v>
      </c>
      <c r="K582">
        <v>687</v>
      </c>
      <c r="L582">
        <v>425.58553925298997</v>
      </c>
      <c r="M582">
        <v>815.2</v>
      </c>
      <c r="U582">
        <v>91.243333333333339</v>
      </c>
    </row>
    <row r="583" spans="1:21" x14ac:dyDescent="0.2">
      <c r="A583" s="1">
        <v>39478</v>
      </c>
      <c r="B583">
        <v>87.2</v>
      </c>
      <c r="C583">
        <v>102</v>
      </c>
      <c r="D583">
        <v>83.983099999999993</v>
      </c>
      <c r="F583">
        <v>25384</v>
      </c>
      <c r="G583">
        <v>33024</v>
      </c>
      <c r="H583">
        <v>5.1775479491530847</v>
      </c>
      <c r="I583">
        <v>29614</v>
      </c>
      <c r="J583">
        <v>943.1</v>
      </c>
      <c r="K583">
        <v>678</v>
      </c>
      <c r="L583">
        <v>429.19783802743098</v>
      </c>
      <c r="M583">
        <v>792</v>
      </c>
      <c r="U583">
        <v>92.061739130434788</v>
      </c>
    </row>
    <row r="584" spans="1:21" x14ac:dyDescent="0.2">
      <c r="A584" s="1">
        <v>39507</v>
      </c>
      <c r="B584">
        <v>87.6</v>
      </c>
      <c r="C584">
        <v>103.3</v>
      </c>
      <c r="D584">
        <v>84.225200000000001</v>
      </c>
      <c r="F584">
        <v>26006</v>
      </c>
      <c r="G584">
        <v>33317</v>
      </c>
      <c r="H584">
        <v>5.1824397725094258</v>
      </c>
      <c r="I584">
        <v>29676</v>
      </c>
      <c r="J584">
        <v>946.2</v>
      </c>
      <c r="K584">
        <v>687</v>
      </c>
      <c r="L584">
        <v>435.27415486665097</v>
      </c>
      <c r="M584">
        <v>778.4</v>
      </c>
      <c r="U584">
        <v>94.992857142857133</v>
      </c>
    </row>
    <row r="585" spans="1:21" x14ac:dyDescent="0.2">
      <c r="A585" s="1">
        <v>39538</v>
      </c>
      <c r="B585">
        <v>87</v>
      </c>
      <c r="C585">
        <v>100.4</v>
      </c>
      <c r="D585">
        <v>83.942300000000003</v>
      </c>
      <c r="F585">
        <v>25457</v>
      </c>
      <c r="G585">
        <v>32659</v>
      </c>
      <c r="H585">
        <v>5.1811154411294957</v>
      </c>
      <c r="I585">
        <v>29684</v>
      </c>
      <c r="J585">
        <v>955.1</v>
      </c>
      <c r="K585">
        <v>697</v>
      </c>
      <c r="L585">
        <v>437.037044913454</v>
      </c>
      <c r="M585">
        <v>778.5</v>
      </c>
      <c r="U585">
        <v>103.40047619047618</v>
      </c>
    </row>
    <row r="586" spans="1:21" x14ac:dyDescent="0.2">
      <c r="A586" s="1">
        <v>39568</v>
      </c>
      <c r="B586">
        <v>87.5</v>
      </c>
      <c r="C586">
        <v>101.9</v>
      </c>
      <c r="D586">
        <v>84.410899999999998</v>
      </c>
      <c r="F586">
        <v>26454</v>
      </c>
      <c r="G586">
        <v>33516</v>
      </c>
      <c r="H586">
        <v>5.3134861186370443</v>
      </c>
      <c r="I586">
        <v>29706</v>
      </c>
      <c r="J586">
        <v>950.9</v>
      </c>
      <c r="K586">
        <v>696</v>
      </c>
      <c r="L586">
        <v>432.138261949487</v>
      </c>
      <c r="M586">
        <v>792.4</v>
      </c>
      <c r="U586">
        <v>108.98727272727274</v>
      </c>
    </row>
    <row r="587" spans="1:21" x14ac:dyDescent="0.2">
      <c r="A587" s="1">
        <v>39599</v>
      </c>
      <c r="B587">
        <v>86.7</v>
      </c>
      <c r="C587">
        <v>101.1</v>
      </c>
      <c r="D587">
        <v>83.608000000000004</v>
      </c>
      <c r="F587">
        <v>26065</v>
      </c>
      <c r="G587">
        <v>32634</v>
      </c>
      <c r="H587">
        <v>5.1794479505322881</v>
      </c>
      <c r="I587">
        <v>29749</v>
      </c>
      <c r="J587">
        <v>951.2</v>
      </c>
      <c r="K587">
        <v>679</v>
      </c>
      <c r="L587">
        <v>433.60335696195398</v>
      </c>
      <c r="M587">
        <v>814.7</v>
      </c>
      <c r="U587">
        <v>123.04181818181819</v>
      </c>
    </row>
    <row r="588" spans="1:21" x14ac:dyDescent="0.2">
      <c r="A588" s="1">
        <v>39629</v>
      </c>
      <c r="B588">
        <v>86.6</v>
      </c>
      <c r="C588">
        <v>100.7</v>
      </c>
      <c r="D588">
        <v>83.623000000000005</v>
      </c>
      <c r="F588">
        <v>25825</v>
      </c>
      <c r="G588">
        <v>34416</v>
      </c>
      <c r="H588">
        <v>5.3499777084262146</v>
      </c>
      <c r="I588">
        <v>29722</v>
      </c>
      <c r="J588">
        <v>944.6</v>
      </c>
      <c r="K588">
        <v>657</v>
      </c>
      <c r="L588">
        <v>432.58638164412298</v>
      </c>
      <c r="M588">
        <v>848.7</v>
      </c>
      <c r="U588">
        <v>132.36095238095237</v>
      </c>
    </row>
    <row r="589" spans="1:21" x14ac:dyDescent="0.2">
      <c r="A589" s="1">
        <v>39660</v>
      </c>
      <c r="B589">
        <v>86.1</v>
      </c>
      <c r="C589">
        <v>101.5</v>
      </c>
      <c r="D589">
        <v>82.991200000000006</v>
      </c>
      <c r="F589">
        <v>26563</v>
      </c>
      <c r="G589">
        <v>33583</v>
      </c>
      <c r="H589">
        <v>5.486950986632718</v>
      </c>
      <c r="I589">
        <v>29696</v>
      </c>
      <c r="J589">
        <v>950.1</v>
      </c>
      <c r="K589">
        <v>643</v>
      </c>
      <c r="L589">
        <v>434.49290680147698</v>
      </c>
      <c r="M589">
        <v>882.7</v>
      </c>
      <c r="U589">
        <v>133.1</v>
      </c>
    </row>
    <row r="590" spans="1:21" x14ac:dyDescent="0.2">
      <c r="A590" s="1">
        <v>39691</v>
      </c>
      <c r="B590">
        <v>85.8</v>
      </c>
      <c r="C590">
        <v>100.8</v>
      </c>
      <c r="D590">
        <v>82.769599999999997</v>
      </c>
      <c r="F590">
        <v>25413</v>
      </c>
      <c r="G590">
        <v>32189</v>
      </c>
      <c r="H590">
        <v>5.7092819614711035</v>
      </c>
      <c r="I590">
        <v>29612</v>
      </c>
      <c r="J590">
        <v>948</v>
      </c>
      <c r="K590">
        <v>624</v>
      </c>
      <c r="L590">
        <v>435.065588880978</v>
      </c>
      <c r="M590">
        <v>924.9</v>
      </c>
      <c r="U590">
        <v>113.01714285714282</v>
      </c>
    </row>
    <row r="591" spans="1:21" x14ac:dyDescent="0.2">
      <c r="A591" s="1">
        <v>39721</v>
      </c>
      <c r="B591">
        <v>84.8</v>
      </c>
      <c r="C591">
        <v>100.4</v>
      </c>
      <c r="D591">
        <v>81.758399999999995</v>
      </c>
      <c r="F591">
        <v>26162</v>
      </c>
      <c r="G591">
        <v>32406</v>
      </c>
      <c r="H591">
        <v>5.8561425843411836</v>
      </c>
      <c r="I591">
        <v>29580</v>
      </c>
      <c r="J591">
        <v>945.2</v>
      </c>
      <c r="K591">
        <v>615</v>
      </c>
      <c r="L591">
        <v>435.29284157741603</v>
      </c>
      <c r="M591">
        <v>968.6</v>
      </c>
      <c r="U591">
        <v>98.084545454545463</v>
      </c>
    </row>
    <row r="592" spans="1:21" x14ac:dyDescent="0.2">
      <c r="A592" s="1">
        <v>39752</v>
      </c>
      <c r="B592">
        <v>84.6</v>
      </c>
      <c r="C592">
        <v>100.3</v>
      </c>
      <c r="D592">
        <v>81.529799999999994</v>
      </c>
      <c r="F592">
        <v>25368</v>
      </c>
      <c r="G592">
        <v>31690</v>
      </c>
      <c r="H592">
        <v>5.9694364851957973</v>
      </c>
      <c r="I592">
        <v>29535</v>
      </c>
      <c r="J592">
        <v>942.1</v>
      </c>
      <c r="K592">
        <v>596</v>
      </c>
      <c r="L592">
        <v>437.314417859223</v>
      </c>
      <c r="M592">
        <v>1012.3</v>
      </c>
      <c r="U592">
        <v>71.879565217391303</v>
      </c>
    </row>
    <row r="593" spans="1:21" x14ac:dyDescent="0.2">
      <c r="A593" s="1">
        <v>39782</v>
      </c>
      <c r="B593">
        <v>83.4</v>
      </c>
      <c r="C593">
        <v>96.1</v>
      </c>
      <c r="D593">
        <v>80.9773</v>
      </c>
      <c r="F593">
        <v>23701</v>
      </c>
      <c r="G593">
        <v>30605</v>
      </c>
      <c r="H593">
        <v>6.1624916658729401</v>
      </c>
      <c r="I593">
        <v>29556</v>
      </c>
      <c r="J593">
        <v>941</v>
      </c>
      <c r="K593">
        <v>562</v>
      </c>
      <c r="L593">
        <v>435.82723164437903</v>
      </c>
      <c r="M593">
        <v>1100.4000000000001</v>
      </c>
      <c r="U593">
        <v>52.581500000000005</v>
      </c>
    </row>
    <row r="594" spans="1:21" x14ac:dyDescent="0.2">
      <c r="A594" s="1">
        <v>39813</v>
      </c>
      <c r="B594">
        <v>83.2</v>
      </c>
      <c r="C594">
        <v>96.2</v>
      </c>
      <c r="D594">
        <v>80.91</v>
      </c>
      <c r="F594">
        <v>23635</v>
      </c>
      <c r="G594">
        <v>29402</v>
      </c>
      <c r="H594">
        <v>6.3524785132092223</v>
      </c>
      <c r="I594">
        <v>29528</v>
      </c>
      <c r="J594">
        <v>939.5</v>
      </c>
      <c r="K594">
        <v>527</v>
      </c>
      <c r="L594">
        <v>436.33894186415</v>
      </c>
      <c r="M594">
        <v>1179.4000000000001</v>
      </c>
      <c r="U594">
        <v>39.818695652173922</v>
      </c>
    </row>
    <row r="595" spans="1:21" x14ac:dyDescent="0.2">
      <c r="A595" s="1">
        <v>39844</v>
      </c>
      <c r="B595">
        <v>82.4</v>
      </c>
      <c r="C595">
        <v>93.9</v>
      </c>
      <c r="D595">
        <v>80.528400000000005</v>
      </c>
      <c r="F595">
        <v>22651</v>
      </c>
      <c r="G595">
        <v>28884</v>
      </c>
      <c r="H595">
        <v>6.5103177617419927</v>
      </c>
      <c r="I595">
        <v>29539</v>
      </c>
      <c r="J595">
        <v>936.8</v>
      </c>
      <c r="K595">
        <v>497</v>
      </c>
      <c r="L595">
        <v>421.362506309769</v>
      </c>
      <c r="M595">
        <v>1240.8</v>
      </c>
      <c r="U595">
        <v>43.375909090909097</v>
      </c>
    </row>
    <row r="596" spans="1:21" x14ac:dyDescent="0.2">
      <c r="A596" s="1">
        <v>39872</v>
      </c>
      <c r="B596">
        <v>82.3</v>
      </c>
      <c r="C596">
        <v>93.9</v>
      </c>
      <c r="D596">
        <v>80.547499999999999</v>
      </c>
      <c r="F596">
        <v>22773</v>
      </c>
      <c r="G596">
        <v>28789</v>
      </c>
      <c r="H596">
        <v>6.743353297208226</v>
      </c>
      <c r="I596">
        <v>29429</v>
      </c>
      <c r="J596">
        <v>928.2</v>
      </c>
      <c r="K596">
        <v>478</v>
      </c>
      <c r="L596">
        <v>409.231087076297</v>
      </c>
      <c r="M596">
        <v>1383.6</v>
      </c>
      <c r="U596">
        <v>43.052000000000007</v>
      </c>
    </row>
    <row r="597" spans="1:21" x14ac:dyDescent="0.2">
      <c r="A597" s="1">
        <v>39903</v>
      </c>
      <c r="B597">
        <v>81.5</v>
      </c>
      <c r="C597">
        <v>93.2</v>
      </c>
      <c r="D597">
        <v>79.837299999999999</v>
      </c>
      <c r="F597">
        <v>22130</v>
      </c>
      <c r="G597">
        <v>29812</v>
      </c>
      <c r="H597">
        <v>7.0725609949052242</v>
      </c>
      <c r="I597">
        <v>29366</v>
      </c>
      <c r="J597">
        <v>923.5</v>
      </c>
      <c r="K597">
        <v>465</v>
      </c>
      <c r="L597">
        <v>433.30723603815301</v>
      </c>
      <c r="M597">
        <v>1457.1</v>
      </c>
      <c r="U597">
        <v>46.478636363636376</v>
      </c>
    </row>
    <row r="598" spans="1:21" x14ac:dyDescent="0.2">
      <c r="A598" s="1">
        <v>39933</v>
      </c>
      <c r="B598">
        <v>82.3</v>
      </c>
      <c r="C598">
        <v>94.5</v>
      </c>
      <c r="D598">
        <v>80.575000000000003</v>
      </c>
      <c r="F598">
        <v>23102</v>
      </c>
      <c r="G598">
        <v>30338</v>
      </c>
      <c r="H598">
        <v>7.2731880385200203</v>
      </c>
      <c r="I598">
        <v>29272</v>
      </c>
      <c r="J598">
        <v>924.3</v>
      </c>
      <c r="K598">
        <v>455</v>
      </c>
      <c r="L598">
        <v>438.17735482126</v>
      </c>
      <c r="M598">
        <v>1510.8</v>
      </c>
      <c r="U598">
        <v>50.486363636363627</v>
      </c>
    </row>
    <row r="599" spans="1:21" x14ac:dyDescent="0.2">
      <c r="A599" s="1">
        <v>39964</v>
      </c>
      <c r="B599">
        <v>81.3</v>
      </c>
      <c r="C599">
        <v>93.1</v>
      </c>
      <c r="D599">
        <v>79.626900000000006</v>
      </c>
      <c r="F599">
        <v>21616</v>
      </c>
      <c r="G599">
        <v>27914</v>
      </c>
      <c r="H599">
        <v>7.5911251980982568</v>
      </c>
      <c r="I599">
        <v>29155</v>
      </c>
      <c r="J599">
        <v>923.4</v>
      </c>
      <c r="K599">
        <v>443</v>
      </c>
      <c r="L599">
        <v>437.36997497130699</v>
      </c>
      <c r="M599">
        <v>1549.4</v>
      </c>
      <c r="U599">
        <v>57.32</v>
      </c>
    </row>
    <row r="600" spans="1:21" x14ac:dyDescent="0.2">
      <c r="A600" s="1">
        <v>39994</v>
      </c>
      <c r="B600">
        <v>81.599999999999994</v>
      </c>
      <c r="C600">
        <v>93.6</v>
      </c>
      <c r="D600">
        <v>79.835499999999996</v>
      </c>
      <c r="F600">
        <v>21922</v>
      </c>
      <c r="G600">
        <v>29503</v>
      </c>
      <c r="H600">
        <v>7.762803234501348</v>
      </c>
      <c r="I600">
        <v>29087</v>
      </c>
      <c r="J600">
        <v>920.1</v>
      </c>
      <c r="K600">
        <v>431</v>
      </c>
      <c r="L600">
        <v>437.582188734422</v>
      </c>
      <c r="M600">
        <v>1571.9</v>
      </c>
      <c r="U600">
        <v>68.508636363636356</v>
      </c>
    </row>
    <row r="601" spans="1:21" x14ac:dyDescent="0.2">
      <c r="A601" s="1">
        <v>40025</v>
      </c>
      <c r="B601">
        <v>82.1</v>
      </c>
      <c r="C601">
        <v>94.5</v>
      </c>
      <c r="D601">
        <v>80.254000000000005</v>
      </c>
      <c r="F601">
        <v>23124</v>
      </c>
      <c r="G601">
        <v>30633</v>
      </c>
      <c r="H601">
        <v>7.867665735331471</v>
      </c>
      <c r="I601">
        <v>29018</v>
      </c>
      <c r="J601">
        <v>913.7</v>
      </c>
      <c r="K601">
        <v>430</v>
      </c>
      <c r="L601">
        <v>436.73905111943702</v>
      </c>
      <c r="M601">
        <v>1585.8</v>
      </c>
      <c r="U601">
        <v>64.604782608695643</v>
      </c>
    </row>
    <row r="602" spans="1:21" x14ac:dyDescent="0.2">
      <c r="A602" s="1">
        <v>40056</v>
      </c>
      <c r="B602">
        <v>81.599999999999994</v>
      </c>
      <c r="C602">
        <v>92.6</v>
      </c>
      <c r="D602">
        <v>79.979799999999997</v>
      </c>
      <c r="F602">
        <v>21950</v>
      </c>
      <c r="G602">
        <v>29427</v>
      </c>
      <c r="H602">
        <v>7.8707224334600756</v>
      </c>
      <c r="I602">
        <v>29076</v>
      </c>
      <c r="J602">
        <v>910.7</v>
      </c>
      <c r="K602">
        <v>438</v>
      </c>
      <c r="L602">
        <v>437.90031988469798</v>
      </c>
      <c r="M602">
        <v>1600.8</v>
      </c>
      <c r="U602">
        <v>72.569047619047637</v>
      </c>
    </row>
    <row r="603" spans="1:21" x14ac:dyDescent="0.2">
      <c r="A603" s="1">
        <v>40086</v>
      </c>
      <c r="B603">
        <v>81.7</v>
      </c>
      <c r="C603">
        <v>92.6</v>
      </c>
      <c r="D603">
        <v>80.146100000000004</v>
      </c>
      <c r="F603">
        <v>23060</v>
      </c>
      <c r="G603">
        <v>31084</v>
      </c>
      <c r="H603">
        <v>7.846183109307634</v>
      </c>
      <c r="I603">
        <v>29069</v>
      </c>
      <c r="J603">
        <v>915.2</v>
      </c>
      <c r="K603">
        <v>436</v>
      </c>
      <c r="L603">
        <v>438.99425266208198</v>
      </c>
      <c r="M603">
        <v>1609.7</v>
      </c>
      <c r="U603">
        <v>67.464090909090928</v>
      </c>
    </row>
    <row r="604" spans="1:21" x14ac:dyDescent="0.2">
      <c r="A604" s="1">
        <v>40117</v>
      </c>
      <c r="B604">
        <v>81.900000000000006</v>
      </c>
      <c r="C604">
        <v>92.8</v>
      </c>
      <c r="D604">
        <v>80.433599999999998</v>
      </c>
      <c r="F604">
        <v>23964</v>
      </c>
      <c r="G604">
        <v>31047</v>
      </c>
      <c r="H604">
        <v>7.8687278256462241</v>
      </c>
      <c r="I604">
        <v>29084</v>
      </c>
      <c r="J604">
        <v>919.3</v>
      </c>
      <c r="K604">
        <v>432</v>
      </c>
      <c r="L604">
        <v>439.03257176944197</v>
      </c>
      <c r="M604">
        <v>1618.5</v>
      </c>
      <c r="U604">
        <v>72.822272727272718</v>
      </c>
    </row>
    <row r="605" spans="1:21" x14ac:dyDescent="0.2">
      <c r="A605" s="1">
        <v>40147</v>
      </c>
      <c r="B605">
        <v>81.900000000000006</v>
      </c>
      <c r="C605">
        <v>92.6</v>
      </c>
      <c r="D605">
        <v>80.537300000000002</v>
      </c>
      <c r="F605">
        <v>23693</v>
      </c>
      <c r="G605">
        <v>30384</v>
      </c>
      <c r="H605">
        <v>7.7820394966240851</v>
      </c>
      <c r="I605">
        <v>29092</v>
      </c>
      <c r="J605">
        <v>916.2</v>
      </c>
      <c r="K605">
        <v>437</v>
      </c>
      <c r="L605">
        <v>439.83936991681799</v>
      </c>
      <c r="M605">
        <v>1610.4</v>
      </c>
      <c r="U605">
        <v>76.630476190476202</v>
      </c>
    </row>
    <row r="606" spans="1:21" x14ac:dyDescent="0.2">
      <c r="A606" s="1">
        <v>40178</v>
      </c>
      <c r="B606">
        <v>82.4</v>
      </c>
      <c r="C606">
        <v>92.7</v>
      </c>
      <c r="D606">
        <v>81.106399999999994</v>
      </c>
      <c r="F606">
        <v>24137</v>
      </c>
      <c r="G606">
        <v>31351</v>
      </c>
      <c r="H606">
        <v>7.7737284107114561</v>
      </c>
      <c r="I606">
        <v>29102</v>
      </c>
      <c r="J606">
        <v>915.6</v>
      </c>
      <c r="K606">
        <v>454</v>
      </c>
      <c r="L606">
        <v>440.18665825569599</v>
      </c>
      <c r="M606">
        <v>1593.4</v>
      </c>
      <c r="U606">
        <v>74.380434782608717</v>
      </c>
    </row>
    <row r="607" spans="1:21" x14ac:dyDescent="0.2">
      <c r="A607" s="1">
        <v>40209</v>
      </c>
      <c r="B607">
        <v>81.900000000000006</v>
      </c>
      <c r="C607">
        <v>92.2</v>
      </c>
      <c r="D607">
        <v>80.489800000000002</v>
      </c>
      <c r="F607">
        <v>22869</v>
      </c>
      <c r="G607">
        <v>31131</v>
      </c>
      <c r="H607">
        <v>7.729192467689181</v>
      </c>
      <c r="I607">
        <v>29057</v>
      </c>
      <c r="J607">
        <v>914.4</v>
      </c>
      <c r="K607">
        <v>463</v>
      </c>
      <c r="L607">
        <v>439.34623969893801</v>
      </c>
      <c r="M607">
        <v>1609</v>
      </c>
      <c r="U607">
        <v>76.231428571428566</v>
      </c>
    </row>
    <row r="608" spans="1:21" x14ac:dyDescent="0.2">
      <c r="A608" s="1">
        <v>40237</v>
      </c>
      <c r="B608">
        <v>83.1</v>
      </c>
      <c r="C608">
        <v>93.1</v>
      </c>
      <c r="D608">
        <v>81.638099999999994</v>
      </c>
      <c r="F608">
        <v>25134</v>
      </c>
      <c r="G608">
        <v>30650</v>
      </c>
      <c r="H608">
        <v>7.9187817258883246</v>
      </c>
      <c r="I608">
        <v>29024</v>
      </c>
      <c r="J608">
        <v>918.6</v>
      </c>
      <c r="K608">
        <v>467</v>
      </c>
      <c r="L608">
        <v>445.91249599517403</v>
      </c>
      <c r="M608">
        <v>1576.5</v>
      </c>
      <c r="U608">
        <v>73.622</v>
      </c>
    </row>
    <row r="609" spans="1:21" x14ac:dyDescent="0.2">
      <c r="A609" s="1">
        <v>40268</v>
      </c>
      <c r="B609">
        <v>83.8</v>
      </c>
      <c r="C609">
        <v>94.2</v>
      </c>
      <c r="D609">
        <v>82.233999999999995</v>
      </c>
      <c r="F609">
        <v>24208</v>
      </c>
      <c r="G609">
        <v>32643</v>
      </c>
      <c r="H609">
        <v>8.009131551412537</v>
      </c>
      <c r="I609">
        <v>29013</v>
      </c>
      <c r="J609">
        <v>914.4</v>
      </c>
      <c r="K609">
        <v>465</v>
      </c>
      <c r="L609">
        <v>441.054963927502</v>
      </c>
      <c r="M609">
        <v>1548.6</v>
      </c>
      <c r="U609">
        <v>78.915652173913045</v>
      </c>
    </row>
    <row r="610" spans="1:21" x14ac:dyDescent="0.2">
      <c r="A610" s="1">
        <v>40298</v>
      </c>
      <c r="B610">
        <v>83.6</v>
      </c>
      <c r="C610">
        <v>92.2</v>
      </c>
      <c r="D610">
        <v>82.275400000000005</v>
      </c>
      <c r="F610">
        <v>24728</v>
      </c>
      <c r="G610">
        <v>31949</v>
      </c>
      <c r="H610">
        <v>7.9536092274542112</v>
      </c>
      <c r="I610">
        <v>29048</v>
      </c>
      <c r="J610">
        <v>913.8</v>
      </c>
      <c r="K610">
        <v>469</v>
      </c>
      <c r="L610">
        <v>441.43384596867003</v>
      </c>
      <c r="M610">
        <v>1526.1</v>
      </c>
      <c r="U610">
        <v>84.784090909090907</v>
      </c>
    </row>
    <row r="611" spans="1:21" x14ac:dyDescent="0.2">
      <c r="A611" s="1">
        <v>40329</v>
      </c>
      <c r="B611">
        <v>84</v>
      </c>
      <c r="C611">
        <v>92.2</v>
      </c>
      <c r="D611">
        <v>82.631</v>
      </c>
      <c r="F611">
        <v>24831</v>
      </c>
      <c r="G611">
        <v>32090</v>
      </c>
      <c r="H611">
        <v>7.9236699102742323</v>
      </c>
      <c r="I611">
        <v>29144</v>
      </c>
      <c r="J611">
        <v>916.4</v>
      </c>
      <c r="K611">
        <v>479</v>
      </c>
      <c r="L611">
        <v>442.61479749793801</v>
      </c>
      <c r="M611">
        <v>1494.8</v>
      </c>
      <c r="U611">
        <v>75.636666666666656</v>
      </c>
    </row>
    <row r="612" spans="1:21" x14ac:dyDescent="0.2">
      <c r="A612" s="1">
        <v>40359</v>
      </c>
      <c r="B612">
        <v>84</v>
      </c>
      <c r="C612">
        <v>90.9</v>
      </c>
      <c r="D612">
        <v>82.806600000000003</v>
      </c>
      <c r="F612">
        <v>26290</v>
      </c>
      <c r="G612">
        <v>33785</v>
      </c>
      <c r="H612">
        <v>7.8535353535353538</v>
      </c>
      <c r="I612">
        <v>29192</v>
      </c>
      <c r="J612">
        <v>922.3</v>
      </c>
      <c r="K612">
        <v>484</v>
      </c>
      <c r="L612">
        <v>441.893950882821</v>
      </c>
      <c r="M612">
        <v>1471.3</v>
      </c>
      <c r="U612">
        <v>74.873181818181806</v>
      </c>
    </row>
    <row r="613" spans="1:21" x14ac:dyDescent="0.2">
      <c r="A613" s="1">
        <v>40390</v>
      </c>
      <c r="B613">
        <v>84.1</v>
      </c>
      <c r="C613">
        <v>90.1</v>
      </c>
      <c r="D613">
        <v>83.167299999999997</v>
      </c>
      <c r="F613">
        <v>25773</v>
      </c>
      <c r="G613">
        <v>33849</v>
      </c>
      <c r="H613">
        <v>7.820702228648666</v>
      </c>
      <c r="I613">
        <v>29325</v>
      </c>
      <c r="J613">
        <v>926.2</v>
      </c>
      <c r="K613">
        <v>479</v>
      </c>
      <c r="L613">
        <v>442.76139470729601</v>
      </c>
      <c r="M613">
        <v>1458.2</v>
      </c>
      <c r="U613">
        <v>75.578181818181832</v>
      </c>
    </row>
    <row r="614" spans="1:21" x14ac:dyDescent="0.2">
      <c r="A614" s="1">
        <v>40421</v>
      </c>
      <c r="B614">
        <v>84.4</v>
      </c>
      <c r="C614">
        <v>90</v>
      </c>
      <c r="D614">
        <v>83.267200000000003</v>
      </c>
      <c r="F614">
        <v>25197</v>
      </c>
      <c r="G614">
        <v>33339</v>
      </c>
      <c r="H614">
        <v>7.7824925349677825</v>
      </c>
      <c r="I614">
        <v>29339</v>
      </c>
      <c r="J614">
        <v>925</v>
      </c>
      <c r="K614">
        <v>461</v>
      </c>
      <c r="L614">
        <v>444.75444191950999</v>
      </c>
      <c r="M614">
        <v>1457.3</v>
      </c>
      <c r="U614">
        <v>77.080454545454529</v>
      </c>
    </row>
    <row r="615" spans="1:21" x14ac:dyDescent="0.2">
      <c r="A615" s="1">
        <v>40451</v>
      </c>
      <c r="B615">
        <v>84.5</v>
      </c>
      <c r="C615">
        <v>89.2</v>
      </c>
      <c r="D615">
        <v>83.627499999999998</v>
      </c>
      <c r="F615">
        <v>25528</v>
      </c>
      <c r="G615">
        <v>34313</v>
      </c>
      <c r="H615">
        <v>7.7538847904567572</v>
      </c>
      <c r="I615">
        <v>29385</v>
      </c>
      <c r="J615">
        <v>926.9</v>
      </c>
      <c r="K615">
        <v>455</v>
      </c>
      <c r="L615">
        <v>446.37847396988099</v>
      </c>
      <c r="M615">
        <v>1457.1</v>
      </c>
      <c r="U615">
        <v>77.827727272727273</v>
      </c>
    </row>
    <row r="616" spans="1:21" x14ac:dyDescent="0.2">
      <c r="A616" s="1">
        <v>40482</v>
      </c>
      <c r="B616">
        <v>84.8</v>
      </c>
      <c r="C616">
        <v>90.8</v>
      </c>
      <c r="D616">
        <v>83.800700000000006</v>
      </c>
      <c r="F616">
        <v>25463</v>
      </c>
      <c r="G616">
        <v>33202</v>
      </c>
      <c r="H616">
        <v>7.8973005248106594</v>
      </c>
      <c r="I616">
        <v>29308</v>
      </c>
      <c r="J616">
        <v>922.6</v>
      </c>
      <c r="K616">
        <v>454</v>
      </c>
      <c r="L616">
        <v>446.81611618540398</v>
      </c>
      <c r="M616">
        <v>1451</v>
      </c>
      <c r="U616">
        <v>82.769523809523818</v>
      </c>
    </row>
    <row r="617" spans="1:21" x14ac:dyDescent="0.2">
      <c r="A617" s="1">
        <v>40512</v>
      </c>
      <c r="B617">
        <v>84.6</v>
      </c>
      <c r="C617">
        <v>89</v>
      </c>
      <c r="D617">
        <v>83.831299999999999</v>
      </c>
      <c r="F617">
        <v>26366</v>
      </c>
      <c r="G617">
        <v>34918</v>
      </c>
      <c r="H617">
        <v>7.8713899200906061</v>
      </c>
      <c r="I617">
        <v>29284</v>
      </c>
      <c r="J617">
        <v>922</v>
      </c>
      <c r="K617">
        <v>474</v>
      </c>
      <c r="L617">
        <v>447.99322333019597</v>
      </c>
      <c r="M617">
        <v>1452.4</v>
      </c>
      <c r="U617">
        <v>85.351818181818189</v>
      </c>
    </row>
    <row r="618" spans="1:21" x14ac:dyDescent="0.2">
      <c r="A618" s="1">
        <v>40543</v>
      </c>
      <c r="B618">
        <v>83.9</v>
      </c>
      <c r="C618">
        <v>88.2</v>
      </c>
      <c r="D618">
        <v>83.178700000000006</v>
      </c>
      <c r="F618">
        <v>26195</v>
      </c>
      <c r="G618">
        <v>35085</v>
      </c>
      <c r="H618">
        <v>7.8643918685392906</v>
      </c>
      <c r="I618">
        <v>29324</v>
      </c>
      <c r="J618">
        <v>930.9</v>
      </c>
      <c r="K618">
        <v>483</v>
      </c>
      <c r="L618">
        <v>449.075019860878</v>
      </c>
      <c r="M618">
        <v>1454</v>
      </c>
      <c r="U618">
        <v>91.475217391304355</v>
      </c>
    </row>
    <row r="619" spans="1:21" x14ac:dyDescent="0.2">
      <c r="A619" s="1">
        <v>40574</v>
      </c>
      <c r="B619">
        <v>84.3</v>
      </c>
      <c r="C619">
        <v>89.1</v>
      </c>
      <c r="D619">
        <v>83.325299999999999</v>
      </c>
      <c r="F619">
        <v>27994</v>
      </c>
      <c r="G619">
        <v>33853</v>
      </c>
      <c r="H619">
        <v>7.908506971643428</v>
      </c>
      <c r="I619">
        <v>29391</v>
      </c>
      <c r="J619">
        <v>932.7</v>
      </c>
      <c r="K619">
        <v>493</v>
      </c>
      <c r="L619">
        <v>457.93824359287601</v>
      </c>
      <c r="M619">
        <v>1461.8</v>
      </c>
      <c r="U619">
        <v>96.475238095238097</v>
      </c>
    </row>
    <row r="620" spans="1:21" x14ac:dyDescent="0.2">
      <c r="A620" s="1">
        <v>40602</v>
      </c>
      <c r="B620">
        <v>84.7</v>
      </c>
      <c r="C620">
        <v>86.6</v>
      </c>
      <c r="D620">
        <v>84.178700000000006</v>
      </c>
      <c r="F620">
        <v>28538</v>
      </c>
      <c r="G620">
        <v>32897</v>
      </c>
      <c r="H620">
        <v>7.8035949145111791</v>
      </c>
      <c r="I620">
        <v>29442</v>
      </c>
      <c r="J620">
        <v>935.7</v>
      </c>
      <c r="K620">
        <v>490</v>
      </c>
      <c r="L620">
        <v>452.813552589403</v>
      </c>
      <c r="M620">
        <v>1458.5</v>
      </c>
      <c r="U620">
        <v>103.73499999999999</v>
      </c>
    </row>
    <row r="621" spans="1:21" x14ac:dyDescent="0.2">
      <c r="A621" s="1">
        <v>40633</v>
      </c>
      <c r="B621">
        <v>84.9</v>
      </c>
      <c r="C621">
        <v>86.1</v>
      </c>
      <c r="D621">
        <v>84.424599999999998</v>
      </c>
      <c r="F621">
        <v>26818</v>
      </c>
      <c r="G621">
        <v>33795</v>
      </c>
      <c r="H621">
        <v>7.7778473875454202</v>
      </c>
      <c r="I621">
        <v>29441</v>
      </c>
      <c r="J621">
        <v>931.3</v>
      </c>
      <c r="K621">
        <v>484</v>
      </c>
      <c r="L621">
        <v>452.89919343561002</v>
      </c>
      <c r="M621">
        <v>1463.5</v>
      </c>
      <c r="U621">
        <v>114.56217391304349</v>
      </c>
    </row>
    <row r="622" spans="1:21" x14ac:dyDescent="0.2">
      <c r="A622" s="1">
        <v>40663</v>
      </c>
      <c r="B622">
        <v>84.2</v>
      </c>
      <c r="C622">
        <v>85.5</v>
      </c>
      <c r="D622">
        <v>83.487799999999993</v>
      </c>
      <c r="F622">
        <v>26445</v>
      </c>
      <c r="G622">
        <v>32495</v>
      </c>
      <c r="H622">
        <v>7.7183522477898299</v>
      </c>
      <c r="I622">
        <v>29436</v>
      </c>
      <c r="J622">
        <v>922.4</v>
      </c>
      <c r="K622">
        <v>472</v>
      </c>
      <c r="L622">
        <v>450.98938157208801</v>
      </c>
      <c r="M622">
        <v>1484.7</v>
      </c>
      <c r="U622">
        <v>123.66952380952382</v>
      </c>
    </row>
    <row r="623" spans="1:21" x14ac:dyDescent="0.2">
      <c r="A623" s="1">
        <v>40694</v>
      </c>
      <c r="B623">
        <v>85</v>
      </c>
      <c r="C623">
        <v>86.3</v>
      </c>
      <c r="D623">
        <v>84.440899999999999</v>
      </c>
      <c r="F623">
        <v>26715</v>
      </c>
      <c r="G623">
        <v>37364</v>
      </c>
      <c r="H623">
        <v>7.8208096102108486</v>
      </c>
      <c r="I623">
        <v>29466</v>
      </c>
      <c r="J623">
        <v>921.6</v>
      </c>
      <c r="K623">
        <v>461</v>
      </c>
      <c r="L623">
        <v>452.644306203729</v>
      </c>
      <c r="M623">
        <v>1500.4</v>
      </c>
      <c r="U623">
        <v>115.11227272727272</v>
      </c>
    </row>
    <row r="624" spans="1:21" x14ac:dyDescent="0.2">
      <c r="A624" s="1">
        <v>40724</v>
      </c>
      <c r="B624">
        <v>85</v>
      </c>
      <c r="C624">
        <v>86.5</v>
      </c>
      <c r="D624">
        <v>84.348699999999994</v>
      </c>
      <c r="F624">
        <v>25539</v>
      </c>
      <c r="G624">
        <v>33925</v>
      </c>
      <c r="H624">
        <v>7.9407259199049616</v>
      </c>
      <c r="I624">
        <v>29447</v>
      </c>
      <c r="J624">
        <v>921.4</v>
      </c>
      <c r="K624">
        <v>461</v>
      </c>
      <c r="L624">
        <v>455.74634185587399</v>
      </c>
      <c r="M624">
        <v>1519.5</v>
      </c>
      <c r="U624">
        <v>114.03681818181818</v>
      </c>
    </row>
    <row r="625" spans="1:21" x14ac:dyDescent="0.2">
      <c r="A625" s="1">
        <v>40755</v>
      </c>
      <c r="B625">
        <v>85.1</v>
      </c>
      <c r="C625">
        <v>86.2</v>
      </c>
      <c r="D625">
        <v>84.5501</v>
      </c>
      <c r="F625">
        <v>26211</v>
      </c>
      <c r="G625">
        <v>34284</v>
      </c>
      <c r="H625">
        <v>8.0122880160496539</v>
      </c>
      <c r="I625">
        <v>29345</v>
      </c>
      <c r="J625">
        <v>927.3</v>
      </c>
      <c r="K625">
        <v>457</v>
      </c>
      <c r="L625">
        <v>455.72566492974897</v>
      </c>
      <c r="M625">
        <v>1555.1</v>
      </c>
      <c r="U625">
        <v>116.84571428571425</v>
      </c>
    </row>
    <row r="626" spans="1:21" x14ac:dyDescent="0.2">
      <c r="A626" s="1">
        <v>40786</v>
      </c>
      <c r="B626">
        <v>84.9</v>
      </c>
      <c r="C626">
        <v>86.2</v>
      </c>
      <c r="D626">
        <v>84.409199999999998</v>
      </c>
      <c r="F626">
        <v>26156</v>
      </c>
      <c r="G626">
        <v>33934</v>
      </c>
      <c r="H626">
        <v>8.1821315533828454</v>
      </c>
      <c r="I626">
        <v>29300</v>
      </c>
      <c r="J626">
        <v>928.4</v>
      </c>
      <c r="K626">
        <v>462</v>
      </c>
      <c r="L626">
        <v>453.61546436155101</v>
      </c>
      <c r="M626">
        <v>1576.7</v>
      </c>
      <c r="U626">
        <v>110.52260869565217</v>
      </c>
    </row>
    <row r="627" spans="1:21" x14ac:dyDescent="0.2">
      <c r="A627" s="1">
        <v>40816</v>
      </c>
      <c r="B627">
        <v>85.1</v>
      </c>
      <c r="C627">
        <v>86.5</v>
      </c>
      <c r="D627">
        <v>84.494299999999996</v>
      </c>
      <c r="F627">
        <v>25701</v>
      </c>
      <c r="G627">
        <v>34981</v>
      </c>
      <c r="H627">
        <v>8.3330724683048985</v>
      </c>
      <c r="I627">
        <v>29283</v>
      </c>
      <c r="J627">
        <v>927</v>
      </c>
      <c r="K627">
        <v>464</v>
      </c>
      <c r="L627">
        <v>454.26902766157099</v>
      </c>
      <c r="M627">
        <v>1596</v>
      </c>
      <c r="U627">
        <v>113.07772727272727</v>
      </c>
    </row>
    <row r="628" spans="1:21" x14ac:dyDescent="0.2">
      <c r="A628" s="1">
        <v>40847</v>
      </c>
      <c r="B628">
        <v>84.2</v>
      </c>
      <c r="C628">
        <v>86.2</v>
      </c>
      <c r="D628">
        <v>83.563000000000002</v>
      </c>
      <c r="F628">
        <v>27905</v>
      </c>
      <c r="G628">
        <v>34971</v>
      </c>
      <c r="H628">
        <v>8.3734600712901006</v>
      </c>
      <c r="I628">
        <v>29304</v>
      </c>
      <c r="J628">
        <v>929</v>
      </c>
      <c r="K628">
        <v>466</v>
      </c>
      <c r="L628">
        <v>455.93664194668997</v>
      </c>
      <c r="M628">
        <v>1595.7</v>
      </c>
      <c r="U628">
        <v>109.43285714285715</v>
      </c>
    </row>
    <row r="629" spans="1:21" x14ac:dyDescent="0.2">
      <c r="A629" s="1">
        <v>40877</v>
      </c>
      <c r="B629">
        <v>85.3</v>
      </c>
      <c r="C629">
        <v>86.6</v>
      </c>
      <c r="D629">
        <v>84.789299999999997</v>
      </c>
      <c r="F629">
        <v>26967</v>
      </c>
      <c r="G629">
        <v>34644</v>
      </c>
      <c r="H629">
        <v>8.469339990638165</v>
      </c>
      <c r="I629">
        <v>29331</v>
      </c>
      <c r="J629">
        <v>927.8</v>
      </c>
      <c r="K629">
        <v>462</v>
      </c>
      <c r="L629">
        <v>456.726240996527</v>
      </c>
      <c r="M629">
        <v>1599.2</v>
      </c>
      <c r="U629">
        <v>110.70363636363636</v>
      </c>
    </row>
    <row r="630" spans="1:21" x14ac:dyDescent="0.2">
      <c r="A630" s="1">
        <v>40908</v>
      </c>
      <c r="B630">
        <v>86.1</v>
      </c>
      <c r="C630">
        <v>87.4</v>
      </c>
      <c r="D630">
        <v>85.342200000000005</v>
      </c>
      <c r="F630">
        <v>27362</v>
      </c>
      <c r="G630">
        <v>33663</v>
      </c>
      <c r="H630">
        <v>8.3960173538499951</v>
      </c>
      <c r="I630">
        <v>29349</v>
      </c>
      <c r="J630">
        <v>926</v>
      </c>
      <c r="K630">
        <v>465</v>
      </c>
      <c r="L630">
        <v>456.96266921416901</v>
      </c>
      <c r="M630">
        <v>1601.8</v>
      </c>
      <c r="U630">
        <v>107.89772727272725</v>
      </c>
    </row>
    <row r="631" spans="1:21" x14ac:dyDescent="0.2">
      <c r="A631" s="1">
        <v>40939</v>
      </c>
      <c r="B631">
        <v>86.5</v>
      </c>
      <c r="C631">
        <v>87.3</v>
      </c>
      <c r="D631">
        <v>86.1982</v>
      </c>
      <c r="F631">
        <v>27454</v>
      </c>
      <c r="G631">
        <v>35106</v>
      </c>
      <c r="H631">
        <v>8.3546674992194809</v>
      </c>
      <c r="I631">
        <v>29354</v>
      </c>
      <c r="J631">
        <v>931.2</v>
      </c>
      <c r="K631">
        <v>473</v>
      </c>
      <c r="L631">
        <v>457.35675279020899</v>
      </c>
      <c r="M631">
        <v>1609.9</v>
      </c>
      <c r="U631">
        <v>110.48090909090912</v>
      </c>
    </row>
    <row r="632" spans="1:21" x14ac:dyDescent="0.2">
      <c r="A632" s="1">
        <v>40968</v>
      </c>
      <c r="B632">
        <v>85.6</v>
      </c>
      <c r="C632">
        <v>86.6</v>
      </c>
      <c r="D632">
        <v>85.350399999999993</v>
      </c>
      <c r="F632">
        <v>27130</v>
      </c>
      <c r="G632">
        <v>33938</v>
      </c>
      <c r="H632">
        <v>8.2909476706087926</v>
      </c>
      <c r="I632">
        <v>29390</v>
      </c>
      <c r="J632">
        <v>932.3</v>
      </c>
      <c r="K632">
        <v>473</v>
      </c>
      <c r="L632">
        <v>456.87154995566902</v>
      </c>
      <c r="M632">
        <v>1609.5</v>
      </c>
      <c r="U632">
        <v>119.53047619047621</v>
      </c>
    </row>
    <row r="633" spans="1:21" x14ac:dyDescent="0.2">
      <c r="A633" s="1">
        <v>40999</v>
      </c>
      <c r="B633">
        <v>86</v>
      </c>
      <c r="C633">
        <v>86.9</v>
      </c>
      <c r="D633">
        <v>85.692800000000005</v>
      </c>
      <c r="F633">
        <v>28078</v>
      </c>
      <c r="G633">
        <v>35230</v>
      </c>
      <c r="H633">
        <v>8.2118380062305292</v>
      </c>
      <c r="I633">
        <v>29464</v>
      </c>
      <c r="J633">
        <v>934.9</v>
      </c>
      <c r="K633">
        <v>467</v>
      </c>
      <c r="L633">
        <v>457.18715389927002</v>
      </c>
      <c r="M633">
        <v>1606.7</v>
      </c>
      <c r="U633">
        <v>125.2740909090909</v>
      </c>
    </row>
    <row r="634" spans="1:21" x14ac:dyDescent="0.2">
      <c r="A634" s="1">
        <v>41029</v>
      </c>
      <c r="B634">
        <v>85.4</v>
      </c>
      <c r="C634">
        <v>87.1</v>
      </c>
      <c r="D634">
        <v>85.019199999999998</v>
      </c>
      <c r="F634">
        <v>25105</v>
      </c>
      <c r="G634">
        <v>35321</v>
      </c>
      <c r="H634">
        <v>8.1761593526299414</v>
      </c>
      <c r="I634">
        <v>29503</v>
      </c>
      <c r="J634">
        <v>935.5</v>
      </c>
      <c r="K634">
        <v>465</v>
      </c>
      <c r="L634">
        <v>459.75916433251098</v>
      </c>
      <c r="M634">
        <v>1582.6</v>
      </c>
      <c r="U634">
        <v>119.89000000000003</v>
      </c>
    </row>
    <row r="635" spans="1:21" x14ac:dyDescent="0.2">
      <c r="A635" s="1">
        <v>41060</v>
      </c>
      <c r="B635">
        <v>86.7</v>
      </c>
      <c r="C635">
        <v>87.8</v>
      </c>
      <c r="D635">
        <v>86.447599999999994</v>
      </c>
      <c r="F635">
        <v>27546</v>
      </c>
      <c r="G635">
        <v>35696</v>
      </c>
      <c r="H635">
        <v>8.0831624090993852</v>
      </c>
      <c r="I635">
        <v>29577</v>
      </c>
      <c r="J635">
        <v>944.4</v>
      </c>
      <c r="K635">
        <v>471</v>
      </c>
      <c r="L635">
        <v>460.00817589759799</v>
      </c>
      <c r="M635">
        <v>1585.5</v>
      </c>
      <c r="U635">
        <v>110.27130434782606</v>
      </c>
    </row>
    <row r="636" spans="1:21" x14ac:dyDescent="0.2">
      <c r="A636" s="1">
        <v>41090</v>
      </c>
      <c r="B636">
        <v>85.6</v>
      </c>
      <c r="C636">
        <v>86.6</v>
      </c>
      <c r="D636">
        <v>85.524299999999997</v>
      </c>
      <c r="F636">
        <v>25247</v>
      </c>
      <c r="G636">
        <v>35057</v>
      </c>
      <c r="H636">
        <v>7.994420334779913</v>
      </c>
      <c r="I636">
        <v>29681</v>
      </c>
      <c r="J636">
        <v>941.3</v>
      </c>
      <c r="K636">
        <v>474</v>
      </c>
      <c r="L636">
        <v>461.515496147747</v>
      </c>
      <c r="M636">
        <v>1589.3</v>
      </c>
      <c r="U636">
        <v>95.128571428571419</v>
      </c>
    </row>
    <row r="637" spans="1:21" x14ac:dyDescent="0.2">
      <c r="A637" s="1">
        <v>41121</v>
      </c>
      <c r="B637">
        <v>86.8</v>
      </c>
      <c r="C637">
        <v>88.6</v>
      </c>
      <c r="D637">
        <v>86.666300000000007</v>
      </c>
      <c r="F637">
        <v>27695</v>
      </c>
      <c r="G637">
        <v>35069</v>
      </c>
      <c r="H637">
        <v>8.0431356796341493</v>
      </c>
      <c r="I637">
        <v>29760</v>
      </c>
      <c r="J637">
        <v>940.1</v>
      </c>
      <c r="K637">
        <v>480</v>
      </c>
      <c r="L637">
        <v>462.54638438363997</v>
      </c>
      <c r="M637">
        <v>1583.7</v>
      </c>
      <c r="U637">
        <v>102.5872727272727</v>
      </c>
    </row>
    <row r="638" spans="1:21" x14ac:dyDescent="0.2">
      <c r="A638" s="1">
        <v>41152</v>
      </c>
      <c r="B638">
        <v>87.3</v>
      </c>
      <c r="C638">
        <v>87.9</v>
      </c>
      <c r="D638">
        <v>87.355000000000004</v>
      </c>
      <c r="F638">
        <v>26251</v>
      </c>
      <c r="G638">
        <v>35982</v>
      </c>
      <c r="H638">
        <v>7.8948995363214838</v>
      </c>
      <c r="I638">
        <v>29796</v>
      </c>
      <c r="J638">
        <v>941.8</v>
      </c>
      <c r="K638">
        <v>484</v>
      </c>
      <c r="L638">
        <v>463.70283300223798</v>
      </c>
      <c r="M638">
        <v>1571.4</v>
      </c>
      <c r="U638">
        <v>113.48478260869565</v>
      </c>
    </row>
    <row r="639" spans="1:21" x14ac:dyDescent="0.2">
      <c r="A639" s="1">
        <v>41182</v>
      </c>
      <c r="B639">
        <v>86.3</v>
      </c>
      <c r="C639">
        <v>85.7</v>
      </c>
      <c r="D639">
        <v>86.485699999999994</v>
      </c>
      <c r="F639">
        <v>26212</v>
      </c>
      <c r="G639">
        <v>34575</v>
      </c>
      <c r="H639">
        <v>7.8650990099009901</v>
      </c>
      <c r="I639">
        <v>29778</v>
      </c>
      <c r="J639">
        <v>950.8</v>
      </c>
      <c r="K639">
        <v>488</v>
      </c>
      <c r="L639">
        <v>462.08842565675099</v>
      </c>
      <c r="M639">
        <v>1571.3</v>
      </c>
      <c r="U639">
        <v>113.09400000000001</v>
      </c>
    </row>
    <row r="640" spans="1:21" x14ac:dyDescent="0.2">
      <c r="A640" s="1">
        <v>41213</v>
      </c>
      <c r="B640">
        <v>86.7</v>
      </c>
      <c r="C640">
        <v>86.3</v>
      </c>
      <c r="D640">
        <v>86.807299999999998</v>
      </c>
      <c r="F640">
        <v>25629</v>
      </c>
      <c r="G640">
        <v>34765</v>
      </c>
      <c r="H640">
        <v>7.8597077761267951</v>
      </c>
      <c r="I640">
        <v>29765</v>
      </c>
      <c r="J640">
        <v>953.5</v>
      </c>
      <c r="K640">
        <v>490</v>
      </c>
      <c r="L640">
        <v>461.61758314103702</v>
      </c>
      <c r="M640">
        <v>1579.8</v>
      </c>
      <c r="U640">
        <v>111.69347826086958</v>
      </c>
    </row>
    <row r="641" spans="1:21" x14ac:dyDescent="0.2">
      <c r="A641" s="1">
        <v>41243</v>
      </c>
      <c r="B641">
        <v>86.9</v>
      </c>
      <c r="C641">
        <v>87</v>
      </c>
      <c r="D641">
        <v>86.870900000000006</v>
      </c>
      <c r="F641">
        <v>25794</v>
      </c>
      <c r="G641">
        <v>34261</v>
      </c>
      <c r="H641">
        <v>7.8280724490110769</v>
      </c>
      <c r="I641">
        <v>29872</v>
      </c>
      <c r="J641">
        <v>947.1</v>
      </c>
      <c r="K641">
        <v>494</v>
      </c>
      <c r="L641">
        <v>463.25818024932198</v>
      </c>
      <c r="M641">
        <v>1576.9</v>
      </c>
      <c r="U641">
        <v>109.16954545454547</v>
      </c>
    </row>
    <row r="642" spans="1:21" x14ac:dyDescent="0.2">
      <c r="A642" s="1">
        <v>41274</v>
      </c>
      <c r="B642">
        <v>86.6</v>
      </c>
      <c r="C642">
        <v>88.1</v>
      </c>
      <c r="D642">
        <v>86.319599999999994</v>
      </c>
      <c r="F642">
        <v>27050</v>
      </c>
      <c r="G642">
        <v>34924</v>
      </c>
      <c r="H642">
        <v>7.8221236757822128</v>
      </c>
      <c r="I642">
        <v>29932</v>
      </c>
      <c r="J642">
        <v>953.7</v>
      </c>
      <c r="K642">
        <v>501</v>
      </c>
      <c r="L642">
        <v>461.481716266239</v>
      </c>
      <c r="M642">
        <v>1560.3</v>
      </c>
      <c r="U642">
        <v>109.37523809523812</v>
      </c>
    </row>
    <row r="643" spans="1:21" x14ac:dyDescent="0.2">
      <c r="A643" s="1">
        <v>41305</v>
      </c>
      <c r="B643">
        <v>86.4</v>
      </c>
      <c r="C643">
        <v>86.9</v>
      </c>
      <c r="D643">
        <v>86.384799999999998</v>
      </c>
      <c r="F643">
        <v>25929</v>
      </c>
      <c r="G643">
        <v>34170</v>
      </c>
      <c r="H643">
        <v>7.8314180966758062</v>
      </c>
      <c r="I643">
        <v>29917</v>
      </c>
      <c r="J643">
        <v>954.8</v>
      </c>
      <c r="K643">
        <v>500</v>
      </c>
      <c r="L643">
        <v>461.98484466868001</v>
      </c>
      <c r="M643">
        <v>1550</v>
      </c>
      <c r="U643">
        <v>112.85260869565217</v>
      </c>
    </row>
    <row r="644" spans="1:21" x14ac:dyDescent="0.2">
      <c r="A644" s="1">
        <v>41333</v>
      </c>
      <c r="B644">
        <v>87.2</v>
      </c>
      <c r="C644">
        <v>87.3</v>
      </c>
      <c r="D644">
        <v>87.059899999999999</v>
      </c>
      <c r="F644">
        <v>25596</v>
      </c>
      <c r="G644">
        <v>33723</v>
      </c>
      <c r="H644">
        <v>7.9885305543565392</v>
      </c>
      <c r="I644">
        <v>29843</v>
      </c>
      <c r="J644">
        <v>954.3</v>
      </c>
      <c r="K644">
        <v>505</v>
      </c>
      <c r="L644">
        <v>462.04173646023099</v>
      </c>
      <c r="M644">
        <v>1544.6</v>
      </c>
      <c r="U644">
        <v>116.22850000000001</v>
      </c>
    </row>
    <row r="645" spans="1:21" x14ac:dyDescent="0.2">
      <c r="A645" s="1">
        <v>41364</v>
      </c>
      <c r="B645">
        <v>87.2</v>
      </c>
      <c r="C645">
        <v>88.3</v>
      </c>
      <c r="D645">
        <v>86.995800000000003</v>
      </c>
      <c r="F645">
        <v>26910</v>
      </c>
      <c r="G645">
        <v>34931</v>
      </c>
      <c r="H645">
        <v>7.8572309970384993</v>
      </c>
      <c r="I645">
        <v>29869</v>
      </c>
      <c r="J645">
        <v>954.5</v>
      </c>
      <c r="K645">
        <v>504</v>
      </c>
      <c r="L645">
        <v>454.15990747734099</v>
      </c>
      <c r="M645">
        <v>1530.6</v>
      </c>
      <c r="U645">
        <v>108.49619047619048</v>
      </c>
    </row>
    <row r="646" spans="1:21" x14ac:dyDescent="0.2">
      <c r="A646" s="1">
        <v>41394</v>
      </c>
      <c r="B646">
        <v>87.3</v>
      </c>
      <c r="C646">
        <v>88.2</v>
      </c>
      <c r="D646">
        <v>87.107299999999995</v>
      </c>
      <c r="F646">
        <v>25752</v>
      </c>
      <c r="G646">
        <v>35034</v>
      </c>
      <c r="H646">
        <v>7.8060957194366543</v>
      </c>
      <c r="I646">
        <v>29916</v>
      </c>
      <c r="J646">
        <v>953.7</v>
      </c>
      <c r="K646">
        <v>516</v>
      </c>
      <c r="L646">
        <v>477.47900641793098</v>
      </c>
      <c r="M646">
        <v>1510.5</v>
      </c>
      <c r="U646">
        <v>102.2559090909091</v>
      </c>
    </row>
    <row r="647" spans="1:21" x14ac:dyDescent="0.2">
      <c r="A647" s="1">
        <v>41425</v>
      </c>
      <c r="B647">
        <v>87.6</v>
      </c>
      <c r="C647">
        <v>88.5</v>
      </c>
      <c r="D647">
        <v>87.345299999999995</v>
      </c>
      <c r="F647">
        <v>26722</v>
      </c>
      <c r="G647">
        <v>36955</v>
      </c>
      <c r="H647">
        <v>7.7715731342362631</v>
      </c>
      <c r="I647">
        <v>29894</v>
      </c>
      <c r="J647">
        <v>955.5</v>
      </c>
      <c r="K647">
        <v>523</v>
      </c>
      <c r="L647">
        <v>468.06251585641502</v>
      </c>
      <c r="M647">
        <v>1489.8</v>
      </c>
      <c r="U647">
        <v>102.48478260869564</v>
      </c>
    </row>
    <row r="648" spans="1:21" x14ac:dyDescent="0.2">
      <c r="A648" s="1">
        <v>41455</v>
      </c>
      <c r="B648">
        <v>87.8</v>
      </c>
      <c r="C648">
        <v>89.5</v>
      </c>
      <c r="D648">
        <v>87.270799999999994</v>
      </c>
      <c r="F648">
        <v>27269</v>
      </c>
      <c r="G648">
        <v>37353</v>
      </c>
      <c r="H648">
        <v>7.7637935809459337</v>
      </c>
      <c r="I648">
        <v>29974</v>
      </c>
      <c r="J648">
        <v>957.1</v>
      </c>
      <c r="K648">
        <v>534</v>
      </c>
      <c r="L648">
        <v>466.37490158412402</v>
      </c>
      <c r="M648">
        <v>1461.9</v>
      </c>
      <c r="U648">
        <v>102.9195</v>
      </c>
    </row>
    <row r="649" spans="1:21" x14ac:dyDescent="0.2">
      <c r="A649" s="1">
        <v>41486</v>
      </c>
      <c r="B649">
        <v>88</v>
      </c>
      <c r="C649">
        <v>89.5</v>
      </c>
      <c r="D649">
        <v>87.512799999999999</v>
      </c>
      <c r="F649">
        <v>26043</v>
      </c>
      <c r="G649">
        <v>36027</v>
      </c>
      <c r="H649">
        <v>7.6878150743882943</v>
      </c>
      <c r="I649">
        <v>30031</v>
      </c>
      <c r="J649">
        <v>963.1</v>
      </c>
      <c r="K649">
        <v>540</v>
      </c>
      <c r="L649">
        <v>465.858572107535</v>
      </c>
      <c r="M649">
        <v>1428.4</v>
      </c>
      <c r="U649">
        <v>107.73391304347822</v>
      </c>
    </row>
    <row r="650" spans="1:21" x14ac:dyDescent="0.2">
      <c r="A650" s="1">
        <v>41517</v>
      </c>
      <c r="B650">
        <v>88.3</v>
      </c>
      <c r="C650">
        <v>89</v>
      </c>
      <c r="D650">
        <v>87.810699999999997</v>
      </c>
      <c r="F650">
        <v>27644</v>
      </c>
      <c r="G650">
        <v>35813</v>
      </c>
      <c r="H650">
        <v>7.7145049884881045</v>
      </c>
      <c r="I650">
        <v>30062</v>
      </c>
      <c r="J650">
        <v>964.3</v>
      </c>
      <c r="K650">
        <v>536</v>
      </c>
      <c r="L650">
        <v>466.01982849882501</v>
      </c>
      <c r="M650">
        <v>1392.8</v>
      </c>
      <c r="U650">
        <v>111.28045454545453</v>
      </c>
    </row>
    <row r="651" spans="1:21" x14ac:dyDescent="0.2">
      <c r="A651" s="1">
        <v>41547</v>
      </c>
      <c r="B651">
        <v>88.3</v>
      </c>
      <c r="C651">
        <v>90.2</v>
      </c>
      <c r="D651">
        <v>87.739400000000003</v>
      </c>
      <c r="F651">
        <v>26160</v>
      </c>
      <c r="G651">
        <v>37161</v>
      </c>
      <c r="H651">
        <v>7.6357396739796544</v>
      </c>
      <c r="I651">
        <v>30144</v>
      </c>
      <c r="J651">
        <v>968.4</v>
      </c>
      <c r="K651">
        <v>548</v>
      </c>
      <c r="L651">
        <v>466.15901225482401</v>
      </c>
      <c r="M651">
        <v>1342.6</v>
      </c>
      <c r="U651">
        <v>111.73142857142855</v>
      </c>
    </row>
    <row r="652" spans="1:21" x14ac:dyDescent="0.2">
      <c r="A652" s="1">
        <v>41578</v>
      </c>
      <c r="B652">
        <v>88.9</v>
      </c>
      <c r="C652">
        <v>89.7</v>
      </c>
      <c r="D652">
        <v>88.378799999999998</v>
      </c>
      <c r="F652">
        <v>26016</v>
      </c>
      <c r="G652">
        <v>38819</v>
      </c>
      <c r="H652">
        <v>7.3879112471308339</v>
      </c>
      <c r="I652">
        <v>30261</v>
      </c>
      <c r="J652">
        <v>970.6</v>
      </c>
      <c r="K652">
        <v>552</v>
      </c>
      <c r="L652">
        <v>466.05431798222997</v>
      </c>
      <c r="M652">
        <v>1297.7</v>
      </c>
      <c r="U652">
        <v>109.07652173913043</v>
      </c>
    </row>
    <row r="653" spans="1:21" x14ac:dyDescent="0.2">
      <c r="A653" s="1">
        <v>41608</v>
      </c>
      <c r="B653">
        <v>88.8</v>
      </c>
      <c r="C653">
        <v>89.8</v>
      </c>
      <c r="D653">
        <v>88.380600000000001</v>
      </c>
      <c r="F653">
        <v>26133</v>
      </c>
      <c r="G653">
        <v>38392</v>
      </c>
      <c r="H653">
        <v>7.1885228350310486</v>
      </c>
      <c r="I653">
        <v>30341</v>
      </c>
      <c r="J653">
        <v>971.9</v>
      </c>
      <c r="K653">
        <v>567</v>
      </c>
      <c r="L653">
        <v>466.38434146537099</v>
      </c>
      <c r="M653">
        <v>1263.8</v>
      </c>
      <c r="U653">
        <v>107.95571428571427</v>
      </c>
    </row>
    <row r="654" spans="1:21" x14ac:dyDescent="0.2">
      <c r="A654" s="1">
        <v>41639</v>
      </c>
      <c r="B654">
        <v>88.6</v>
      </c>
      <c r="C654">
        <v>89.8</v>
      </c>
      <c r="D654">
        <v>88.062100000000001</v>
      </c>
      <c r="F654">
        <v>26660</v>
      </c>
      <c r="G654">
        <v>35233</v>
      </c>
      <c r="H654">
        <v>7.2420331518747325</v>
      </c>
      <c r="I654">
        <v>30330</v>
      </c>
      <c r="J654">
        <v>970.1</v>
      </c>
      <c r="K654">
        <v>572</v>
      </c>
      <c r="L654">
        <v>467.66383703812301</v>
      </c>
      <c r="M654">
        <v>1242</v>
      </c>
      <c r="U654">
        <v>110.79363636363634</v>
      </c>
    </row>
    <row r="655" spans="1:21" x14ac:dyDescent="0.2">
      <c r="A655" s="1">
        <v>41670</v>
      </c>
      <c r="B655">
        <v>89.1</v>
      </c>
      <c r="C655">
        <v>90</v>
      </c>
      <c r="D655">
        <v>88.444100000000006</v>
      </c>
      <c r="F655">
        <v>25783</v>
      </c>
      <c r="G655">
        <v>36457</v>
      </c>
      <c r="H655">
        <v>7.1823710993612275</v>
      </c>
      <c r="I655">
        <v>30369</v>
      </c>
      <c r="J655">
        <v>970.1</v>
      </c>
      <c r="K655">
        <v>581</v>
      </c>
      <c r="L655">
        <v>469.07288375960701</v>
      </c>
      <c r="M655">
        <v>1221.4000000000001</v>
      </c>
      <c r="U655">
        <v>108.19739130434782</v>
      </c>
    </row>
    <row r="656" spans="1:21" x14ac:dyDescent="0.2">
      <c r="A656" s="1">
        <v>41698</v>
      </c>
      <c r="B656">
        <v>89.5</v>
      </c>
      <c r="C656">
        <v>90.5</v>
      </c>
      <c r="D656">
        <v>88.923299999999998</v>
      </c>
      <c r="F656">
        <v>26180</v>
      </c>
      <c r="G656">
        <v>36031</v>
      </c>
      <c r="H656">
        <v>6.9115853658536581</v>
      </c>
      <c r="I656">
        <v>30533</v>
      </c>
      <c r="J656">
        <v>976.1</v>
      </c>
      <c r="K656">
        <v>595</v>
      </c>
      <c r="L656">
        <v>471.80721789555599</v>
      </c>
      <c r="M656">
        <v>1187.2</v>
      </c>
      <c r="U656">
        <v>108.90800000000002</v>
      </c>
    </row>
    <row r="657" spans="1:21" x14ac:dyDescent="0.2">
      <c r="A657" s="1">
        <v>41729</v>
      </c>
      <c r="B657">
        <v>89.9</v>
      </c>
      <c r="C657">
        <v>89.8</v>
      </c>
      <c r="D657">
        <v>89.5625</v>
      </c>
      <c r="F657">
        <v>27266</v>
      </c>
      <c r="G657">
        <v>36147</v>
      </c>
      <c r="H657">
        <v>6.7782656421514815</v>
      </c>
      <c r="I657">
        <v>30573</v>
      </c>
      <c r="J657">
        <v>978.9</v>
      </c>
      <c r="K657">
        <v>616</v>
      </c>
      <c r="L657">
        <v>461.40990072755699</v>
      </c>
      <c r="M657">
        <v>1152.5</v>
      </c>
      <c r="U657">
        <v>107.48095238095237</v>
      </c>
    </row>
    <row r="658" spans="1:21" x14ac:dyDescent="0.2">
      <c r="A658" s="1">
        <v>41759</v>
      </c>
      <c r="B658">
        <v>90.2</v>
      </c>
      <c r="C658">
        <v>90.2</v>
      </c>
      <c r="D658">
        <v>89.6053</v>
      </c>
      <c r="F658">
        <v>27252</v>
      </c>
      <c r="G658">
        <v>36381</v>
      </c>
      <c r="H658">
        <v>6.6110671455530525</v>
      </c>
      <c r="I658">
        <v>30682</v>
      </c>
      <c r="J658">
        <v>983.8</v>
      </c>
      <c r="K658">
        <v>638</v>
      </c>
      <c r="L658">
        <v>469.335408373034</v>
      </c>
      <c r="M658">
        <v>1119.8</v>
      </c>
      <c r="U658">
        <v>107.85227272727273</v>
      </c>
    </row>
    <row r="659" spans="1:21" x14ac:dyDescent="0.2">
      <c r="A659" s="1">
        <v>41790</v>
      </c>
      <c r="B659">
        <v>90.3</v>
      </c>
      <c r="C659">
        <v>89.7</v>
      </c>
      <c r="D659">
        <v>90.002399999999994</v>
      </c>
      <c r="F659">
        <v>28085</v>
      </c>
      <c r="G659">
        <v>36896</v>
      </c>
      <c r="H659">
        <v>6.4543576030144649</v>
      </c>
      <c r="I659">
        <v>30784</v>
      </c>
      <c r="J659">
        <v>988</v>
      </c>
      <c r="K659">
        <v>654</v>
      </c>
      <c r="L659">
        <v>469.344294402407</v>
      </c>
      <c r="M659">
        <v>1085.5</v>
      </c>
      <c r="U659">
        <v>109.54727272727274</v>
      </c>
    </row>
    <row r="660" spans="1:21" x14ac:dyDescent="0.2">
      <c r="A660" s="1">
        <v>41820</v>
      </c>
      <c r="B660">
        <v>90.6</v>
      </c>
      <c r="C660">
        <v>90</v>
      </c>
      <c r="D660">
        <v>90.293899999999994</v>
      </c>
      <c r="F660">
        <v>25809</v>
      </c>
      <c r="G660">
        <v>36082</v>
      </c>
      <c r="H660">
        <v>6.3162705667276056</v>
      </c>
      <c r="I660">
        <v>30747</v>
      </c>
      <c r="J660">
        <v>988.4</v>
      </c>
      <c r="K660">
        <v>663</v>
      </c>
      <c r="L660">
        <v>469.74024641825901</v>
      </c>
      <c r="M660">
        <v>1042.0999999999999</v>
      </c>
      <c r="U660">
        <v>111.7952380952381</v>
      </c>
    </row>
    <row r="661" spans="1:21" x14ac:dyDescent="0.2">
      <c r="A661" s="1">
        <v>41851</v>
      </c>
      <c r="B661">
        <v>91.1</v>
      </c>
      <c r="C661">
        <v>90.9</v>
      </c>
      <c r="D661">
        <v>90.688199999999995</v>
      </c>
      <c r="F661">
        <v>26873</v>
      </c>
      <c r="G661">
        <v>39328</v>
      </c>
      <c r="H661">
        <v>6.1708426160466319</v>
      </c>
      <c r="I661">
        <v>30745</v>
      </c>
      <c r="J661">
        <v>987.2</v>
      </c>
      <c r="K661">
        <v>670</v>
      </c>
      <c r="L661">
        <v>467.71454159533403</v>
      </c>
      <c r="M661">
        <v>1008.8</v>
      </c>
      <c r="U661">
        <v>106.86130434782608</v>
      </c>
    </row>
    <row r="662" spans="1:21" x14ac:dyDescent="0.2">
      <c r="A662" s="1">
        <v>41882</v>
      </c>
      <c r="B662">
        <v>91</v>
      </c>
      <c r="C662">
        <v>90.4</v>
      </c>
      <c r="D662">
        <v>90.594899999999996</v>
      </c>
      <c r="F662">
        <v>25329</v>
      </c>
      <c r="G662">
        <v>36560</v>
      </c>
      <c r="H662">
        <v>6.0465683286602463</v>
      </c>
      <c r="I662">
        <v>30828</v>
      </c>
      <c r="J662">
        <v>990.2</v>
      </c>
      <c r="K662">
        <v>681</v>
      </c>
      <c r="L662">
        <v>469.43844077819898</v>
      </c>
      <c r="M662">
        <v>971.7</v>
      </c>
      <c r="U662">
        <v>101.60809523809523</v>
      </c>
    </row>
    <row r="663" spans="1:21" x14ac:dyDescent="0.2">
      <c r="A663" s="1">
        <v>41912</v>
      </c>
      <c r="B663">
        <v>91.4</v>
      </c>
      <c r="C663">
        <v>91.2</v>
      </c>
      <c r="D663">
        <v>90.896699999999996</v>
      </c>
      <c r="F663">
        <v>26543</v>
      </c>
      <c r="G663">
        <v>37239</v>
      </c>
      <c r="H663">
        <v>6.009681249429172</v>
      </c>
      <c r="I663">
        <v>30873</v>
      </c>
      <c r="J663">
        <v>991.6</v>
      </c>
      <c r="K663">
        <v>687</v>
      </c>
      <c r="L663">
        <v>472.89221633231301</v>
      </c>
      <c r="M663">
        <v>947.4</v>
      </c>
      <c r="U663">
        <v>97.287272727272708</v>
      </c>
    </row>
    <row r="664" spans="1:21" x14ac:dyDescent="0.2">
      <c r="A664" s="1">
        <v>41943</v>
      </c>
      <c r="B664">
        <v>91.7</v>
      </c>
      <c r="C664">
        <v>91.2</v>
      </c>
      <c r="D664">
        <v>91.352800000000002</v>
      </c>
      <c r="F664">
        <v>26826</v>
      </c>
      <c r="G664">
        <v>38258</v>
      </c>
      <c r="H664">
        <v>5.98423279456975</v>
      </c>
      <c r="I664">
        <v>30887</v>
      </c>
      <c r="J664">
        <v>996.3</v>
      </c>
      <c r="K664">
        <v>702</v>
      </c>
      <c r="L664">
        <v>474.79499653970697</v>
      </c>
      <c r="M664">
        <v>922.5</v>
      </c>
      <c r="U664">
        <v>87.463043478260886</v>
      </c>
    </row>
    <row r="665" spans="1:21" x14ac:dyDescent="0.2">
      <c r="A665" s="1">
        <v>41973</v>
      </c>
      <c r="B665">
        <v>91.6</v>
      </c>
      <c r="C665">
        <v>91.5</v>
      </c>
      <c r="D665">
        <v>91.110900000000001</v>
      </c>
      <c r="F665">
        <v>27117</v>
      </c>
      <c r="G665">
        <v>39000</v>
      </c>
      <c r="H665">
        <v>5.9009900990099009</v>
      </c>
      <c r="I665">
        <v>30888</v>
      </c>
      <c r="J665">
        <v>996</v>
      </c>
      <c r="K665">
        <v>703</v>
      </c>
      <c r="L665">
        <v>474.85323745236599</v>
      </c>
      <c r="M665">
        <v>897.9</v>
      </c>
      <c r="U665">
        <v>79.001500000000007</v>
      </c>
    </row>
    <row r="666" spans="1:21" x14ac:dyDescent="0.2">
      <c r="A666" s="1">
        <v>42004</v>
      </c>
      <c r="B666">
        <v>91.9</v>
      </c>
      <c r="C666">
        <v>92.9</v>
      </c>
      <c r="D666">
        <v>91.236599999999996</v>
      </c>
      <c r="F666">
        <v>28085</v>
      </c>
      <c r="G666">
        <v>43111</v>
      </c>
      <c r="H666">
        <v>5.7296738072054527</v>
      </c>
      <c r="I666">
        <v>30981</v>
      </c>
      <c r="J666">
        <v>997.5</v>
      </c>
      <c r="K666">
        <v>707</v>
      </c>
      <c r="L666">
        <v>478.45403846845801</v>
      </c>
      <c r="M666">
        <v>876.6</v>
      </c>
      <c r="U666">
        <v>62.144347826086957</v>
      </c>
    </row>
    <row r="667" spans="1:21" x14ac:dyDescent="0.2">
      <c r="A667" s="1">
        <v>42035</v>
      </c>
      <c r="B667">
        <v>91.7</v>
      </c>
      <c r="C667">
        <v>92.3</v>
      </c>
      <c r="D667">
        <v>90.994500000000002</v>
      </c>
      <c r="F667">
        <v>27070</v>
      </c>
      <c r="G667">
        <v>40019</v>
      </c>
      <c r="H667">
        <v>5.6880678192701533</v>
      </c>
      <c r="I667">
        <v>31039</v>
      </c>
      <c r="J667">
        <v>996.7</v>
      </c>
      <c r="K667">
        <v>708</v>
      </c>
      <c r="L667">
        <v>475.59784911160301</v>
      </c>
      <c r="M667">
        <v>855.5</v>
      </c>
      <c r="U667">
        <v>48.051818181818184</v>
      </c>
    </row>
    <row r="668" spans="1:21" x14ac:dyDescent="0.2">
      <c r="A668" s="1">
        <v>42063</v>
      </c>
      <c r="B668">
        <v>92</v>
      </c>
      <c r="C668">
        <v>93.4</v>
      </c>
      <c r="D668">
        <v>91.198400000000007</v>
      </c>
      <c r="F668">
        <v>26630</v>
      </c>
      <c r="G668">
        <v>39707</v>
      </c>
      <c r="H668">
        <v>5.6164798545895183</v>
      </c>
      <c r="I668">
        <v>31156</v>
      </c>
      <c r="J668">
        <v>999</v>
      </c>
      <c r="K668">
        <v>720</v>
      </c>
      <c r="L668">
        <v>478.47976455259999</v>
      </c>
      <c r="M668">
        <v>834.7</v>
      </c>
      <c r="U668">
        <v>58.095500000000015</v>
      </c>
    </row>
    <row r="669" spans="1:21" x14ac:dyDescent="0.2">
      <c r="A669" s="1">
        <v>42094</v>
      </c>
      <c r="B669">
        <v>92</v>
      </c>
      <c r="C669">
        <v>94.5</v>
      </c>
      <c r="D669">
        <v>91.006900000000002</v>
      </c>
      <c r="F669">
        <v>27560</v>
      </c>
      <c r="G669">
        <v>38859</v>
      </c>
      <c r="H669">
        <v>5.5710306406685239</v>
      </c>
      <c r="I669">
        <v>31188</v>
      </c>
      <c r="J669">
        <v>1000.3</v>
      </c>
      <c r="K669">
        <v>729</v>
      </c>
      <c r="L669">
        <v>480.20379548841601</v>
      </c>
      <c r="M669">
        <v>814.8</v>
      </c>
      <c r="U669">
        <v>55.885454545454543</v>
      </c>
    </row>
    <row r="670" spans="1:21" x14ac:dyDescent="0.2">
      <c r="A670" s="1">
        <v>42124</v>
      </c>
      <c r="B670">
        <v>92.6</v>
      </c>
      <c r="C670">
        <v>95</v>
      </c>
      <c r="D670">
        <v>91.478800000000007</v>
      </c>
      <c r="F670">
        <v>27634</v>
      </c>
      <c r="G670">
        <v>38190</v>
      </c>
      <c r="H670">
        <v>5.538545487616334</v>
      </c>
      <c r="I670">
        <v>31160</v>
      </c>
      <c r="J670">
        <v>1000.2</v>
      </c>
      <c r="K670">
        <v>728</v>
      </c>
      <c r="L670">
        <v>481.24387817300601</v>
      </c>
      <c r="M670">
        <v>804.7</v>
      </c>
      <c r="U670">
        <v>59.131818181818176</v>
      </c>
    </row>
    <row r="671" spans="1:21" x14ac:dyDescent="0.2">
      <c r="A671" s="1">
        <v>42155</v>
      </c>
      <c r="B671">
        <v>92.3</v>
      </c>
      <c r="C671">
        <v>95.4</v>
      </c>
      <c r="D671">
        <v>91.152100000000004</v>
      </c>
      <c r="F671">
        <v>29087</v>
      </c>
      <c r="G671">
        <v>37674</v>
      </c>
      <c r="H671">
        <v>5.6538496555491484</v>
      </c>
      <c r="I671">
        <v>31088</v>
      </c>
      <c r="J671">
        <v>997.8</v>
      </c>
      <c r="K671">
        <v>728</v>
      </c>
      <c r="L671">
        <v>481.722384569177</v>
      </c>
      <c r="M671">
        <v>795.8</v>
      </c>
      <c r="U671">
        <v>64.087619047619057</v>
      </c>
    </row>
    <row r="672" spans="1:21" x14ac:dyDescent="0.2">
      <c r="A672" s="1">
        <v>42185</v>
      </c>
      <c r="B672">
        <v>92.2</v>
      </c>
      <c r="C672">
        <v>95.5</v>
      </c>
      <c r="D672">
        <v>91.063400000000001</v>
      </c>
      <c r="F672">
        <v>28723</v>
      </c>
      <c r="G672">
        <v>38488</v>
      </c>
      <c r="H672">
        <v>5.6449413689664576</v>
      </c>
      <c r="I672">
        <v>31140</v>
      </c>
      <c r="J672">
        <v>999</v>
      </c>
      <c r="K672">
        <v>732</v>
      </c>
      <c r="L672">
        <v>480.74045694357801</v>
      </c>
      <c r="M672">
        <v>794.7</v>
      </c>
      <c r="U672">
        <v>61.470909090909096</v>
      </c>
    </row>
    <row r="673" spans="1:21" x14ac:dyDescent="0.2">
      <c r="A673" s="1">
        <v>42216</v>
      </c>
      <c r="B673">
        <v>92.7</v>
      </c>
      <c r="C673">
        <v>95.3</v>
      </c>
      <c r="D673">
        <v>91.668599999999998</v>
      </c>
      <c r="F673">
        <v>26612</v>
      </c>
      <c r="G673">
        <v>38952</v>
      </c>
      <c r="H673">
        <v>5.5577405984328196</v>
      </c>
      <c r="I673">
        <v>31216</v>
      </c>
      <c r="J673">
        <v>997.5</v>
      </c>
      <c r="K673">
        <v>742</v>
      </c>
      <c r="L673">
        <v>483.899705299711</v>
      </c>
      <c r="M673">
        <v>790.9</v>
      </c>
      <c r="U673">
        <v>56.561304347826088</v>
      </c>
    </row>
    <row r="674" spans="1:21" x14ac:dyDescent="0.2">
      <c r="A674" s="1">
        <v>42247</v>
      </c>
      <c r="B674">
        <v>92.5</v>
      </c>
      <c r="C674">
        <v>95.8</v>
      </c>
      <c r="D674">
        <v>91.537199999999999</v>
      </c>
      <c r="F674">
        <v>27888</v>
      </c>
      <c r="G674">
        <v>37780</v>
      </c>
      <c r="H674">
        <v>5.4323154677238747</v>
      </c>
      <c r="I674">
        <v>31248</v>
      </c>
      <c r="J674">
        <v>1000.1</v>
      </c>
      <c r="K674">
        <v>742</v>
      </c>
      <c r="L674">
        <v>484.31588896928798</v>
      </c>
      <c r="M674">
        <v>785.2</v>
      </c>
      <c r="U674">
        <v>46.58428571428572</v>
      </c>
    </row>
    <row r="675" spans="1:21" x14ac:dyDescent="0.2">
      <c r="A675" s="1">
        <v>42277</v>
      </c>
      <c r="B675">
        <v>92.7</v>
      </c>
      <c r="C675">
        <v>95.7</v>
      </c>
      <c r="D675">
        <v>91.738299999999995</v>
      </c>
      <c r="F675">
        <v>27823</v>
      </c>
      <c r="G675">
        <v>38458</v>
      </c>
      <c r="H675">
        <v>5.3595678546639709</v>
      </c>
      <c r="I675">
        <v>31361</v>
      </c>
      <c r="J675">
        <v>999.3</v>
      </c>
      <c r="K675">
        <v>742</v>
      </c>
      <c r="L675">
        <v>482.71150132724</v>
      </c>
      <c r="M675">
        <v>780.6</v>
      </c>
      <c r="U675">
        <v>47.62318181818182</v>
      </c>
    </row>
    <row r="676" spans="1:21" x14ac:dyDescent="0.2">
      <c r="A676" s="1">
        <v>42308</v>
      </c>
      <c r="B676">
        <v>93</v>
      </c>
      <c r="C676">
        <v>96.5</v>
      </c>
      <c r="D676">
        <v>91.963399999999993</v>
      </c>
      <c r="F676">
        <v>26899</v>
      </c>
      <c r="G676">
        <v>40991</v>
      </c>
      <c r="H676">
        <v>5.2173389161671233</v>
      </c>
      <c r="I676">
        <v>31465</v>
      </c>
      <c r="J676">
        <v>1008.6</v>
      </c>
      <c r="K676">
        <v>741</v>
      </c>
      <c r="L676">
        <v>483.52908818051401</v>
      </c>
      <c r="M676">
        <v>776.9</v>
      </c>
      <c r="U676">
        <v>48.43</v>
      </c>
    </row>
    <row r="677" spans="1:21" x14ac:dyDescent="0.2">
      <c r="A677" s="1">
        <v>42338</v>
      </c>
      <c r="B677">
        <v>92.9</v>
      </c>
      <c r="C677">
        <v>95.2</v>
      </c>
      <c r="D677">
        <v>92.075400000000002</v>
      </c>
      <c r="F677">
        <v>27850</v>
      </c>
      <c r="G677">
        <v>39504</v>
      </c>
      <c r="H677">
        <v>5.1254286229922394</v>
      </c>
      <c r="I677">
        <v>31542</v>
      </c>
      <c r="J677">
        <v>1014.3</v>
      </c>
      <c r="K677">
        <v>742</v>
      </c>
      <c r="L677">
        <v>484.410826697863</v>
      </c>
      <c r="M677">
        <v>771.5</v>
      </c>
      <c r="U677">
        <v>44.267619047619057</v>
      </c>
    </row>
    <row r="678" spans="1:21" x14ac:dyDescent="0.2">
      <c r="A678" s="1">
        <v>42369</v>
      </c>
      <c r="B678">
        <v>93.3</v>
      </c>
      <c r="C678">
        <v>94.8</v>
      </c>
      <c r="D678">
        <v>92.495699999999999</v>
      </c>
      <c r="F678">
        <v>28684</v>
      </c>
      <c r="G678">
        <v>38682</v>
      </c>
      <c r="H678">
        <v>5.124120935264771</v>
      </c>
      <c r="I678">
        <v>31569</v>
      </c>
      <c r="J678">
        <v>1019</v>
      </c>
      <c r="K678">
        <v>743</v>
      </c>
      <c r="L678">
        <v>486.88122954657001</v>
      </c>
      <c r="M678">
        <v>769.6</v>
      </c>
      <c r="U678">
        <v>37.96521739130435</v>
      </c>
    </row>
    <row r="679" spans="1:21" x14ac:dyDescent="0.2">
      <c r="A679" s="1">
        <v>42400</v>
      </c>
      <c r="B679">
        <v>93.2</v>
      </c>
      <c r="C679">
        <v>95.3</v>
      </c>
      <c r="D679">
        <v>92.497299999999996</v>
      </c>
      <c r="F679">
        <v>27934</v>
      </c>
      <c r="G679">
        <v>37731</v>
      </c>
      <c r="H679">
        <v>5.1152586180987587</v>
      </c>
      <c r="I679">
        <v>31571</v>
      </c>
      <c r="J679">
        <v>1014.5</v>
      </c>
      <c r="K679">
        <v>746</v>
      </c>
      <c r="L679">
        <v>488.99549044623899</v>
      </c>
      <c r="M679">
        <v>764.8</v>
      </c>
      <c r="U679">
        <v>30.972380952380952</v>
      </c>
    </row>
    <row r="680" spans="1:21" x14ac:dyDescent="0.2">
      <c r="A680" s="1">
        <v>42429</v>
      </c>
      <c r="B680">
        <v>93.5</v>
      </c>
      <c r="C680">
        <v>94.8</v>
      </c>
      <c r="D680">
        <v>93.045100000000005</v>
      </c>
      <c r="F680">
        <v>27530</v>
      </c>
      <c r="G680">
        <v>40326</v>
      </c>
      <c r="H680">
        <v>5.1586944119148423</v>
      </c>
      <c r="I680">
        <v>31585</v>
      </c>
      <c r="J680">
        <v>1012.9</v>
      </c>
      <c r="K680">
        <v>745</v>
      </c>
      <c r="L680">
        <v>485.80392076678601</v>
      </c>
      <c r="M680">
        <v>758.5</v>
      </c>
      <c r="U680">
        <v>32.200476190476188</v>
      </c>
    </row>
    <row r="681" spans="1:21" x14ac:dyDescent="0.2">
      <c r="A681" s="1">
        <v>42460</v>
      </c>
      <c r="B681">
        <v>93.7</v>
      </c>
      <c r="C681">
        <v>94.8</v>
      </c>
      <c r="D681">
        <v>93.3339</v>
      </c>
      <c r="F681">
        <v>27184</v>
      </c>
      <c r="G681">
        <v>40665</v>
      </c>
      <c r="H681">
        <v>5.11889035667107</v>
      </c>
      <c r="I681">
        <v>31603</v>
      </c>
      <c r="J681">
        <v>1013.9</v>
      </c>
      <c r="K681">
        <v>746</v>
      </c>
      <c r="L681">
        <v>489.84831585791602</v>
      </c>
      <c r="M681">
        <v>766.5</v>
      </c>
      <c r="U681">
        <v>38.426956521739136</v>
      </c>
    </row>
    <row r="682" spans="1:21" x14ac:dyDescent="0.2">
      <c r="A682" s="1">
        <v>42490</v>
      </c>
      <c r="B682">
        <v>94.2</v>
      </c>
      <c r="C682">
        <v>97.3</v>
      </c>
      <c r="D682">
        <v>93.484899999999996</v>
      </c>
      <c r="F682">
        <v>29714</v>
      </c>
      <c r="G682">
        <v>41751</v>
      </c>
      <c r="H682">
        <v>5.0570228091236498</v>
      </c>
      <c r="I682">
        <v>31635</v>
      </c>
      <c r="J682">
        <v>1014.7</v>
      </c>
      <c r="K682">
        <v>745</v>
      </c>
      <c r="L682">
        <v>495.29342686047897</v>
      </c>
      <c r="M682">
        <v>765.1</v>
      </c>
      <c r="U682">
        <v>41.583333333333336</v>
      </c>
    </row>
    <row r="683" spans="1:21" x14ac:dyDescent="0.2">
      <c r="A683" s="1">
        <v>42521</v>
      </c>
      <c r="B683">
        <v>94</v>
      </c>
      <c r="C683">
        <v>95.8</v>
      </c>
      <c r="D683">
        <v>93.498900000000006</v>
      </c>
      <c r="F683">
        <v>28635</v>
      </c>
      <c r="G683">
        <v>38463</v>
      </c>
      <c r="H683">
        <v>4.9895240945824604</v>
      </c>
      <c r="I683">
        <v>31743</v>
      </c>
      <c r="J683">
        <v>1018</v>
      </c>
      <c r="K683">
        <v>748</v>
      </c>
      <c r="L683">
        <v>493.115635203419</v>
      </c>
      <c r="M683">
        <v>767.3</v>
      </c>
      <c r="U683">
        <v>46.840909090909093</v>
      </c>
    </row>
    <row r="684" spans="1:21" x14ac:dyDescent="0.2">
      <c r="A684" s="1">
        <v>42551</v>
      </c>
      <c r="B684">
        <v>94.1</v>
      </c>
      <c r="C684">
        <v>94.9</v>
      </c>
      <c r="D684">
        <v>93.843299999999999</v>
      </c>
      <c r="F684">
        <v>27416</v>
      </c>
      <c r="G684">
        <v>40588</v>
      </c>
      <c r="H684">
        <v>4.9729374121587275</v>
      </c>
      <c r="I684">
        <v>31778</v>
      </c>
      <c r="J684">
        <v>1016.5</v>
      </c>
      <c r="K684">
        <v>750</v>
      </c>
      <c r="L684">
        <v>493.07361912373602</v>
      </c>
      <c r="M684">
        <v>772.4</v>
      </c>
      <c r="U684">
        <v>48.247272727272723</v>
      </c>
    </row>
    <row r="685" spans="1:21" x14ac:dyDescent="0.2">
      <c r="A685" s="1">
        <v>42582</v>
      </c>
      <c r="B685">
        <v>94.2</v>
      </c>
      <c r="C685">
        <v>94.9</v>
      </c>
      <c r="D685">
        <v>93.947699999999998</v>
      </c>
      <c r="F685">
        <v>26736</v>
      </c>
      <c r="G685">
        <v>40370</v>
      </c>
      <c r="H685">
        <v>4.9453176358094781</v>
      </c>
      <c r="I685">
        <v>31811</v>
      </c>
      <c r="J685">
        <v>1018.3</v>
      </c>
      <c r="K685">
        <v>749</v>
      </c>
      <c r="L685">
        <v>495.84867279321003</v>
      </c>
      <c r="M685">
        <v>772.1</v>
      </c>
      <c r="U685">
        <v>44.951904761904771</v>
      </c>
    </row>
    <row r="686" spans="1:21" x14ac:dyDescent="0.2">
      <c r="A686" s="1">
        <v>42613</v>
      </c>
      <c r="B686">
        <v>94.5</v>
      </c>
      <c r="C686">
        <v>94.5</v>
      </c>
      <c r="D686">
        <v>94.445300000000003</v>
      </c>
      <c r="F686">
        <v>27346</v>
      </c>
      <c r="G686">
        <v>42438</v>
      </c>
      <c r="H686">
        <v>5.0369796015746156</v>
      </c>
      <c r="I686">
        <v>31843</v>
      </c>
      <c r="J686">
        <v>1016.2</v>
      </c>
      <c r="K686">
        <v>753</v>
      </c>
      <c r="L686">
        <v>494.47820503686199</v>
      </c>
      <c r="M686">
        <v>776.7</v>
      </c>
      <c r="U686">
        <v>45.755652173913049</v>
      </c>
    </row>
    <row r="687" spans="1:21" x14ac:dyDescent="0.2">
      <c r="A687" s="1">
        <v>42643</v>
      </c>
      <c r="B687">
        <v>95</v>
      </c>
      <c r="C687">
        <v>94.6</v>
      </c>
      <c r="D687">
        <v>95.0471</v>
      </c>
      <c r="F687">
        <v>27250</v>
      </c>
      <c r="G687">
        <v>41814</v>
      </c>
      <c r="H687">
        <v>4.8923269914279741</v>
      </c>
      <c r="I687">
        <v>31843</v>
      </c>
      <c r="J687">
        <v>1018.9</v>
      </c>
      <c r="K687">
        <v>755</v>
      </c>
      <c r="L687">
        <v>494.80596248885797</v>
      </c>
      <c r="M687">
        <v>779.6</v>
      </c>
      <c r="U687">
        <v>46.567727272727275</v>
      </c>
    </row>
    <row r="688" spans="1:21" x14ac:dyDescent="0.2">
      <c r="A688" s="1">
        <v>42674</v>
      </c>
      <c r="B688">
        <v>94.7</v>
      </c>
      <c r="C688">
        <v>92.5</v>
      </c>
      <c r="D688">
        <v>95.115899999999996</v>
      </c>
      <c r="F688">
        <v>27825</v>
      </c>
      <c r="G688">
        <v>38827</v>
      </c>
      <c r="H688">
        <v>4.8834429169157199</v>
      </c>
      <c r="I688">
        <v>31826</v>
      </c>
      <c r="J688">
        <v>1014.8</v>
      </c>
      <c r="K688">
        <v>762</v>
      </c>
      <c r="L688">
        <v>496.84656599667397</v>
      </c>
      <c r="M688">
        <v>783</v>
      </c>
      <c r="U688">
        <v>49.522380952380956</v>
      </c>
    </row>
    <row r="689" spans="1:21" x14ac:dyDescent="0.2">
      <c r="A689" s="1">
        <v>42704</v>
      </c>
      <c r="B689">
        <v>95.2</v>
      </c>
      <c r="C689">
        <v>94</v>
      </c>
      <c r="D689">
        <v>95.481200000000001</v>
      </c>
      <c r="F689">
        <v>28605</v>
      </c>
      <c r="G689">
        <v>41326</v>
      </c>
      <c r="H689">
        <v>4.8501329826973079</v>
      </c>
      <c r="I689">
        <v>31840</v>
      </c>
      <c r="J689">
        <v>1019.1</v>
      </c>
      <c r="K689">
        <v>758</v>
      </c>
      <c r="L689">
        <v>498.287126807422</v>
      </c>
      <c r="M689">
        <v>787.2</v>
      </c>
      <c r="U689">
        <v>44.734090909090916</v>
      </c>
    </row>
    <row r="690" spans="1:21" x14ac:dyDescent="0.2">
      <c r="A690" s="1">
        <v>42735</v>
      </c>
      <c r="B690">
        <v>95.9</v>
      </c>
      <c r="C690">
        <v>96</v>
      </c>
      <c r="D690">
        <v>95.755099999999999</v>
      </c>
      <c r="F690">
        <v>29136</v>
      </c>
      <c r="G690">
        <v>41383</v>
      </c>
      <c r="H690">
        <v>4.7993071317644249</v>
      </c>
      <c r="I690">
        <v>31877</v>
      </c>
      <c r="J690">
        <v>1022.9</v>
      </c>
      <c r="K690">
        <v>758</v>
      </c>
      <c r="L690">
        <v>495.98619046446402</v>
      </c>
      <c r="M690">
        <v>780.5</v>
      </c>
      <c r="U690">
        <v>53.364999999999988</v>
      </c>
    </row>
    <row r="691" spans="1:21" x14ac:dyDescent="0.2">
      <c r="A691" s="1">
        <v>42766</v>
      </c>
      <c r="B691">
        <v>96.1</v>
      </c>
      <c r="C691">
        <v>95.1</v>
      </c>
      <c r="D691">
        <v>95.966999999999999</v>
      </c>
      <c r="F691">
        <v>28750</v>
      </c>
      <c r="G691">
        <v>40247</v>
      </c>
      <c r="H691">
        <v>4.7647498132935029</v>
      </c>
      <c r="I691">
        <v>31880</v>
      </c>
      <c r="J691">
        <v>1027</v>
      </c>
      <c r="K691">
        <v>754</v>
      </c>
      <c r="L691">
        <v>497.34061823549001</v>
      </c>
      <c r="M691">
        <v>772.3</v>
      </c>
      <c r="U691">
        <v>54.594090909090895</v>
      </c>
    </row>
    <row r="692" spans="1:21" x14ac:dyDescent="0.2">
      <c r="A692" s="1">
        <v>42794</v>
      </c>
      <c r="B692">
        <v>96.1</v>
      </c>
      <c r="C692">
        <v>94.3</v>
      </c>
      <c r="D692">
        <v>96.091999999999999</v>
      </c>
      <c r="F692">
        <v>29003</v>
      </c>
      <c r="G692">
        <v>40216</v>
      </c>
      <c r="H692">
        <v>4.7004332885103839</v>
      </c>
      <c r="I692">
        <v>31892</v>
      </c>
      <c r="J692">
        <v>1029.0999999999999</v>
      </c>
      <c r="K692">
        <v>767</v>
      </c>
      <c r="L692">
        <v>499.23785921802698</v>
      </c>
      <c r="M692">
        <v>768.3</v>
      </c>
      <c r="U692">
        <v>54.869500000000002</v>
      </c>
    </row>
    <row r="693" spans="1:21" x14ac:dyDescent="0.2">
      <c r="A693" s="1">
        <v>42825</v>
      </c>
      <c r="B693">
        <v>96.2</v>
      </c>
      <c r="C693">
        <v>93.5</v>
      </c>
      <c r="D693">
        <v>96.332599999999999</v>
      </c>
      <c r="F693">
        <v>29760</v>
      </c>
      <c r="G693">
        <v>42372</v>
      </c>
      <c r="H693">
        <v>4.6258462823227653</v>
      </c>
      <c r="I693">
        <v>31978</v>
      </c>
      <c r="J693">
        <v>1029.3</v>
      </c>
      <c r="K693">
        <v>773</v>
      </c>
      <c r="L693">
        <v>501.364684294558</v>
      </c>
      <c r="M693">
        <v>782.8</v>
      </c>
      <c r="U693">
        <v>51.589130434782604</v>
      </c>
    </row>
    <row r="694" spans="1:21" x14ac:dyDescent="0.2">
      <c r="A694" s="1">
        <v>42855</v>
      </c>
      <c r="B694">
        <v>96.6</v>
      </c>
      <c r="C694">
        <v>93.9</v>
      </c>
      <c r="D694">
        <v>96.706599999999995</v>
      </c>
      <c r="F694">
        <v>31101</v>
      </c>
      <c r="G694">
        <v>40557</v>
      </c>
      <c r="H694">
        <v>4.6017118487369899</v>
      </c>
      <c r="I694">
        <v>31988</v>
      </c>
      <c r="J694">
        <v>1029.9000000000001</v>
      </c>
      <c r="K694">
        <v>788</v>
      </c>
      <c r="L694">
        <v>502.04928304007097</v>
      </c>
      <c r="M694">
        <v>791.7</v>
      </c>
      <c r="U694">
        <v>52.479499999999994</v>
      </c>
    </row>
    <row r="695" spans="1:21" x14ac:dyDescent="0.2">
      <c r="A695" s="1">
        <v>42886</v>
      </c>
      <c r="B695">
        <v>96.8</v>
      </c>
      <c r="C695">
        <v>94.3</v>
      </c>
      <c r="D695">
        <v>96.914900000000003</v>
      </c>
      <c r="F695">
        <v>30046</v>
      </c>
      <c r="G695">
        <v>41320</v>
      </c>
      <c r="H695">
        <v>4.5088806770771246</v>
      </c>
      <c r="I695">
        <v>32043</v>
      </c>
      <c r="J695">
        <v>1029.5</v>
      </c>
      <c r="K695">
        <v>783</v>
      </c>
      <c r="L695">
        <v>503.30372284575498</v>
      </c>
      <c r="M695">
        <v>795.2</v>
      </c>
      <c r="U695">
        <v>50.265217391304354</v>
      </c>
    </row>
    <row r="696" spans="1:21" x14ac:dyDescent="0.2">
      <c r="A696" s="1">
        <v>42916</v>
      </c>
      <c r="B696">
        <v>96.8</v>
      </c>
      <c r="C696">
        <v>94.3</v>
      </c>
      <c r="D696">
        <v>96.906099999999995</v>
      </c>
      <c r="F696">
        <v>29841</v>
      </c>
      <c r="G696">
        <v>43356</v>
      </c>
      <c r="H696">
        <v>4.4901359835748504</v>
      </c>
      <c r="I696">
        <v>32098</v>
      </c>
      <c r="J696">
        <v>1034.8</v>
      </c>
      <c r="K696">
        <v>782</v>
      </c>
      <c r="L696">
        <v>508.064424615105</v>
      </c>
      <c r="M696">
        <v>797</v>
      </c>
      <c r="U696">
        <v>46.368181818181824</v>
      </c>
    </row>
    <row r="697" spans="1:21" x14ac:dyDescent="0.2">
      <c r="A697" s="1">
        <v>42947</v>
      </c>
      <c r="B697">
        <v>97</v>
      </c>
      <c r="C697">
        <v>94.7</v>
      </c>
      <c r="D697">
        <v>97.122200000000007</v>
      </c>
      <c r="F697">
        <v>29828</v>
      </c>
      <c r="G697">
        <v>42100</v>
      </c>
      <c r="H697">
        <v>4.4044222539229674</v>
      </c>
      <c r="I697">
        <v>32166</v>
      </c>
      <c r="J697">
        <v>1033.0999999999999</v>
      </c>
      <c r="K697">
        <v>785</v>
      </c>
      <c r="L697">
        <v>503.99304121258302</v>
      </c>
      <c r="M697">
        <v>797.3</v>
      </c>
      <c r="U697">
        <v>48.478571428571428</v>
      </c>
    </row>
    <row r="698" spans="1:21" x14ac:dyDescent="0.2">
      <c r="A698" s="1">
        <v>42978</v>
      </c>
      <c r="B698">
        <v>97.2</v>
      </c>
      <c r="C698">
        <v>94.9</v>
      </c>
      <c r="D698">
        <v>97.222499999999997</v>
      </c>
      <c r="F698">
        <v>29633</v>
      </c>
      <c r="G698">
        <v>41999</v>
      </c>
      <c r="H698">
        <v>4.3942639533499941</v>
      </c>
      <c r="I698">
        <v>32135</v>
      </c>
      <c r="J698">
        <v>1030.5999999999999</v>
      </c>
      <c r="K698">
        <v>794</v>
      </c>
      <c r="L698">
        <v>506.57270876398201</v>
      </c>
      <c r="M698">
        <v>797.7</v>
      </c>
      <c r="U698">
        <v>51.704347826086966</v>
      </c>
    </row>
    <row r="699" spans="1:21" x14ac:dyDescent="0.2">
      <c r="A699" s="1">
        <v>43008</v>
      </c>
      <c r="B699">
        <v>97.6</v>
      </c>
      <c r="C699">
        <v>96.8</v>
      </c>
      <c r="D699">
        <v>97.507800000000003</v>
      </c>
      <c r="F699">
        <v>30865</v>
      </c>
      <c r="G699">
        <v>42334</v>
      </c>
      <c r="H699">
        <v>4.3342176647688317</v>
      </c>
      <c r="I699">
        <v>32093</v>
      </c>
      <c r="J699">
        <v>1024.5</v>
      </c>
      <c r="K699">
        <v>799</v>
      </c>
      <c r="L699">
        <v>508.87466968070203</v>
      </c>
      <c r="M699">
        <v>800.5</v>
      </c>
      <c r="U699">
        <v>56.152857142857137</v>
      </c>
    </row>
    <row r="700" spans="1:21" x14ac:dyDescent="0.2">
      <c r="A700" s="1">
        <v>43039</v>
      </c>
      <c r="B700">
        <v>97.6</v>
      </c>
      <c r="C700">
        <v>97.2</v>
      </c>
      <c r="D700">
        <v>97.521600000000007</v>
      </c>
      <c r="F700">
        <v>30239</v>
      </c>
      <c r="G700">
        <v>40907</v>
      </c>
      <c r="H700">
        <v>4.313246552083644</v>
      </c>
      <c r="I700">
        <v>32123</v>
      </c>
      <c r="J700">
        <v>1024.9000000000001</v>
      </c>
      <c r="K700">
        <v>809</v>
      </c>
      <c r="L700">
        <v>508.682771836227</v>
      </c>
      <c r="M700">
        <v>804.1</v>
      </c>
      <c r="U700">
        <v>57.5</v>
      </c>
    </row>
    <row r="701" spans="1:21" x14ac:dyDescent="0.2">
      <c r="A701" s="1">
        <v>43069</v>
      </c>
      <c r="B701">
        <v>97.8</v>
      </c>
      <c r="C701">
        <v>97.6</v>
      </c>
      <c r="D701">
        <v>97.633600000000001</v>
      </c>
      <c r="F701">
        <v>30142</v>
      </c>
      <c r="G701">
        <v>41783</v>
      </c>
      <c r="H701">
        <v>4.3436980773795399</v>
      </c>
      <c r="I701">
        <v>32240</v>
      </c>
      <c r="J701">
        <v>1028.5</v>
      </c>
      <c r="K701">
        <v>819</v>
      </c>
      <c r="L701">
        <v>509.72039684989602</v>
      </c>
      <c r="M701">
        <v>811.5</v>
      </c>
      <c r="U701">
        <v>62.73181818181817</v>
      </c>
    </row>
    <row r="702" spans="1:21" x14ac:dyDescent="0.2">
      <c r="A702" s="1">
        <v>43100</v>
      </c>
      <c r="B702">
        <v>98.1</v>
      </c>
      <c r="C702">
        <v>97.4</v>
      </c>
      <c r="D702">
        <v>97.764300000000006</v>
      </c>
      <c r="F702">
        <v>29745</v>
      </c>
      <c r="G702">
        <v>40302</v>
      </c>
      <c r="H702">
        <v>4.4254358608809294</v>
      </c>
      <c r="I702">
        <v>32179</v>
      </c>
      <c r="J702">
        <v>1026.9000000000001</v>
      </c>
      <c r="K702">
        <v>821</v>
      </c>
      <c r="L702">
        <v>511.754325938477</v>
      </c>
      <c r="M702">
        <v>824</v>
      </c>
      <c r="U702">
        <v>64.406190476190474</v>
      </c>
    </row>
    <row r="703" spans="1:21" x14ac:dyDescent="0.2">
      <c r="A703" s="1">
        <v>43131</v>
      </c>
      <c r="B703">
        <v>97.8</v>
      </c>
      <c r="C703">
        <v>98.7</v>
      </c>
      <c r="D703">
        <v>97.543999999999997</v>
      </c>
      <c r="F703">
        <v>30335</v>
      </c>
      <c r="G703">
        <v>42528</v>
      </c>
      <c r="H703">
        <v>4.3801677384939097</v>
      </c>
      <c r="I703">
        <v>32265</v>
      </c>
      <c r="J703">
        <v>1034.5999999999999</v>
      </c>
      <c r="K703">
        <v>822</v>
      </c>
      <c r="L703">
        <v>510.45652062048703</v>
      </c>
      <c r="M703">
        <v>832.9</v>
      </c>
      <c r="U703">
        <v>68.983478260869546</v>
      </c>
    </row>
    <row r="704" spans="1:21" x14ac:dyDescent="0.2">
      <c r="A704" s="1">
        <v>43159</v>
      </c>
      <c r="B704">
        <v>97.9</v>
      </c>
      <c r="C704">
        <v>99.4</v>
      </c>
      <c r="D704">
        <v>97.488500000000002</v>
      </c>
      <c r="F704">
        <v>29366</v>
      </c>
      <c r="G704">
        <v>39103</v>
      </c>
      <c r="H704">
        <v>4.2867307008182145</v>
      </c>
      <c r="I704">
        <v>32286</v>
      </c>
      <c r="J704">
        <v>1031.7</v>
      </c>
      <c r="K704">
        <v>815</v>
      </c>
      <c r="L704">
        <v>512.818906853356</v>
      </c>
      <c r="M704">
        <v>842.8</v>
      </c>
      <c r="U704">
        <v>65.317499999999981</v>
      </c>
    </row>
    <row r="705" spans="1:21" x14ac:dyDescent="0.2">
      <c r="A705" s="1">
        <v>43190</v>
      </c>
      <c r="B705">
        <v>98</v>
      </c>
      <c r="C705">
        <v>99</v>
      </c>
      <c r="D705">
        <v>97.860299999999995</v>
      </c>
      <c r="F705">
        <v>30158</v>
      </c>
      <c r="G705">
        <v>42568</v>
      </c>
      <c r="H705">
        <v>4.2740098790262948</v>
      </c>
      <c r="I705">
        <v>32364</v>
      </c>
      <c r="J705">
        <v>1031.9000000000001</v>
      </c>
      <c r="K705">
        <v>814</v>
      </c>
      <c r="L705">
        <v>513.31103629005997</v>
      </c>
      <c r="M705">
        <v>854.6</v>
      </c>
      <c r="U705">
        <v>66.153181818181807</v>
      </c>
    </row>
    <row r="706" spans="1:21" x14ac:dyDescent="0.2">
      <c r="A706" s="1">
        <v>43220</v>
      </c>
      <c r="B706">
        <v>97.8</v>
      </c>
      <c r="C706">
        <v>98.5</v>
      </c>
      <c r="D706">
        <v>97.75</v>
      </c>
      <c r="F706">
        <v>29670</v>
      </c>
      <c r="G706">
        <v>41802</v>
      </c>
      <c r="H706">
        <v>4.2655008418751663</v>
      </c>
      <c r="I706">
        <v>32409</v>
      </c>
      <c r="J706">
        <v>1029.5999999999999</v>
      </c>
      <c r="K706">
        <v>812</v>
      </c>
      <c r="L706">
        <v>515.34961440522397</v>
      </c>
      <c r="M706">
        <v>866.2</v>
      </c>
      <c r="U706">
        <v>71.857142857142861</v>
      </c>
    </row>
    <row r="707" spans="1:21" x14ac:dyDescent="0.2">
      <c r="A707" s="1">
        <v>43251</v>
      </c>
      <c r="B707">
        <v>98.1</v>
      </c>
      <c r="C707">
        <v>97.9</v>
      </c>
      <c r="D707">
        <v>98.126499999999993</v>
      </c>
      <c r="F707">
        <v>29746</v>
      </c>
      <c r="G707">
        <v>41239</v>
      </c>
      <c r="H707">
        <v>4.2451994091580501</v>
      </c>
      <c r="I707">
        <v>32413</v>
      </c>
      <c r="J707">
        <v>1032.5</v>
      </c>
      <c r="K707">
        <v>819</v>
      </c>
      <c r="L707">
        <v>516.16380793143105</v>
      </c>
      <c r="M707">
        <v>880.1</v>
      </c>
      <c r="U707">
        <v>76.862173913043492</v>
      </c>
    </row>
    <row r="708" spans="1:21" x14ac:dyDescent="0.2">
      <c r="A708" s="1">
        <v>43281</v>
      </c>
      <c r="B708">
        <v>98.4</v>
      </c>
      <c r="C708">
        <v>100.1</v>
      </c>
      <c r="D708">
        <v>98.129499999999993</v>
      </c>
      <c r="F708">
        <v>31307</v>
      </c>
      <c r="G708">
        <v>41312</v>
      </c>
      <c r="H708">
        <v>4.1161152867372905</v>
      </c>
      <c r="I708">
        <v>32403</v>
      </c>
      <c r="J708">
        <v>1033.5999999999999</v>
      </c>
      <c r="K708">
        <v>829</v>
      </c>
      <c r="L708">
        <v>518.91389112941295</v>
      </c>
      <c r="M708">
        <v>881.4</v>
      </c>
      <c r="U708">
        <v>74.404761904761898</v>
      </c>
    </row>
    <row r="709" spans="1:21" x14ac:dyDescent="0.2">
      <c r="A709" s="1">
        <v>43312</v>
      </c>
      <c r="B709">
        <v>98.3</v>
      </c>
      <c r="C709">
        <v>98.7</v>
      </c>
      <c r="D709">
        <v>98.204999999999998</v>
      </c>
      <c r="F709">
        <v>31067</v>
      </c>
      <c r="G709">
        <v>41629</v>
      </c>
      <c r="H709">
        <v>4.1023365868086366</v>
      </c>
      <c r="I709">
        <v>32423</v>
      </c>
      <c r="J709">
        <v>1035.2</v>
      </c>
      <c r="K709">
        <v>839</v>
      </c>
      <c r="L709">
        <v>520.70796464669502</v>
      </c>
      <c r="M709">
        <v>892.2</v>
      </c>
      <c r="U709">
        <v>74.25409090909092</v>
      </c>
    </row>
    <row r="710" spans="1:21" x14ac:dyDescent="0.2">
      <c r="A710" s="1">
        <v>43343</v>
      </c>
      <c r="B710">
        <v>98.5</v>
      </c>
      <c r="C710">
        <v>98.7</v>
      </c>
      <c r="D710">
        <v>98.483000000000004</v>
      </c>
      <c r="F710">
        <v>29836</v>
      </c>
      <c r="G710">
        <v>42604</v>
      </c>
      <c r="H710">
        <v>4.1160294509003812</v>
      </c>
      <c r="I710">
        <v>32427</v>
      </c>
      <c r="J710">
        <v>1041.0999999999999</v>
      </c>
      <c r="K710">
        <v>843</v>
      </c>
      <c r="L710">
        <v>523.15603781951302</v>
      </c>
      <c r="M710">
        <v>904.1</v>
      </c>
      <c r="U710">
        <v>72.52826086956523</v>
      </c>
    </row>
    <row r="711" spans="1:21" x14ac:dyDescent="0.2">
      <c r="A711" s="1">
        <v>43373</v>
      </c>
      <c r="B711">
        <v>98.6</v>
      </c>
      <c r="C711">
        <v>98.4</v>
      </c>
      <c r="D711">
        <v>98.690100000000001</v>
      </c>
      <c r="F711">
        <v>30535</v>
      </c>
      <c r="G711">
        <v>40723</v>
      </c>
      <c r="H711">
        <v>4.1559592379264512</v>
      </c>
      <c r="I711">
        <v>32448</v>
      </c>
      <c r="J711">
        <v>1042.7</v>
      </c>
      <c r="K711">
        <v>844</v>
      </c>
      <c r="L711">
        <v>523.26298452875199</v>
      </c>
      <c r="M711">
        <v>926.4</v>
      </c>
      <c r="U711">
        <v>78.89100000000002</v>
      </c>
    </row>
    <row r="712" spans="1:21" x14ac:dyDescent="0.2">
      <c r="A712" s="1">
        <v>43404</v>
      </c>
      <c r="B712">
        <v>98.5</v>
      </c>
      <c r="C712">
        <v>97.6</v>
      </c>
      <c r="D712">
        <v>98.708699999999993</v>
      </c>
      <c r="F712">
        <v>29984</v>
      </c>
      <c r="G712">
        <v>42750</v>
      </c>
      <c r="H712">
        <v>4.1397611676249451</v>
      </c>
      <c r="I712">
        <v>32511</v>
      </c>
      <c r="J712">
        <v>1044.8</v>
      </c>
      <c r="K712">
        <v>862</v>
      </c>
      <c r="L712">
        <v>530.18919037528599</v>
      </c>
      <c r="M712">
        <v>951.1</v>
      </c>
      <c r="U712">
        <v>81.032173913043479</v>
      </c>
    </row>
    <row r="713" spans="1:21" x14ac:dyDescent="0.2">
      <c r="A713" s="1">
        <v>43434</v>
      </c>
      <c r="B713">
        <v>98.8</v>
      </c>
      <c r="C713">
        <v>96.5</v>
      </c>
      <c r="D713">
        <v>99.222899999999996</v>
      </c>
      <c r="F713">
        <v>29958</v>
      </c>
      <c r="G713">
        <v>42548</v>
      </c>
      <c r="H713">
        <v>4.12507728999205</v>
      </c>
      <c r="I713">
        <v>32562</v>
      </c>
      <c r="J713">
        <v>1040.0999999999999</v>
      </c>
      <c r="K713">
        <v>861</v>
      </c>
      <c r="L713">
        <v>525.73368949337998</v>
      </c>
      <c r="M713">
        <v>973.3</v>
      </c>
      <c r="U713">
        <v>64.74818181818182</v>
      </c>
    </row>
    <row r="714" spans="1:21" x14ac:dyDescent="0.2">
      <c r="A714" s="1">
        <v>43465</v>
      </c>
      <c r="B714">
        <v>98.5</v>
      </c>
      <c r="C714">
        <v>96.1</v>
      </c>
      <c r="D714">
        <v>99.068799999999996</v>
      </c>
      <c r="F714">
        <v>28679</v>
      </c>
      <c r="G714">
        <v>41456</v>
      </c>
      <c r="H714">
        <v>4.1013730044394787</v>
      </c>
      <c r="I714">
        <v>32618</v>
      </c>
      <c r="J714">
        <v>1042</v>
      </c>
      <c r="K714">
        <v>856</v>
      </c>
      <c r="L714">
        <v>528.03593333259698</v>
      </c>
      <c r="M714">
        <v>1000.5</v>
      </c>
      <c r="U714">
        <v>56.262857142857143</v>
      </c>
    </row>
    <row r="715" spans="1:21" x14ac:dyDescent="0.2">
      <c r="A715" s="1">
        <v>43496</v>
      </c>
      <c r="B715">
        <v>98.9</v>
      </c>
      <c r="C715">
        <v>97.4</v>
      </c>
      <c r="D715">
        <v>99.176199999999994</v>
      </c>
      <c r="F715">
        <v>29902</v>
      </c>
      <c r="G715">
        <v>46712</v>
      </c>
      <c r="H715">
        <v>4.0197027003254462</v>
      </c>
      <c r="I715">
        <v>32736</v>
      </c>
      <c r="J715">
        <v>1047.5</v>
      </c>
      <c r="K715">
        <v>859</v>
      </c>
      <c r="L715">
        <v>529.90598502155103</v>
      </c>
      <c r="M715">
        <v>1019.1</v>
      </c>
      <c r="U715">
        <v>59.025217391304345</v>
      </c>
    </row>
    <row r="716" spans="1:21" x14ac:dyDescent="0.2">
      <c r="A716" s="1">
        <v>43524</v>
      </c>
      <c r="B716">
        <v>99.5</v>
      </c>
      <c r="C716">
        <v>98</v>
      </c>
      <c r="D716">
        <v>99.753200000000007</v>
      </c>
      <c r="F716">
        <v>29993</v>
      </c>
      <c r="G716">
        <v>47507</v>
      </c>
      <c r="H716">
        <v>4.0300126029485037</v>
      </c>
      <c r="I716">
        <v>32744</v>
      </c>
      <c r="J716">
        <v>1052.9000000000001</v>
      </c>
      <c r="K716">
        <v>847</v>
      </c>
      <c r="L716">
        <v>531.29301285543102</v>
      </c>
      <c r="M716">
        <v>1039.7</v>
      </c>
      <c r="U716">
        <v>63.960499999999989</v>
      </c>
    </row>
    <row r="717" spans="1:21" x14ac:dyDescent="0.2">
      <c r="A717" s="1">
        <v>43555</v>
      </c>
      <c r="B717">
        <v>99.6</v>
      </c>
      <c r="C717">
        <v>99</v>
      </c>
      <c r="D717">
        <v>99.740700000000004</v>
      </c>
      <c r="F717">
        <v>31334</v>
      </c>
      <c r="G717">
        <v>49222</v>
      </c>
      <c r="H717">
        <v>3.9087278280277222</v>
      </c>
      <c r="I717">
        <v>32721</v>
      </c>
      <c r="J717">
        <v>1052.9000000000001</v>
      </c>
      <c r="K717">
        <v>845</v>
      </c>
      <c r="L717">
        <v>525.25514612676398</v>
      </c>
      <c r="M717">
        <v>1059.4000000000001</v>
      </c>
      <c r="U717">
        <v>66.138571428571424</v>
      </c>
    </row>
    <row r="718" spans="1:21" x14ac:dyDescent="0.2">
      <c r="A718" s="1">
        <v>43585</v>
      </c>
      <c r="B718">
        <v>99.3</v>
      </c>
      <c r="C718">
        <v>97.3</v>
      </c>
      <c r="D718">
        <v>99.646000000000001</v>
      </c>
      <c r="F718">
        <v>27279</v>
      </c>
      <c r="G718">
        <v>42077</v>
      </c>
      <c r="H718">
        <v>3.9226033421284079</v>
      </c>
      <c r="I718">
        <v>32772</v>
      </c>
      <c r="J718">
        <v>1054.0999999999999</v>
      </c>
      <c r="K718">
        <v>840</v>
      </c>
      <c r="L718">
        <v>534.411424087098</v>
      </c>
      <c r="M718">
        <v>1079.5</v>
      </c>
      <c r="U718">
        <v>71.209545454545463</v>
      </c>
    </row>
    <row r="719" spans="1:21" x14ac:dyDescent="0.2">
      <c r="A719" s="1">
        <v>43616</v>
      </c>
      <c r="B719">
        <v>99.6</v>
      </c>
      <c r="C719">
        <v>98.6</v>
      </c>
      <c r="D719">
        <v>99.799199999999999</v>
      </c>
      <c r="F719">
        <v>28016</v>
      </c>
      <c r="G719">
        <v>41133</v>
      </c>
      <c r="H719">
        <v>3.8884490190903493</v>
      </c>
      <c r="I719">
        <v>32775</v>
      </c>
      <c r="J719">
        <v>1052.4000000000001</v>
      </c>
      <c r="K719">
        <v>835</v>
      </c>
      <c r="L719">
        <v>537.24256261102698</v>
      </c>
      <c r="M719">
        <v>1097</v>
      </c>
      <c r="U719">
        <v>71.172608695652201</v>
      </c>
    </row>
    <row r="720" spans="1:21" x14ac:dyDescent="0.2">
      <c r="A720" s="1">
        <v>43646</v>
      </c>
      <c r="B720">
        <v>100.1</v>
      </c>
      <c r="C720">
        <v>99.1</v>
      </c>
      <c r="D720">
        <v>100.3172</v>
      </c>
      <c r="F720">
        <v>29562</v>
      </c>
      <c r="G720">
        <v>40347</v>
      </c>
      <c r="H720">
        <v>3.987954273016987</v>
      </c>
      <c r="I720">
        <v>32839</v>
      </c>
      <c r="J720">
        <v>1052.5999999999999</v>
      </c>
      <c r="K720">
        <v>821</v>
      </c>
      <c r="L720">
        <v>539.57409819938505</v>
      </c>
      <c r="M720">
        <v>1126.5999999999999</v>
      </c>
      <c r="U720">
        <v>64.220499999999987</v>
      </c>
    </row>
    <row r="721" spans="1:21" x14ac:dyDescent="0.2">
      <c r="A721" s="1">
        <v>43677</v>
      </c>
      <c r="B721">
        <v>100.6</v>
      </c>
      <c r="C721">
        <v>100</v>
      </c>
      <c r="D721">
        <v>100.68729999999999</v>
      </c>
      <c r="F721">
        <v>31640</v>
      </c>
      <c r="G721">
        <v>41201</v>
      </c>
      <c r="H721">
        <v>3.8933645818075289</v>
      </c>
      <c r="I721">
        <v>32806</v>
      </c>
      <c r="J721">
        <v>1049.8</v>
      </c>
      <c r="K721">
        <v>823</v>
      </c>
      <c r="L721">
        <v>541.79206308361404</v>
      </c>
      <c r="M721">
        <v>1143.2</v>
      </c>
      <c r="U721">
        <v>63.919130434782595</v>
      </c>
    </row>
    <row r="722" spans="1:21" x14ac:dyDescent="0.2">
      <c r="A722" s="1">
        <v>43708</v>
      </c>
      <c r="B722">
        <v>100.3</v>
      </c>
      <c r="C722">
        <v>99.5</v>
      </c>
      <c r="D722">
        <v>100.37</v>
      </c>
      <c r="F722">
        <v>30017</v>
      </c>
      <c r="G722">
        <v>41883</v>
      </c>
      <c r="H722">
        <v>3.9596113769115617</v>
      </c>
      <c r="I722">
        <v>32720</v>
      </c>
      <c r="J722">
        <v>1049.2</v>
      </c>
      <c r="K722">
        <v>816</v>
      </c>
      <c r="L722">
        <v>541.07338776886797</v>
      </c>
      <c r="M722">
        <v>1163.5</v>
      </c>
      <c r="U722">
        <v>59.041818181818186</v>
      </c>
    </row>
    <row r="723" spans="1:21" x14ac:dyDescent="0.2">
      <c r="A723" s="1">
        <v>43738</v>
      </c>
      <c r="B723">
        <v>100.6</v>
      </c>
      <c r="C723">
        <v>101.3</v>
      </c>
      <c r="D723">
        <v>100.43429999999999</v>
      </c>
      <c r="F723">
        <v>30295</v>
      </c>
      <c r="G723">
        <v>42503</v>
      </c>
      <c r="H723">
        <v>3.9302461899179368</v>
      </c>
      <c r="I723">
        <v>32779</v>
      </c>
      <c r="J723">
        <v>1052.5999999999999</v>
      </c>
      <c r="K723">
        <v>817</v>
      </c>
      <c r="L723">
        <v>544.07178586314603</v>
      </c>
      <c r="M723">
        <v>1183.4000000000001</v>
      </c>
      <c r="U723">
        <v>62.826666666666675</v>
      </c>
    </row>
    <row r="724" spans="1:21" x14ac:dyDescent="0.2">
      <c r="A724" s="1">
        <v>43769</v>
      </c>
      <c r="B724">
        <v>100.5</v>
      </c>
      <c r="C724">
        <v>102.7</v>
      </c>
      <c r="D724">
        <v>100.13120000000001</v>
      </c>
      <c r="F724">
        <v>31839</v>
      </c>
      <c r="G724">
        <v>44375</v>
      </c>
      <c r="H724">
        <v>3.8546029700360269</v>
      </c>
      <c r="I724">
        <v>32825</v>
      </c>
      <c r="J724">
        <v>1055.7</v>
      </c>
      <c r="K724">
        <v>810</v>
      </c>
      <c r="L724">
        <v>542.95354452353502</v>
      </c>
      <c r="M724">
        <v>1211.4000000000001</v>
      </c>
      <c r="U724">
        <v>59.713043478260865</v>
      </c>
    </row>
    <row r="725" spans="1:21" x14ac:dyDescent="0.2">
      <c r="A725" s="1">
        <v>43799</v>
      </c>
      <c r="B725">
        <v>100.3</v>
      </c>
      <c r="C725">
        <v>103</v>
      </c>
      <c r="D725">
        <v>99.7483</v>
      </c>
      <c r="F725">
        <v>33214</v>
      </c>
      <c r="G725">
        <v>38395</v>
      </c>
      <c r="H725">
        <v>3.9165329052969504</v>
      </c>
      <c r="I725">
        <v>32923</v>
      </c>
      <c r="J725">
        <v>1054.0999999999999</v>
      </c>
      <c r="K725">
        <v>807</v>
      </c>
      <c r="L725">
        <v>542.42698058018402</v>
      </c>
      <c r="M725">
        <v>1232.4000000000001</v>
      </c>
      <c r="U725">
        <v>63.211904761904762</v>
      </c>
    </row>
    <row r="726" spans="1:21" x14ac:dyDescent="0.2">
      <c r="A726" s="1">
        <v>43830</v>
      </c>
      <c r="B726">
        <v>100.8</v>
      </c>
      <c r="C726">
        <v>104.1</v>
      </c>
      <c r="D726">
        <v>100.1964</v>
      </c>
      <c r="F726">
        <v>35112</v>
      </c>
      <c r="G726">
        <v>37845</v>
      </c>
      <c r="H726">
        <v>3.8681446907817971</v>
      </c>
      <c r="I726">
        <v>32954</v>
      </c>
      <c r="J726">
        <v>1050.0999999999999</v>
      </c>
      <c r="K726">
        <v>810</v>
      </c>
      <c r="L726">
        <v>541.52355891871798</v>
      </c>
      <c r="M726">
        <v>1240.3</v>
      </c>
      <c r="U726">
        <v>67.31</v>
      </c>
    </row>
    <row r="727" spans="1:21" x14ac:dyDescent="0.2">
      <c r="A727" s="1">
        <v>43861</v>
      </c>
      <c r="B727">
        <v>100.8</v>
      </c>
      <c r="C727">
        <v>105.8</v>
      </c>
      <c r="D727">
        <v>99.921199999999999</v>
      </c>
      <c r="F727">
        <v>30474</v>
      </c>
      <c r="G727">
        <v>38720</v>
      </c>
      <c r="H727">
        <v>4.0134946486738015</v>
      </c>
      <c r="I727">
        <v>33004</v>
      </c>
      <c r="J727">
        <v>1051.0999999999999</v>
      </c>
      <c r="K727">
        <v>816</v>
      </c>
      <c r="L727">
        <v>546.33837526907098</v>
      </c>
      <c r="M727">
        <v>1229.2</v>
      </c>
      <c r="U727">
        <v>63.824782608695635</v>
      </c>
    </row>
    <row r="728" spans="1:21" x14ac:dyDescent="0.2">
      <c r="A728" s="1">
        <v>43890</v>
      </c>
      <c r="B728">
        <v>100.4</v>
      </c>
      <c r="C728">
        <v>107.5</v>
      </c>
      <c r="D728">
        <v>99.228200000000001</v>
      </c>
      <c r="F728">
        <v>27702</v>
      </c>
      <c r="G728">
        <v>39744</v>
      </c>
      <c r="H728">
        <v>4.0619291989214581</v>
      </c>
      <c r="I728">
        <v>33090</v>
      </c>
      <c r="J728">
        <v>1052.2</v>
      </c>
      <c r="K728">
        <v>819</v>
      </c>
      <c r="L728">
        <v>545.97177315648696</v>
      </c>
      <c r="M728">
        <v>1227.5</v>
      </c>
      <c r="U728">
        <v>55.618500000000004</v>
      </c>
    </row>
    <row r="729" spans="1:21" x14ac:dyDescent="0.2">
      <c r="A729" s="1">
        <v>43921</v>
      </c>
      <c r="B729">
        <v>92.8</v>
      </c>
      <c r="C729">
        <v>99.3</v>
      </c>
      <c r="D729">
        <v>91.422700000000006</v>
      </c>
      <c r="F729">
        <v>26028</v>
      </c>
      <c r="G729">
        <v>36644</v>
      </c>
      <c r="H729">
        <v>4.103219807044054</v>
      </c>
      <c r="I729">
        <v>33000</v>
      </c>
      <c r="J729">
        <v>1032.7</v>
      </c>
      <c r="K729">
        <v>796</v>
      </c>
      <c r="L729">
        <v>529.48739783600502</v>
      </c>
      <c r="M729">
        <v>1229.9000000000001</v>
      </c>
      <c r="U729">
        <v>32.032727272727271</v>
      </c>
    </row>
    <row r="730" spans="1:21" x14ac:dyDescent="0.2">
      <c r="A730" s="1">
        <v>43951</v>
      </c>
      <c r="B730">
        <v>74.599999999999994</v>
      </c>
      <c r="C730">
        <v>84.1</v>
      </c>
      <c r="D730">
        <v>74.216399999999993</v>
      </c>
      <c r="F730">
        <v>25856</v>
      </c>
      <c r="G730">
        <v>28747</v>
      </c>
      <c r="H730">
        <v>4.1532705909861463</v>
      </c>
      <c r="I730">
        <v>32793</v>
      </c>
      <c r="J730">
        <v>960.2</v>
      </c>
      <c r="K730">
        <v>638</v>
      </c>
      <c r="L730">
        <v>529.46005572716501</v>
      </c>
      <c r="M730">
        <v>2090.3000000000002</v>
      </c>
      <c r="U730">
        <v>18.546818181818185</v>
      </c>
    </row>
    <row r="731" spans="1:21" x14ac:dyDescent="0.2">
      <c r="A731" s="1">
        <v>43982</v>
      </c>
      <c r="B731">
        <v>76.2</v>
      </c>
      <c r="C731">
        <v>90.6</v>
      </c>
      <c r="D731">
        <v>74.631600000000006</v>
      </c>
      <c r="F731">
        <v>26175</v>
      </c>
      <c r="G731">
        <v>27981</v>
      </c>
      <c r="H731">
        <v>4.2218446033048167</v>
      </c>
      <c r="I731">
        <v>32691</v>
      </c>
      <c r="J731">
        <v>882.9</v>
      </c>
      <c r="K731">
        <v>472</v>
      </c>
      <c r="L731">
        <v>531.77807203477198</v>
      </c>
      <c r="M731">
        <v>2657.2</v>
      </c>
      <c r="U731">
        <v>29.344285714285714</v>
      </c>
    </row>
    <row r="732" spans="1:21" x14ac:dyDescent="0.2">
      <c r="A732" s="1">
        <v>44012</v>
      </c>
      <c r="B732">
        <v>83.6</v>
      </c>
      <c r="C732">
        <v>100.2</v>
      </c>
      <c r="D732">
        <v>81.217799999999997</v>
      </c>
      <c r="F732">
        <v>25774</v>
      </c>
      <c r="G732">
        <v>33592</v>
      </c>
      <c r="H732">
        <v>4.2198435570193498</v>
      </c>
      <c r="I732">
        <v>32571</v>
      </c>
      <c r="J732">
        <v>848.4</v>
      </c>
      <c r="K732">
        <v>328</v>
      </c>
      <c r="L732">
        <v>531.58306125758202</v>
      </c>
      <c r="M732">
        <v>2592</v>
      </c>
      <c r="U732">
        <v>40.266818181818188</v>
      </c>
    </row>
    <row r="733" spans="1:21" x14ac:dyDescent="0.2">
      <c r="A733" s="1">
        <v>44043</v>
      </c>
      <c r="B733">
        <v>89.1</v>
      </c>
      <c r="C733">
        <v>104.9</v>
      </c>
      <c r="D733">
        <v>86.477800000000002</v>
      </c>
      <c r="F733">
        <v>25250</v>
      </c>
      <c r="G733">
        <v>35930</v>
      </c>
      <c r="H733">
        <v>4.4436617651375068</v>
      </c>
      <c r="I733">
        <v>32557</v>
      </c>
      <c r="J733">
        <v>853.5</v>
      </c>
      <c r="K733">
        <v>371</v>
      </c>
      <c r="L733">
        <v>541.26685423414801</v>
      </c>
      <c r="M733">
        <v>2652.4</v>
      </c>
      <c r="U733">
        <v>43.24217391304348</v>
      </c>
    </row>
    <row r="734" spans="1:21" x14ac:dyDescent="0.2">
      <c r="A734" s="1">
        <v>44074</v>
      </c>
      <c r="B734">
        <v>91.8</v>
      </c>
      <c r="C734">
        <v>107.2</v>
      </c>
      <c r="D734">
        <v>89.266000000000005</v>
      </c>
      <c r="F734">
        <v>26336</v>
      </c>
      <c r="G734">
        <v>35815</v>
      </c>
      <c r="H734">
        <v>4.6590141796083726</v>
      </c>
      <c r="I734">
        <v>32476</v>
      </c>
      <c r="J734">
        <v>882.8</v>
      </c>
      <c r="K734">
        <v>429</v>
      </c>
      <c r="L734">
        <v>552.34574771564701</v>
      </c>
      <c r="M734">
        <v>2698.6</v>
      </c>
      <c r="U734">
        <v>44.759047619047621</v>
      </c>
    </row>
    <row r="735" spans="1:21" x14ac:dyDescent="0.2">
      <c r="A735" s="1">
        <v>44104</v>
      </c>
      <c r="B735">
        <v>93</v>
      </c>
      <c r="C735">
        <v>107.5</v>
      </c>
      <c r="D735">
        <v>90.511399999999995</v>
      </c>
      <c r="F735">
        <v>25624</v>
      </c>
      <c r="G735">
        <v>39880</v>
      </c>
      <c r="H735">
        <v>4.986491248678492</v>
      </c>
      <c r="I735">
        <v>32354</v>
      </c>
      <c r="J735">
        <v>915.9</v>
      </c>
      <c r="K735">
        <v>488</v>
      </c>
      <c r="L735">
        <v>558.47145330262401</v>
      </c>
      <c r="M735">
        <v>2681.1</v>
      </c>
      <c r="U735">
        <v>40.909545454545452</v>
      </c>
    </row>
    <row r="736" spans="1:21" x14ac:dyDescent="0.2">
      <c r="A736" s="1">
        <v>44135</v>
      </c>
      <c r="B736">
        <v>93.6</v>
      </c>
      <c r="C736">
        <v>107.3</v>
      </c>
      <c r="D736">
        <v>91.181600000000003</v>
      </c>
      <c r="F736">
        <v>27349</v>
      </c>
      <c r="G736">
        <v>41981</v>
      </c>
      <c r="H736">
        <v>5.1648287189113091</v>
      </c>
      <c r="I736">
        <v>32335</v>
      </c>
      <c r="J736">
        <v>947.9</v>
      </c>
      <c r="K736">
        <v>531</v>
      </c>
      <c r="L736">
        <v>563.421699283154</v>
      </c>
      <c r="M736">
        <v>2597.8000000000002</v>
      </c>
      <c r="U736">
        <v>40.18954545454546</v>
      </c>
    </row>
    <row r="737" spans="1:21" x14ac:dyDescent="0.2">
      <c r="A737" s="1">
        <v>44165</v>
      </c>
      <c r="B737">
        <v>91.7</v>
      </c>
      <c r="C737">
        <v>107.6</v>
      </c>
      <c r="D737">
        <v>88.7423</v>
      </c>
      <c r="F737">
        <v>28109</v>
      </c>
      <c r="G737">
        <v>44059</v>
      </c>
      <c r="H737">
        <v>5.2392533770914529</v>
      </c>
      <c r="I737">
        <v>32339</v>
      </c>
      <c r="J737">
        <v>968.3</v>
      </c>
      <c r="K737">
        <v>557</v>
      </c>
      <c r="L737">
        <v>567.85859186199605</v>
      </c>
      <c r="M737">
        <v>2639.5</v>
      </c>
      <c r="U737">
        <v>42.692380952380951</v>
      </c>
    </row>
    <row r="738" spans="1:21" x14ac:dyDescent="0.2">
      <c r="A738" s="1">
        <v>44196</v>
      </c>
      <c r="B738">
        <v>92.9</v>
      </c>
      <c r="C738">
        <v>105.8</v>
      </c>
      <c r="D738">
        <v>90.734300000000005</v>
      </c>
      <c r="F738">
        <v>28360</v>
      </c>
      <c r="G738">
        <v>46420</v>
      </c>
      <c r="H738">
        <v>5.3361949842707199</v>
      </c>
      <c r="I738">
        <v>32198</v>
      </c>
      <c r="J738">
        <v>968.1</v>
      </c>
      <c r="K738">
        <v>600</v>
      </c>
      <c r="L738">
        <v>569.89280864004104</v>
      </c>
      <c r="M738">
        <v>2622</v>
      </c>
      <c r="U738">
        <v>50.032173913043479</v>
      </c>
    </row>
    <row r="739" spans="1:21" x14ac:dyDescent="0.2">
      <c r="A739" s="1">
        <v>44227</v>
      </c>
      <c r="B739">
        <v>90.3</v>
      </c>
      <c r="C739">
        <v>102.4</v>
      </c>
      <c r="D739">
        <v>88.223299999999995</v>
      </c>
      <c r="F739">
        <v>22245</v>
      </c>
      <c r="G739">
        <v>36704</v>
      </c>
      <c r="H739">
        <v>5.2569577381828889</v>
      </c>
      <c r="I739">
        <v>32170</v>
      </c>
      <c r="J739">
        <v>959.8</v>
      </c>
      <c r="K739">
        <v>619</v>
      </c>
      <c r="L739">
        <v>569.97912028436997</v>
      </c>
      <c r="M739">
        <v>2572.6999999999998</v>
      </c>
      <c r="U739">
        <v>54.604761904761894</v>
      </c>
    </row>
    <row r="740" spans="1:21" x14ac:dyDescent="0.2">
      <c r="A740" s="1">
        <v>44255</v>
      </c>
      <c r="B740">
        <v>91.3</v>
      </c>
      <c r="C740">
        <v>101.5</v>
      </c>
      <c r="D740">
        <v>89.411900000000003</v>
      </c>
      <c r="F740">
        <v>25736</v>
      </c>
      <c r="G740">
        <v>39163</v>
      </c>
      <c r="H740">
        <v>5.1770315213232481</v>
      </c>
      <c r="I740">
        <v>32218</v>
      </c>
      <c r="J740">
        <v>956.3</v>
      </c>
      <c r="K740">
        <v>621</v>
      </c>
      <c r="L740">
        <v>567.24962036074396</v>
      </c>
      <c r="M740">
        <v>2650.4</v>
      </c>
      <c r="U740">
        <v>62.276499999999999</v>
      </c>
    </row>
    <row r="741" spans="1:21" x14ac:dyDescent="0.2">
      <c r="A741" s="1">
        <v>44286</v>
      </c>
      <c r="B741">
        <v>93.3</v>
      </c>
      <c r="C741">
        <v>101</v>
      </c>
      <c r="D741">
        <v>91.897199999999998</v>
      </c>
      <c r="F741">
        <v>27908</v>
      </c>
      <c r="G741">
        <v>38888</v>
      </c>
      <c r="H741">
        <v>5.0620230413388727</v>
      </c>
      <c r="I741">
        <v>32221</v>
      </c>
      <c r="J741">
        <v>952.2</v>
      </c>
      <c r="K741">
        <v>628</v>
      </c>
      <c r="L741">
        <v>552.14634287420404</v>
      </c>
      <c r="M741">
        <v>2632.9</v>
      </c>
      <c r="U741">
        <v>65.41</v>
      </c>
    </row>
    <row r="742" spans="1:21" x14ac:dyDescent="0.2">
      <c r="A742" s="1">
        <v>44316</v>
      </c>
      <c r="B742">
        <v>96.8</v>
      </c>
      <c r="C742">
        <v>99.6</v>
      </c>
      <c r="D742">
        <v>96.309600000000003</v>
      </c>
      <c r="F742">
        <v>28725</v>
      </c>
      <c r="G742">
        <v>39209</v>
      </c>
      <c r="H742">
        <v>5.0122285411203116</v>
      </c>
      <c r="I742">
        <v>32236</v>
      </c>
      <c r="J742">
        <v>969.3</v>
      </c>
      <c r="K742">
        <v>663</v>
      </c>
      <c r="L742">
        <v>576.15724392933498</v>
      </c>
      <c r="M742">
        <v>2598.1</v>
      </c>
      <c r="U742">
        <v>64.719545454545454</v>
      </c>
    </row>
    <row r="743" spans="1:21" x14ac:dyDescent="0.2">
      <c r="A743" s="1">
        <v>44347</v>
      </c>
      <c r="B743">
        <v>98.3</v>
      </c>
      <c r="C743">
        <v>99.5</v>
      </c>
      <c r="D743">
        <v>98.261600000000001</v>
      </c>
      <c r="F743">
        <v>29408</v>
      </c>
      <c r="G743">
        <v>38665</v>
      </c>
      <c r="H743">
        <v>4.9807074902064743</v>
      </c>
      <c r="I743">
        <v>32260</v>
      </c>
      <c r="J743">
        <v>987.4</v>
      </c>
      <c r="K743">
        <v>765</v>
      </c>
      <c r="L743">
        <v>581.20956342899501</v>
      </c>
      <c r="M743">
        <v>2451.6</v>
      </c>
      <c r="U743">
        <v>68.535238095238086</v>
      </c>
    </row>
    <row r="744" spans="1:21" x14ac:dyDescent="0.2">
      <c r="A744" s="1">
        <v>44377</v>
      </c>
      <c r="B744">
        <v>99.4</v>
      </c>
      <c r="C744">
        <v>97.9</v>
      </c>
      <c r="D744">
        <v>100.00839999999999</v>
      </c>
      <c r="F744">
        <v>27279</v>
      </c>
      <c r="G744">
        <v>40185</v>
      </c>
      <c r="H744">
        <v>4.8407006818716196</v>
      </c>
      <c r="I744">
        <v>32377</v>
      </c>
      <c r="J744">
        <v>1003.2</v>
      </c>
      <c r="K744">
        <v>867</v>
      </c>
      <c r="L744">
        <v>577.42463943877704</v>
      </c>
      <c r="M744">
        <v>2279.8000000000002</v>
      </c>
      <c r="U744">
        <v>73.150454545454537</v>
      </c>
    </row>
    <row r="745" spans="1:21" x14ac:dyDescent="0.2">
      <c r="A745" s="1">
        <v>44408</v>
      </c>
      <c r="B745">
        <v>98.9</v>
      </c>
      <c r="C745">
        <v>96.9</v>
      </c>
      <c r="D745">
        <v>99.587299999999999</v>
      </c>
      <c r="F745">
        <v>27334</v>
      </c>
      <c r="G745">
        <v>41134</v>
      </c>
      <c r="H745">
        <v>4.7047781069427739</v>
      </c>
      <c r="I745">
        <v>32489</v>
      </c>
      <c r="J745">
        <v>1017.2</v>
      </c>
      <c r="K745">
        <v>971</v>
      </c>
      <c r="L745">
        <v>580.83186207086601</v>
      </c>
      <c r="M745">
        <v>2232.8000000000002</v>
      </c>
      <c r="U745">
        <v>75.165909090909082</v>
      </c>
    </row>
    <row r="746" spans="1:21" x14ac:dyDescent="0.2">
      <c r="A746" s="1">
        <v>44439</v>
      </c>
      <c r="B746">
        <v>99.8</v>
      </c>
      <c r="C746">
        <v>97</v>
      </c>
      <c r="D746">
        <v>100.738</v>
      </c>
      <c r="F746">
        <v>25664</v>
      </c>
      <c r="G746">
        <v>39855</v>
      </c>
      <c r="H746">
        <v>4.5670260135926881</v>
      </c>
      <c r="I746">
        <v>32577</v>
      </c>
      <c r="J746">
        <v>1024</v>
      </c>
      <c r="K746">
        <v>1052</v>
      </c>
      <c r="L746">
        <v>583.87735769370897</v>
      </c>
      <c r="M746">
        <v>2146.8000000000002</v>
      </c>
      <c r="U746">
        <v>70.815909090909088</v>
      </c>
    </row>
    <row r="747" spans="1:21" x14ac:dyDescent="0.2">
      <c r="A747" s="1">
        <v>44469</v>
      </c>
      <c r="B747">
        <v>100.4</v>
      </c>
      <c r="C747">
        <v>95.9</v>
      </c>
      <c r="D747">
        <v>101.61239999999999</v>
      </c>
      <c r="F747">
        <v>25525</v>
      </c>
      <c r="G747">
        <v>41227</v>
      </c>
      <c r="H747">
        <v>4.3904293904293903</v>
      </c>
      <c r="I747">
        <v>32687</v>
      </c>
      <c r="J747">
        <v>1029.4000000000001</v>
      </c>
      <c r="K747">
        <v>1122</v>
      </c>
      <c r="L747">
        <v>585.63090396344501</v>
      </c>
      <c r="M747">
        <v>2053.4</v>
      </c>
      <c r="U747">
        <v>74.489318181818177</v>
      </c>
    </row>
    <row r="748" spans="1:21" x14ac:dyDescent="0.2">
      <c r="A748" s="1">
        <v>44500</v>
      </c>
      <c r="B748">
        <v>100.7</v>
      </c>
      <c r="C748">
        <v>95.1</v>
      </c>
      <c r="D748">
        <v>102.18770000000001</v>
      </c>
      <c r="F748">
        <v>29043</v>
      </c>
      <c r="G748">
        <v>39059</v>
      </c>
      <c r="H748">
        <v>4.3121871249158348</v>
      </c>
      <c r="I748">
        <v>32686</v>
      </c>
      <c r="J748">
        <v>1027.5</v>
      </c>
      <c r="K748">
        <v>1194</v>
      </c>
      <c r="L748">
        <v>588.07709095991697</v>
      </c>
      <c r="M748">
        <v>1985.9</v>
      </c>
      <c r="U748">
        <v>83.538095238095224</v>
      </c>
    </row>
    <row r="749" spans="1:21" x14ac:dyDescent="0.2">
      <c r="A749" s="1">
        <v>44530</v>
      </c>
      <c r="B749">
        <v>101.4</v>
      </c>
      <c r="C749">
        <v>96.6</v>
      </c>
      <c r="D749">
        <v>102.7411</v>
      </c>
      <c r="F749">
        <v>28691</v>
      </c>
      <c r="G749">
        <v>40383</v>
      </c>
      <c r="H749">
        <v>4.201606755409605</v>
      </c>
      <c r="I749">
        <v>32673</v>
      </c>
      <c r="J749">
        <v>1024.3</v>
      </c>
      <c r="K749">
        <v>1218</v>
      </c>
      <c r="L749">
        <v>587.43259063769904</v>
      </c>
      <c r="M749">
        <v>1909.5</v>
      </c>
      <c r="U749">
        <v>81.049772727272725</v>
      </c>
    </row>
    <row r="750" spans="1:21" x14ac:dyDescent="0.2">
      <c r="A750" s="1">
        <v>44561</v>
      </c>
      <c r="B750">
        <v>100.9</v>
      </c>
      <c r="C750">
        <v>96.8</v>
      </c>
      <c r="D750">
        <v>101.9764</v>
      </c>
      <c r="F750">
        <v>29024</v>
      </c>
      <c r="G750">
        <v>41063</v>
      </c>
      <c r="H750">
        <v>4.1775380375831839</v>
      </c>
      <c r="I750">
        <v>32686</v>
      </c>
      <c r="J750">
        <v>1029.8</v>
      </c>
      <c r="K750">
        <v>1241</v>
      </c>
      <c r="L750">
        <v>603.291236987974</v>
      </c>
      <c r="M750">
        <v>1840.3</v>
      </c>
      <c r="U750">
        <v>74.263478260869562</v>
      </c>
    </row>
    <row r="751" spans="1:21" x14ac:dyDescent="0.2">
      <c r="A751" s="1">
        <v>44592</v>
      </c>
      <c r="B751">
        <v>101.4</v>
      </c>
      <c r="C751">
        <v>96.4</v>
      </c>
      <c r="D751">
        <v>102.5231</v>
      </c>
      <c r="F751">
        <v>24679</v>
      </c>
      <c r="G751">
        <v>45674</v>
      </c>
      <c r="H751">
        <v>4.1079398637538169</v>
      </c>
      <c r="I751">
        <v>32657</v>
      </c>
      <c r="J751">
        <v>1032.4000000000001</v>
      </c>
      <c r="K751">
        <v>1257</v>
      </c>
      <c r="L751">
        <v>599.29295152434804</v>
      </c>
      <c r="M751">
        <v>1791</v>
      </c>
      <c r="U751">
        <v>86.505238095238084</v>
      </c>
    </row>
    <row r="752" spans="1:21" x14ac:dyDescent="0.2">
      <c r="A752" s="1">
        <v>44620</v>
      </c>
      <c r="B752">
        <v>101.9</v>
      </c>
      <c r="C752">
        <v>96.1</v>
      </c>
      <c r="D752">
        <v>103.2353</v>
      </c>
      <c r="F752">
        <v>27317</v>
      </c>
      <c r="G752">
        <v>44639</v>
      </c>
      <c r="H752">
        <v>3.9674615294255844</v>
      </c>
      <c r="I752">
        <v>32701</v>
      </c>
      <c r="J752">
        <v>1039.4000000000001</v>
      </c>
      <c r="K752">
        <v>1273</v>
      </c>
      <c r="L752">
        <v>599.75623103739599</v>
      </c>
      <c r="M752">
        <v>1749.3</v>
      </c>
      <c r="U752">
        <v>97.129000000000005</v>
      </c>
    </row>
    <row r="753" spans="1:21" x14ac:dyDescent="0.2">
      <c r="A753" s="1">
        <v>44651</v>
      </c>
      <c r="B753">
        <v>102.1</v>
      </c>
      <c r="C753">
        <v>95.8</v>
      </c>
      <c r="D753">
        <v>103.3368</v>
      </c>
      <c r="F753">
        <v>26747</v>
      </c>
      <c r="G753">
        <v>45076</v>
      </c>
      <c r="H753">
        <v>3.8517953532034732</v>
      </c>
      <c r="I753">
        <v>32775</v>
      </c>
      <c r="J753">
        <v>1043.5</v>
      </c>
      <c r="K753">
        <v>1286</v>
      </c>
      <c r="L753">
        <v>607.90373259045202</v>
      </c>
      <c r="M753">
        <v>1672.8</v>
      </c>
      <c r="U753">
        <v>117.24521739130434</v>
      </c>
    </row>
    <row r="754" spans="1:21" x14ac:dyDescent="0.2">
      <c r="A754" s="1">
        <v>44681</v>
      </c>
      <c r="B754">
        <v>101.8</v>
      </c>
      <c r="C754">
        <v>95.7</v>
      </c>
      <c r="D754">
        <v>103.0022</v>
      </c>
      <c r="F754">
        <v>27617</v>
      </c>
      <c r="G754">
        <v>43723</v>
      </c>
      <c r="H754">
        <v>3.9605986203671226</v>
      </c>
      <c r="I754">
        <v>32857</v>
      </c>
      <c r="J754">
        <v>1044.5999999999999</v>
      </c>
      <c r="K754">
        <v>1296</v>
      </c>
      <c r="L754">
        <v>604.07999028103995</v>
      </c>
      <c r="M754">
        <v>1599.3</v>
      </c>
      <c r="U754">
        <v>105.17095238095239</v>
      </c>
    </row>
    <row r="755" spans="1:21" x14ac:dyDescent="0.2">
      <c r="A755" s="1">
        <v>44712</v>
      </c>
      <c r="B755">
        <v>102.5</v>
      </c>
      <c r="C755">
        <v>95.9</v>
      </c>
      <c r="D755">
        <v>103.6486</v>
      </c>
      <c r="F755">
        <v>29105</v>
      </c>
      <c r="G755">
        <v>45604</v>
      </c>
      <c r="H755">
        <v>3.9053633268340948</v>
      </c>
      <c r="I755">
        <v>33021</v>
      </c>
      <c r="J755">
        <v>1046.3</v>
      </c>
      <c r="K755">
        <v>1304</v>
      </c>
      <c r="L755">
        <v>606.12660392207295</v>
      </c>
      <c r="M755">
        <v>1573.2</v>
      </c>
      <c r="U755">
        <v>113.11136363636366</v>
      </c>
    </row>
    <row r="756" spans="1:21" x14ac:dyDescent="0.2">
      <c r="A756" s="1">
        <v>44742</v>
      </c>
      <c r="B756">
        <v>101.4</v>
      </c>
      <c r="C756">
        <v>95</v>
      </c>
      <c r="D756">
        <v>102.7171</v>
      </c>
      <c r="F756">
        <v>26335</v>
      </c>
      <c r="G756">
        <v>42736</v>
      </c>
      <c r="H756">
        <v>3.9377422833658806</v>
      </c>
      <c r="I756">
        <v>32958</v>
      </c>
      <c r="J756">
        <v>1043.0999999999999</v>
      </c>
      <c r="K756">
        <v>1299</v>
      </c>
      <c r="L756">
        <v>613.43571723422997</v>
      </c>
      <c r="M756">
        <v>1545.1</v>
      </c>
      <c r="U756">
        <v>122.69445454545458</v>
      </c>
    </row>
    <row r="757" spans="1:21" x14ac:dyDescent="0.2">
      <c r="A757" s="1">
        <v>44773</v>
      </c>
      <c r="B757">
        <v>101.9</v>
      </c>
      <c r="C757">
        <v>94.5</v>
      </c>
      <c r="D757">
        <v>103.2058</v>
      </c>
      <c r="F757">
        <v>29709</v>
      </c>
      <c r="G757">
        <v>42556</v>
      </c>
      <c r="H757">
        <v>3.7483188117653938</v>
      </c>
      <c r="I757">
        <v>32920</v>
      </c>
      <c r="J757">
        <v>1041.3</v>
      </c>
      <c r="K757">
        <v>1280</v>
      </c>
      <c r="L757">
        <v>614.31973348211204</v>
      </c>
      <c r="M757">
        <v>1524.2</v>
      </c>
      <c r="U757">
        <v>111.92571428571429</v>
      </c>
    </row>
    <row r="758" spans="1:21" x14ac:dyDescent="0.2">
      <c r="A758" s="1">
        <v>44804</v>
      </c>
      <c r="B758">
        <v>102</v>
      </c>
      <c r="C758">
        <v>94</v>
      </c>
      <c r="D758">
        <v>103.4152</v>
      </c>
      <c r="F758">
        <v>34183</v>
      </c>
      <c r="G758">
        <v>43184</v>
      </c>
      <c r="H758">
        <v>3.645940014630578</v>
      </c>
      <c r="I758">
        <v>32929</v>
      </c>
      <c r="J758">
        <v>1046.0999999999999</v>
      </c>
      <c r="K758">
        <v>1259</v>
      </c>
      <c r="L758">
        <v>619.37552987088702</v>
      </c>
      <c r="M758">
        <v>1525</v>
      </c>
      <c r="U758">
        <v>100.47608695652175</v>
      </c>
    </row>
    <row r="759" spans="1:21" x14ac:dyDescent="0.2">
      <c r="A759" s="1">
        <v>44834</v>
      </c>
      <c r="B759">
        <v>101.5</v>
      </c>
      <c r="C759">
        <v>93.8</v>
      </c>
      <c r="D759">
        <v>102.8416</v>
      </c>
      <c r="F759">
        <v>34019</v>
      </c>
      <c r="G759">
        <v>40114</v>
      </c>
      <c r="H759">
        <v>3.7515716833825552</v>
      </c>
      <c r="I759">
        <v>32916</v>
      </c>
      <c r="J759">
        <v>1043.7</v>
      </c>
      <c r="K759">
        <v>1233</v>
      </c>
      <c r="L759">
        <v>620.86543696433705</v>
      </c>
      <c r="M759">
        <v>1529.7</v>
      </c>
      <c r="U759">
        <v>89.749545454545455</v>
      </c>
    </row>
    <row r="760" spans="1:21" x14ac:dyDescent="0.2">
      <c r="A760" s="1">
        <v>44865</v>
      </c>
      <c r="B760">
        <v>102.3</v>
      </c>
      <c r="C760">
        <v>94.2</v>
      </c>
      <c r="D760">
        <v>103.723</v>
      </c>
      <c r="F760">
        <v>33624</v>
      </c>
      <c r="G760">
        <v>39923</v>
      </c>
      <c r="H760">
        <v>3.8572637353018413</v>
      </c>
      <c r="I760">
        <v>32951</v>
      </c>
      <c r="J760">
        <v>1042.0999999999999</v>
      </c>
      <c r="K760">
        <v>1216</v>
      </c>
      <c r="L760">
        <v>626.68672915609102</v>
      </c>
      <c r="M760">
        <v>1517.9</v>
      </c>
      <c r="U760">
        <v>93.395714285714291</v>
      </c>
    </row>
    <row r="761" spans="1:21" x14ac:dyDescent="0.2">
      <c r="A761" s="1">
        <v>44895</v>
      </c>
      <c r="B761">
        <v>102.3</v>
      </c>
      <c r="C761">
        <v>94</v>
      </c>
      <c r="D761">
        <v>103.7449</v>
      </c>
      <c r="F761">
        <v>33445</v>
      </c>
      <c r="G761">
        <v>42508</v>
      </c>
      <c r="H761">
        <v>3.8040949278734293</v>
      </c>
      <c r="I761">
        <v>33076</v>
      </c>
      <c r="J761">
        <v>1044</v>
      </c>
      <c r="K761">
        <v>1175</v>
      </c>
      <c r="L761">
        <v>630.70679935407304</v>
      </c>
      <c r="M761">
        <v>1528.9</v>
      </c>
      <c r="U761">
        <v>91.415454545454551</v>
      </c>
    </row>
    <row r="762" spans="1:21" x14ac:dyDescent="0.2">
      <c r="A762" s="1">
        <v>44926</v>
      </c>
      <c r="B762">
        <v>102</v>
      </c>
      <c r="C762">
        <v>94.1</v>
      </c>
      <c r="D762">
        <v>103.1301</v>
      </c>
      <c r="F762">
        <v>31396</v>
      </c>
      <c r="G762">
        <v>43734</v>
      </c>
      <c r="H762">
        <v>3.875</v>
      </c>
      <c r="I762">
        <v>33067</v>
      </c>
      <c r="J762">
        <v>1046.5999999999999</v>
      </c>
      <c r="K762">
        <v>1153</v>
      </c>
      <c r="L762">
        <v>633.39469101877296</v>
      </c>
      <c r="M762">
        <v>1536.4</v>
      </c>
      <c r="U762">
        <v>81.062727272727287</v>
      </c>
    </row>
    <row r="763" spans="1:21" x14ac:dyDescent="0.2">
      <c r="A763" s="1">
        <v>44957</v>
      </c>
      <c r="B763">
        <v>102.3</v>
      </c>
      <c r="C763">
        <v>94</v>
      </c>
      <c r="D763">
        <v>103.8888</v>
      </c>
      <c r="F763">
        <v>28556</v>
      </c>
      <c r="G763">
        <v>40141</v>
      </c>
      <c r="H763">
        <v>3.8183244704036263</v>
      </c>
      <c r="I763">
        <v>33099</v>
      </c>
      <c r="J763">
        <v>1051.4000000000001</v>
      </c>
      <c r="K763">
        <v>1132</v>
      </c>
      <c r="L763">
        <v>636.61783450975702</v>
      </c>
      <c r="M763">
        <v>1516.6</v>
      </c>
      <c r="U763">
        <v>82.502727272727256</v>
      </c>
    </row>
    <row r="764" spans="1:21" x14ac:dyDescent="0.2">
      <c r="A764" s="1">
        <v>44985</v>
      </c>
      <c r="B764">
        <v>102.6</v>
      </c>
      <c r="C764">
        <v>94.1</v>
      </c>
      <c r="D764">
        <v>103.9971</v>
      </c>
      <c r="F764">
        <v>27953</v>
      </c>
      <c r="G764">
        <v>39828</v>
      </c>
      <c r="H764">
        <v>3.8989629801286134</v>
      </c>
      <c r="I764">
        <v>33176</v>
      </c>
      <c r="J764">
        <v>1055.5</v>
      </c>
      <c r="K764">
        <v>1128</v>
      </c>
      <c r="L764">
        <v>641.37483637249397</v>
      </c>
      <c r="M764">
        <v>1501.3</v>
      </c>
      <c r="U764">
        <v>82.665999999999997</v>
      </c>
    </row>
    <row r="765" spans="1:21" x14ac:dyDescent="0.2">
      <c r="A765" s="1">
        <v>45016</v>
      </c>
      <c r="B765">
        <v>102.2</v>
      </c>
      <c r="C765">
        <v>94.7</v>
      </c>
      <c r="D765">
        <v>103.4819</v>
      </c>
      <c r="F765">
        <v>27702</v>
      </c>
      <c r="G765">
        <v>40261</v>
      </c>
      <c r="H765">
        <v>3.9989590562109645</v>
      </c>
      <c r="I765">
        <v>33201</v>
      </c>
      <c r="J765">
        <v>1055.3</v>
      </c>
      <c r="K765">
        <v>1120</v>
      </c>
      <c r="L765">
        <v>643.24855702406205</v>
      </c>
      <c r="M765">
        <v>1513.4</v>
      </c>
      <c r="U765">
        <v>78.434347826086949</v>
      </c>
    </row>
    <row r="766" spans="1:21" x14ac:dyDescent="0.2">
      <c r="A766" s="1">
        <v>45046</v>
      </c>
      <c r="B766">
        <v>102.4</v>
      </c>
      <c r="C766">
        <v>94.8</v>
      </c>
      <c r="D766">
        <v>103.6422</v>
      </c>
      <c r="F766">
        <v>28212</v>
      </c>
      <c r="G766">
        <v>38900</v>
      </c>
      <c r="H766">
        <v>3.9014965829464519</v>
      </c>
      <c r="I766">
        <v>33326</v>
      </c>
      <c r="J766">
        <v>1063</v>
      </c>
      <c r="K766">
        <v>1086</v>
      </c>
      <c r="L766">
        <v>651.50198279946596</v>
      </c>
      <c r="M766">
        <v>1549.5</v>
      </c>
      <c r="U766">
        <v>84.830499999999958</v>
      </c>
    </row>
    <row r="767" spans="1:21" x14ac:dyDescent="0.2">
      <c r="A767" s="1">
        <v>45077</v>
      </c>
      <c r="B767">
        <v>102</v>
      </c>
      <c r="C767">
        <v>93.9</v>
      </c>
      <c r="D767">
        <v>103.4877</v>
      </c>
      <c r="F767">
        <v>27374</v>
      </c>
      <c r="G767">
        <v>42056</v>
      </c>
      <c r="H767">
        <v>4.0194779000749152</v>
      </c>
      <c r="I767">
        <v>33311</v>
      </c>
      <c r="J767">
        <v>1057.5999999999999</v>
      </c>
      <c r="K767">
        <v>1060</v>
      </c>
      <c r="L767">
        <v>655.12688544488697</v>
      </c>
      <c r="M767">
        <v>1522.2</v>
      </c>
      <c r="U767">
        <v>75.861304347826078</v>
      </c>
    </row>
    <row r="768" spans="1:21" x14ac:dyDescent="0.2">
      <c r="A768" s="1">
        <v>45107</v>
      </c>
      <c r="B768">
        <v>102.8</v>
      </c>
      <c r="C768">
        <v>96.4</v>
      </c>
      <c r="D768">
        <v>103.8202</v>
      </c>
      <c r="F768">
        <v>28123</v>
      </c>
      <c r="G768">
        <v>40722</v>
      </c>
      <c r="H768">
        <v>4.2168500707622103</v>
      </c>
      <c r="I768">
        <v>33163</v>
      </c>
      <c r="J768">
        <v>1049</v>
      </c>
      <c r="K768">
        <v>1037</v>
      </c>
      <c r="L768">
        <v>670.41064364403201</v>
      </c>
      <c r="M768">
        <v>1534.6</v>
      </c>
      <c r="U768">
        <v>75.140227272727287</v>
      </c>
    </row>
    <row r="769" spans="1:21" x14ac:dyDescent="0.2">
      <c r="A769" s="1">
        <v>45138</v>
      </c>
      <c r="B769">
        <v>102.3</v>
      </c>
      <c r="C769">
        <v>95.4</v>
      </c>
      <c r="D769">
        <v>103.3652</v>
      </c>
      <c r="F769">
        <v>28468</v>
      </c>
      <c r="G769">
        <v>40405</v>
      </c>
      <c r="H769">
        <v>4.3264503441494595</v>
      </c>
      <c r="I769">
        <v>33082</v>
      </c>
      <c r="J769">
        <v>1043.9000000000001</v>
      </c>
      <c r="K769">
        <v>1024</v>
      </c>
      <c r="L769">
        <v>664.88153908152799</v>
      </c>
      <c r="M769">
        <v>1545.9</v>
      </c>
      <c r="U769">
        <v>80.108095238095231</v>
      </c>
    </row>
    <row r="770" spans="1:21" x14ac:dyDescent="0.2">
      <c r="A770" s="1">
        <v>45169</v>
      </c>
      <c r="B770">
        <v>102.3</v>
      </c>
      <c r="C770">
        <v>95</v>
      </c>
      <c r="D770">
        <v>103.4984</v>
      </c>
      <c r="F770">
        <v>26592</v>
      </c>
      <c r="G770">
        <v>39888</v>
      </c>
      <c r="H770">
        <v>4.2111368909512761</v>
      </c>
      <c r="I770">
        <v>33028</v>
      </c>
      <c r="J770">
        <v>1038.7</v>
      </c>
      <c r="K770">
        <v>997</v>
      </c>
      <c r="L770">
        <v>664.06038987286502</v>
      </c>
      <c r="M770">
        <v>1536.8</v>
      </c>
      <c r="U770">
        <v>86.164782608695674</v>
      </c>
    </row>
    <row r="771" spans="1:21" x14ac:dyDescent="0.2">
      <c r="A771" s="1">
        <v>45199</v>
      </c>
      <c r="B771">
        <v>102.3</v>
      </c>
      <c r="C771">
        <v>94.8</v>
      </c>
      <c r="D771">
        <v>103.4862</v>
      </c>
      <c r="F771">
        <v>25848</v>
      </c>
      <c r="G771">
        <v>37176</v>
      </c>
      <c r="H771">
        <v>4.0771972528905502</v>
      </c>
      <c r="I771">
        <v>33102</v>
      </c>
      <c r="J771">
        <v>1040</v>
      </c>
      <c r="K771">
        <v>982</v>
      </c>
      <c r="L771">
        <v>673.40625935036496</v>
      </c>
      <c r="M771">
        <v>1543.7</v>
      </c>
      <c r="U771">
        <v>93.722380952380945</v>
      </c>
    </row>
    <row r="772" spans="1:21" x14ac:dyDescent="0.2">
      <c r="A772" s="1">
        <v>45230</v>
      </c>
      <c r="B772">
        <v>101.9</v>
      </c>
      <c r="C772">
        <v>93.5</v>
      </c>
      <c r="D772">
        <v>103.18729999999999</v>
      </c>
      <c r="F772">
        <v>27049</v>
      </c>
      <c r="G772">
        <v>40370</v>
      </c>
      <c r="H772">
        <v>3.9550964904666839</v>
      </c>
      <c r="I772">
        <v>33196</v>
      </c>
      <c r="J772">
        <v>1042.9000000000001</v>
      </c>
      <c r="K772">
        <v>959</v>
      </c>
      <c r="L772">
        <v>664.28308041444905</v>
      </c>
      <c r="M772">
        <v>1552.7</v>
      </c>
      <c r="U772">
        <v>90.595909090909103</v>
      </c>
    </row>
    <row r="773" spans="1:21" x14ac:dyDescent="0.2">
      <c r="A773" s="1">
        <v>45260</v>
      </c>
      <c r="B773">
        <v>102.1</v>
      </c>
      <c r="C773">
        <v>94</v>
      </c>
      <c r="D773">
        <v>103.4282</v>
      </c>
      <c r="F773">
        <v>27566</v>
      </c>
      <c r="G773">
        <v>38819</v>
      </c>
      <c r="H773">
        <v>3.928561073903337</v>
      </c>
      <c r="I773">
        <v>33136</v>
      </c>
      <c r="J773">
        <v>1045.5</v>
      </c>
      <c r="K773">
        <v>951</v>
      </c>
      <c r="L773">
        <v>666.27953171077502</v>
      </c>
      <c r="M773">
        <v>1558</v>
      </c>
      <c r="U773">
        <v>82.94</v>
      </c>
    </row>
    <row r="774" spans="1:21" x14ac:dyDescent="0.2">
      <c r="A774" s="1">
        <v>45291</v>
      </c>
      <c r="B774">
        <v>102</v>
      </c>
      <c r="C774">
        <v>94.6</v>
      </c>
      <c r="D774">
        <v>103.2957</v>
      </c>
      <c r="F774">
        <v>27238</v>
      </c>
      <c r="G774">
        <v>37371</v>
      </c>
      <c r="H774">
        <v>3.8267524786919465</v>
      </c>
      <c r="I774">
        <v>33174</v>
      </c>
      <c r="J774">
        <v>1046.5999999999999</v>
      </c>
      <c r="K774">
        <v>929</v>
      </c>
      <c r="L774">
        <v>669.86643829772299</v>
      </c>
      <c r="M774">
        <v>1562</v>
      </c>
      <c r="U774">
        <v>77.878571428571419</v>
      </c>
    </row>
    <row r="775" spans="1:21" x14ac:dyDescent="0.2">
      <c r="A775" s="1">
        <v>45322</v>
      </c>
      <c r="B775">
        <v>102.3</v>
      </c>
      <c r="C775">
        <v>94.1</v>
      </c>
      <c r="D775">
        <v>103.70229999999999</v>
      </c>
      <c r="F775">
        <v>26410</v>
      </c>
      <c r="G775">
        <v>37933</v>
      </c>
      <c r="H775">
        <v>3.9820185614849186</v>
      </c>
      <c r="I775">
        <v>33107</v>
      </c>
      <c r="J775">
        <v>1055.2</v>
      </c>
      <c r="K775">
        <v>924</v>
      </c>
      <c r="L775">
        <v>671.89678464345297</v>
      </c>
      <c r="M775">
        <v>1566</v>
      </c>
      <c r="U775">
        <v>80.018260869565225</v>
      </c>
    </row>
    <row r="776" spans="1:21" x14ac:dyDescent="0.2">
      <c r="A776" s="1">
        <v>45351</v>
      </c>
      <c r="B776">
        <v>102.6</v>
      </c>
      <c r="C776">
        <v>95</v>
      </c>
      <c r="D776">
        <v>103.9723</v>
      </c>
      <c r="F776">
        <v>26664</v>
      </c>
      <c r="G776">
        <v>38132</v>
      </c>
      <c r="H776">
        <v>4.1836141778036025</v>
      </c>
      <c r="I776">
        <v>32980</v>
      </c>
      <c r="J776">
        <v>1058.7</v>
      </c>
      <c r="K776">
        <v>916</v>
      </c>
      <c r="L776">
        <v>678.52767389584301</v>
      </c>
      <c r="M776">
        <v>1572.3</v>
      </c>
      <c r="U776">
        <v>83.532619047619036</v>
      </c>
    </row>
    <row r="777" spans="1:21" x14ac:dyDescent="0.2">
      <c r="A777" s="1">
        <v>45382</v>
      </c>
      <c r="B777">
        <v>103</v>
      </c>
      <c r="C777">
        <v>95.2</v>
      </c>
      <c r="D777">
        <v>104.4875</v>
      </c>
      <c r="F777">
        <v>26033</v>
      </c>
      <c r="G777">
        <v>37070</v>
      </c>
      <c r="H777">
        <v>4.3093698344111591</v>
      </c>
      <c r="I777">
        <v>32997</v>
      </c>
      <c r="J777">
        <v>1056.3</v>
      </c>
      <c r="K777">
        <v>919</v>
      </c>
      <c r="L777">
        <v>684.30721970835702</v>
      </c>
      <c r="M777">
        <v>1569.9</v>
      </c>
      <c r="U777">
        <v>85.444761904761918</v>
      </c>
    </row>
    <row r="778" spans="1:21" x14ac:dyDescent="0.2">
      <c r="A778" s="1">
        <v>45412</v>
      </c>
      <c r="B778">
        <v>103</v>
      </c>
      <c r="C778">
        <v>94.4</v>
      </c>
      <c r="D778">
        <v>104.7377</v>
      </c>
      <c r="F778">
        <v>24647</v>
      </c>
      <c r="G778">
        <v>40835</v>
      </c>
      <c r="H778">
        <v>4.3797314151463294</v>
      </c>
      <c r="I778">
        <v>32967</v>
      </c>
      <c r="J778">
        <v>1053.5</v>
      </c>
      <c r="K778">
        <v>908</v>
      </c>
      <c r="L778">
        <v>687.24485500204901</v>
      </c>
      <c r="M778">
        <v>1578.3</v>
      </c>
      <c r="U778">
        <v>89.766818181818181</v>
      </c>
    </row>
    <row r="779" spans="1:21" x14ac:dyDescent="0.2">
      <c r="A779">
        <v>45443</v>
      </c>
      <c r="K779">
        <v>904</v>
      </c>
      <c r="M779">
        <v>1628.6</v>
      </c>
      <c r="U779">
        <v>81.738260869565238</v>
      </c>
    </row>
    <row r="780" spans="1:21" x14ac:dyDescent="0.2">
      <c r="A780">
        <v>45473</v>
      </c>
    </row>
    <row r="781" spans="1:21" x14ac:dyDescent="0.2">
      <c r="A781">
        <v>45504</v>
      </c>
    </row>
    <row r="782" spans="1:21" x14ac:dyDescent="0.2">
      <c r="A782">
        <v>45535</v>
      </c>
    </row>
    <row r="783" spans="1:21" x14ac:dyDescent="0.2">
      <c r="A783">
        <v>45565</v>
      </c>
    </row>
    <row r="784" spans="1:21" x14ac:dyDescent="0.2">
      <c r="A784">
        <v>45596</v>
      </c>
    </row>
    <row r="785" spans="1:1" x14ac:dyDescent="0.2">
      <c r="A785">
        <v>45626</v>
      </c>
    </row>
    <row r="786" spans="1:1" x14ac:dyDescent="0.2">
      <c r="A786">
        <v>45657</v>
      </c>
    </row>
  </sheetData>
  <mergeCells count="3">
    <mergeCell ref="N1:U1"/>
    <mergeCell ref="C1:G1"/>
    <mergeCell ref="H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68"/>
  <sheetViews>
    <sheetView tabSelected="1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U2" sqref="U1:AK1048576"/>
    </sheetView>
  </sheetViews>
  <sheetFormatPr baseColWidth="10" defaultColWidth="8.83203125" defaultRowHeight="15" x14ac:dyDescent="0.2"/>
  <cols>
    <col min="1" max="1" width="12.5" customWidth="1"/>
  </cols>
  <sheetData>
    <row r="1" spans="1:23" ht="24" customHeight="1" x14ac:dyDescent="0.2">
      <c r="A1">
        <v>1960</v>
      </c>
      <c r="B1" s="18" t="s">
        <v>104</v>
      </c>
      <c r="C1" s="27" t="s">
        <v>105</v>
      </c>
      <c r="D1" s="27"/>
      <c r="E1" s="27"/>
      <c r="F1" s="27"/>
      <c r="G1" s="27" t="s">
        <v>106</v>
      </c>
      <c r="H1" s="27"/>
      <c r="I1" s="27"/>
      <c r="J1" s="27"/>
      <c r="K1" s="27"/>
      <c r="L1" s="27"/>
      <c r="M1" s="27" t="s">
        <v>107</v>
      </c>
      <c r="N1" s="27"/>
      <c r="O1" s="27"/>
      <c r="P1" s="27"/>
      <c r="Q1" s="27"/>
      <c r="R1" s="27"/>
      <c r="S1" s="27"/>
      <c r="T1" s="27"/>
    </row>
    <row r="2" spans="1:23" ht="80" x14ac:dyDescent="0.2">
      <c r="A2">
        <v>2021</v>
      </c>
      <c r="B2" s="3" t="s">
        <v>71</v>
      </c>
      <c r="C2" s="4" t="s">
        <v>15</v>
      </c>
      <c r="D2" s="4" t="s">
        <v>16</v>
      </c>
      <c r="E2" s="4" t="s">
        <v>19</v>
      </c>
      <c r="F2" s="4" t="s">
        <v>20</v>
      </c>
      <c r="G2" s="4" t="s">
        <v>17</v>
      </c>
      <c r="H2" s="4" t="s">
        <v>18</v>
      </c>
      <c r="I2" s="4" t="s">
        <v>61</v>
      </c>
      <c r="J2" s="6" t="s">
        <v>21</v>
      </c>
      <c r="K2" s="15" t="s">
        <v>38</v>
      </c>
      <c r="L2" s="15" t="s">
        <v>39</v>
      </c>
      <c r="M2" s="15" t="s">
        <v>33</v>
      </c>
      <c r="N2" s="15" t="s">
        <v>60</v>
      </c>
      <c r="O2" s="15" t="s">
        <v>34</v>
      </c>
      <c r="P2" s="15" t="s">
        <v>35</v>
      </c>
      <c r="Q2" s="15" t="s">
        <v>32</v>
      </c>
      <c r="R2" s="15" t="s">
        <v>36</v>
      </c>
      <c r="S2" s="15" t="s">
        <v>37</v>
      </c>
      <c r="T2" s="15" t="s">
        <v>41</v>
      </c>
    </row>
    <row r="3" spans="1:23" x14ac:dyDescent="0.2">
      <c r="A3" t="s">
        <v>103</v>
      </c>
      <c r="B3">
        <v>1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25</v>
      </c>
      <c r="T3">
        <v>26</v>
      </c>
    </row>
    <row r="4" spans="1:23" x14ac:dyDescent="0.2">
      <c r="A4" t="s">
        <v>11</v>
      </c>
      <c r="B4" t="s">
        <v>0</v>
      </c>
      <c r="C4" t="s">
        <v>2</v>
      </c>
      <c r="D4" s="7" t="s">
        <v>3</v>
      </c>
      <c r="E4" s="7" t="s">
        <v>158</v>
      </c>
      <c r="F4" s="7" t="s">
        <v>159</v>
      </c>
      <c r="G4" t="s">
        <v>4</v>
      </c>
      <c r="H4" t="s">
        <v>5</v>
      </c>
      <c r="I4" t="s">
        <v>162</v>
      </c>
      <c r="J4" t="s">
        <v>8</v>
      </c>
      <c r="K4" t="s">
        <v>65</v>
      </c>
      <c r="L4" t="s">
        <v>160</v>
      </c>
      <c r="M4" t="s">
        <v>163</v>
      </c>
      <c r="N4" t="s">
        <v>66</v>
      </c>
      <c r="O4" t="s">
        <v>157</v>
      </c>
      <c r="P4" t="s">
        <v>67</v>
      </c>
      <c r="Q4" t="s">
        <v>68</v>
      </c>
      <c r="R4" t="s">
        <v>69</v>
      </c>
      <c r="S4" t="s">
        <v>70</v>
      </c>
      <c r="T4" t="s">
        <v>164</v>
      </c>
    </row>
    <row r="5" spans="1:23" x14ac:dyDescent="0.2">
      <c r="A5" t="s">
        <v>100</v>
      </c>
      <c r="B5">
        <v>3</v>
      </c>
      <c r="C5">
        <v>3</v>
      </c>
      <c r="D5">
        <v>3</v>
      </c>
      <c r="E5">
        <v>3</v>
      </c>
      <c r="F5">
        <v>3</v>
      </c>
      <c r="G5">
        <v>0</v>
      </c>
      <c r="H5">
        <v>3</v>
      </c>
      <c r="I5">
        <v>3</v>
      </c>
      <c r="J5">
        <v>3</v>
      </c>
      <c r="K5">
        <v>3</v>
      </c>
      <c r="L5">
        <v>0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2</v>
      </c>
      <c r="T5">
        <v>3</v>
      </c>
    </row>
    <row r="6" spans="1:23" x14ac:dyDescent="0.2">
      <c r="A6" s="23">
        <f>IF(MonthlyFAME!A8=0,"",MonthlyFAME!A8)</f>
        <v>21975</v>
      </c>
      <c r="B6" s="21" t="str">
        <f>IF(MonthlyFAME!B8=0,"",MonthlyFAME!B8)</f>
        <v/>
      </c>
      <c r="C6" s="21">
        <f>IF(MonthlyFAME!C8=0,"",MonthlyFAME!C8)</f>
        <v>41.3</v>
      </c>
      <c r="D6" s="21" t="str">
        <f>IF(MonthlyFAME!D8=0,"",MonthlyFAME!D8)</f>
        <v/>
      </c>
      <c r="E6" s="21" t="str">
        <f>IF(MonthlyFAME!F8=0,"",MonthlyFAME!F8)</f>
        <v/>
      </c>
      <c r="F6" s="21" t="str">
        <f>IF(MonthlyFAME!G8=0,"",MonthlyFAME!G8)</f>
        <v/>
      </c>
      <c r="G6" s="21" t="str">
        <f>IF(MonthlyFAME!H8=0,"",MonthlyFAME!H8)</f>
        <v/>
      </c>
      <c r="H6" s="21" t="str">
        <f>IF(MonthlyFAME!I8=0,"",MonthlyFAME!I8)</f>
        <v/>
      </c>
      <c r="I6" s="21" t="str">
        <f>IF(MonthlyFAME!J8=0,"",MonthlyFAME!J8)</f>
        <v/>
      </c>
      <c r="J6" s="24"/>
      <c r="K6" s="21" t="str">
        <f>IF(MonthlyFAME!L8=0,"",MonthlyFAME!L8)</f>
        <v/>
      </c>
      <c r="L6" s="21" t="str">
        <f>IF(MonthlyFAME!M8=0,"",MonthlyFAME!M8)</f>
        <v/>
      </c>
      <c r="M6" s="21" t="str">
        <f>IF(MonthlyFAME!N8=0,"",MonthlyFAME!N8)</f>
        <v/>
      </c>
      <c r="N6" s="21" t="str">
        <f>IF(MonthlyFAME!O8=0,"",MonthlyFAME!O8)</f>
        <v/>
      </c>
      <c r="O6" s="21" t="str">
        <f>IF(MonthlyFAME!P8=0,"",MonthlyFAME!P8)</f>
        <v/>
      </c>
      <c r="P6" s="21" t="str">
        <f>IF(MonthlyFAME!Q8=0,"",MonthlyFAME!Q8)</f>
        <v/>
      </c>
      <c r="Q6" s="21" t="str">
        <f>IF(MonthlyFAME!R8=0,"",MonthlyFAME!R8)</f>
        <v/>
      </c>
      <c r="R6" s="21" t="str">
        <f>IF(MonthlyFAME!S8=0,"",MonthlyFAME!S8)</f>
        <v/>
      </c>
      <c r="S6" s="21" t="str">
        <f>IF(MonthlyFAME!T8=0,"",MonthlyFAME!T8)</f>
        <v/>
      </c>
      <c r="T6" s="21" t="str">
        <f>IF(MonthlyFAME!U8=0,"",MonthlyFAME!U8)</f>
        <v/>
      </c>
    </row>
    <row r="7" spans="1:23" x14ac:dyDescent="0.2">
      <c r="A7" s="23">
        <f>IF(MonthlyFAME!A9=0,"",MonthlyFAME!A9)</f>
        <v>22006</v>
      </c>
      <c r="B7" s="21" t="str">
        <f>IF(MonthlyFAME!B9=0,"",MonthlyFAME!B9)</f>
        <v/>
      </c>
      <c r="C7" s="21">
        <f>IF(MonthlyFAME!C9=0,"",MonthlyFAME!C9)</f>
        <v>41.3</v>
      </c>
      <c r="D7" s="21" t="str">
        <f>IF(MonthlyFAME!D9=0,"",MonthlyFAME!D9)</f>
        <v/>
      </c>
      <c r="E7" s="21" t="str">
        <f>IF(MonthlyFAME!F9=0,"",MonthlyFAME!F9)</f>
        <v/>
      </c>
      <c r="F7" s="21" t="str">
        <f>IF(MonthlyFAME!G9=0,"",MonthlyFAME!G9)</f>
        <v/>
      </c>
      <c r="G7" s="21" t="str">
        <f>IF(MonthlyFAME!H9=0,"",MonthlyFAME!H9)</f>
        <v/>
      </c>
      <c r="H7" s="21" t="str">
        <f>IF(MonthlyFAME!I9=0,"",MonthlyFAME!I9)</f>
        <v/>
      </c>
      <c r="I7" s="21" t="str">
        <f>IF(MonthlyFAME!J9=0,"",MonthlyFAME!J9)</f>
        <v/>
      </c>
      <c r="J7" s="24"/>
      <c r="K7" s="21" t="str">
        <f>IF(MonthlyFAME!L9=0,"",MonthlyFAME!L9)</f>
        <v/>
      </c>
      <c r="L7" s="21" t="str">
        <f>IF(MonthlyFAME!M9=0,"",MonthlyFAME!M9)</f>
        <v/>
      </c>
      <c r="M7" s="21" t="str">
        <f>IF(MonthlyFAME!N9=0,"",MonthlyFAME!N9)</f>
        <v/>
      </c>
      <c r="N7" s="21" t="str">
        <f>IF(MonthlyFAME!O9=0,"",MonthlyFAME!O9)</f>
        <v/>
      </c>
      <c r="O7" s="21" t="str">
        <f>IF(MonthlyFAME!P9=0,"",MonthlyFAME!P9)</f>
        <v/>
      </c>
      <c r="P7" s="21" t="str">
        <f>IF(MonthlyFAME!Q9=0,"",MonthlyFAME!Q9)</f>
        <v/>
      </c>
      <c r="Q7" s="21" t="str">
        <f>IF(MonthlyFAME!R9=0,"",MonthlyFAME!R9)</f>
        <v/>
      </c>
      <c r="R7" s="21" t="str">
        <f>IF(MonthlyFAME!S9=0,"",MonthlyFAME!S9)</f>
        <v/>
      </c>
      <c r="S7" s="21" t="str">
        <f>IF(MonthlyFAME!T9=0,"",MonthlyFAME!T9)</f>
        <v/>
      </c>
      <c r="T7" s="21" t="str">
        <f>IF(MonthlyFAME!U9=0,"",MonthlyFAME!U9)</f>
        <v/>
      </c>
    </row>
    <row r="8" spans="1:23" x14ac:dyDescent="0.2">
      <c r="A8" s="23">
        <f>IF(MonthlyFAME!A10=0,"",MonthlyFAME!A10)</f>
        <v>22036</v>
      </c>
      <c r="B8" s="21" t="str">
        <f>IF(MonthlyFAME!B10=0,"",MonthlyFAME!B10)</f>
        <v/>
      </c>
      <c r="C8" s="21">
        <f>IF(MonthlyFAME!C10=0,"",MonthlyFAME!C10)</f>
        <v>41.3</v>
      </c>
      <c r="D8" s="21" t="str">
        <f>IF(MonthlyFAME!D10=0,"",MonthlyFAME!D10)</f>
        <v/>
      </c>
      <c r="E8" s="21" t="str">
        <f>IF(MonthlyFAME!F10=0,"",MonthlyFAME!F10)</f>
        <v/>
      </c>
      <c r="F8" s="21" t="str">
        <f>IF(MonthlyFAME!G10=0,"",MonthlyFAME!G10)</f>
        <v/>
      </c>
      <c r="G8" s="21" t="str">
        <f>IF(MonthlyFAME!H10=0,"",MonthlyFAME!H10)</f>
        <v/>
      </c>
      <c r="H8" s="21" t="str">
        <f>IF(MonthlyFAME!I10=0,"",MonthlyFAME!I10)</f>
        <v/>
      </c>
      <c r="I8" s="21" t="str">
        <f>IF(MonthlyFAME!J10=0,"",MonthlyFAME!J10)</f>
        <v/>
      </c>
      <c r="J8" s="24"/>
      <c r="K8" s="21" t="str">
        <f>IF(MonthlyFAME!L10=0,"",MonthlyFAME!L10)</f>
        <v/>
      </c>
      <c r="L8" s="21" t="str">
        <f>IF(MonthlyFAME!M10=0,"",MonthlyFAME!M10)</f>
        <v/>
      </c>
      <c r="M8" s="21" t="str">
        <f>IF(MonthlyFAME!N10=0,"",MonthlyFAME!N10)</f>
        <v/>
      </c>
      <c r="N8" s="21" t="str">
        <f>IF(MonthlyFAME!O10=0,"",MonthlyFAME!O10)</f>
        <v/>
      </c>
      <c r="O8" s="21" t="str">
        <f>IF(MonthlyFAME!P10=0,"",MonthlyFAME!P10)</f>
        <v/>
      </c>
      <c r="P8" s="21" t="str">
        <f>IF(MonthlyFAME!Q10=0,"",MonthlyFAME!Q10)</f>
        <v/>
      </c>
      <c r="Q8" s="21" t="str">
        <f>IF(MonthlyFAME!R10=0,"",MonthlyFAME!R10)</f>
        <v/>
      </c>
      <c r="R8" s="21" t="str">
        <f>IF(MonthlyFAME!S10=0,"",MonthlyFAME!S10)</f>
        <v/>
      </c>
      <c r="S8" s="21" t="str">
        <f>IF(MonthlyFAME!T10=0,"",MonthlyFAME!T10)</f>
        <v/>
      </c>
      <c r="T8" s="21" t="str">
        <f>IF(MonthlyFAME!U10=0,"",MonthlyFAME!U10)</f>
        <v/>
      </c>
      <c r="V8" t="s">
        <v>101</v>
      </c>
    </row>
    <row r="9" spans="1:23" x14ac:dyDescent="0.2">
      <c r="A9" s="23">
        <f>IF(MonthlyFAME!A11=0,"",MonthlyFAME!A11)</f>
        <v>22067</v>
      </c>
      <c r="B9" s="21" t="str">
        <f>IF(MonthlyFAME!B11=0,"",MonthlyFAME!B11)</f>
        <v/>
      </c>
      <c r="C9" s="21">
        <f>IF(MonthlyFAME!C11=0,"",MonthlyFAME!C11)</f>
        <v>41.3</v>
      </c>
      <c r="D9" s="21" t="str">
        <f>IF(MonthlyFAME!D11=0,"",MonthlyFAME!D11)</f>
        <v/>
      </c>
      <c r="E9" s="21" t="str">
        <f>IF(MonthlyFAME!F11=0,"",MonthlyFAME!F11)</f>
        <v/>
      </c>
      <c r="F9" s="21" t="str">
        <f>IF(MonthlyFAME!G11=0,"",MonthlyFAME!G11)</f>
        <v/>
      </c>
      <c r="G9" s="21" t="str">
        <f>IF(MonthlyFAME!H11=0,"",MonthlyFAME!H11)</f>
        <v/>
      </c>
      <c r="H9" s="21" t="str">
        <f>IF(MonthlyFAME!I11=0,"",MonthlyFAME!I11)</f>
        <v/>
      </c>
      <c r="I9" s="21" t="str">
        <f>IF(MonthlyFAME!J11=0,"",MonthlyFAME!J11)</f>
        <v/>
      </c>
      <c r="J9" s="24"/>
      <c r="K9" s="21" t="str">
        <f>IF(MonthlyFAME!L11=0,"",MonthlyFAME!L11)</f>
        <v/>
      </c>
      <c r="L9" s="21" t="str">
        <f>IF(MonthlyFAME!M11=0,"",MonthlyFAME!M11)</f>
        <v/>
      </c>
      <c r="M9" s="21" t="str">
        <f>IF(MonthlyFAME!N11=0,"",MonthlyFAME!N11)</f>
        <v/>
      </c>
      <c r="N9" s="21" t="str">
        <f>IF(MonthlyFAME!O11=0,"",MonthlyFAME!O11)</f>
        <v/>
      </c>
      <c r="O9" s="21" t="str">
        <f>IF(MonthlyFAME!P11=0,"",MonthlyFAME!P11)</f>
        <v/>
      </c>
      <c r="P9" s="21" t="str">
        <f>IF(MonthlyFAME!Q11=0,"",MonthlyFAME!Q11)</f>
        <v/>
      </c>
      <c r="Q9" s="21" t="str">
        <f>IF(MonthlyFAME!R11=0,"",MonthlyFAME!R11)</f>
        <v/>
      </c>
      <c r="R9" s="21" t="str">
        <f>IF(MonthlyFAME!S11=0,"",MonthlyFAME!S11)</f>
        <v/>
      </c>
      <c r="S9" s="21" t="str">
        <f>IF(MonthlyFAME!T11=0,"",MonthlyFAME!T11)</f>
        <v/>
      </c>
      <c r="T9" s="21" t="str">
        <f>IF(MonthlyFAME!U11=0,"",MonthlyFAME!U11)</f>
        <v/>
      </c>
      <c r="V9">
        <v>0</v>
      </c>
      <c r="W9" t="s">
        <v>90</v>
      </c>
    </row>
    <row r="10" spans="1:23" x14ac:dyDescent="0.2">
      <c r="A10" s="23">
        <f>IF(MonthlyFAME!A12=0,"",MonthlyFAME!A12)</f>
        <v>22097</v>
      </c>
      <c r="B10" s="21" t="str">
        <f>IF(MonthlyFAME!B12=0,"",MonthlyFAME!B12)</f>
        <v/>
      </c>
      <c r="C10" s="21">
        <f>IF(MonthlyFAME!C12=0,"",MonthlyFAME!C12)</f>
        <v>41.3</v>
      </c>
      <c r="D10" s="21" t="str">
        <f>IF(MonthlyFAME!D12=0,"",MonthlyFAME!D12)</f>
        <v/>
      </c>
      <c r="E10" s="21" t="str">
        <f>IF(MonthlyFAME!F12=0,"",MonthlyFAME!F12)</f>
        <v/>
      </c>
      <c r="F10" s="21" t="str">
        <f>IF(MonthlyFAME!G12=0,"",MonthlyFAME!G12)</f>
        <v/>
      </c>
      <c r="G10" s="21" t="str">
        <f>IF(MonthlyFAME!H12=0,"",MonthlyFAME!H12)</f>
        <v/>
      </c>
      <c r="H10" s="21" t="str">
        <f>IF(MonthlyFAME!I12=0,"",MonthlyFAME!I12)</f>
        <v/>
      </c>
      <c r="I10" s="21" t="str">
        <f>IF(MonthlyFAME!J12=0,"",MonthlyFAME!J12)</f>
        <v/>
      </c>
      <c r="J10" s="24"/>
      <c r="K10" s="21" t="str">
        <f>IF(MonthlyFAME!L12=0,"",MonthlyFAME!L12)</f>
        <v/>
      </c>
      <c r="L10" s="21" t="str">
        <f>IF(MonthlyFAME!M12=0,"",MonthlyFAME!M12)</f>
        <v/>
      </c>
      <c r="M10" s="21" t="str">
        <f>IF(MonthlyFAME!N12=0,"",MonthlyFAME!N12)</f>
        <v/>
      </c>
      <c r="N10" s="21" t="str">
        <f>IF(MonthlyFAME!O12=0,"",MonthlyFAME!O12)</f>
        <v/>
      </c>
      <c r="O10" s="21" t="str">
        <f>IF(MonthlyFAME!P12=0,"",MonthlyFAME!P12)</f>
        <v/>
      </c>
      <c r="P10" s="21" t="str">
        <f>IF(MonthlyFAME!Q12=0,"",MonthlyFAME!Q12)</f>
        <v/>
      </c>
      <c r="Q10" s="21" t="str">
        <f>IF(MonthlyFAME!R12=0,"",MonthlyFAME!R12)</f>
        <v/>
      </c>
      <c r="R10" s="21" t="str">
        <f>IF(MonthlyFAME!S12=0,"",MonthlyFAME!S12)</f>
        <v/>
      </c>
      <c r="S10" s="21" t="str">
        <f>IF(MonthlyFAME!T12=0,"",MonthlyFAME!T12)</f>
        <v/>
      </c>
      <c r="T10" s="21" t="str">
        <f>IF(MonthlyFAME!U12=0,"",MonthlyFAME!U12)</f>
        <v/>
      </c>
      <c r="V10">
        <v>1</v>
      </c>
      <c r="W10" t="s">
        <v>102</v>
      </c>
    </row>
    <row r="11" spans="1:23" x14ac:dyDescent="0.2">
      <c r="A11" s="23">
        <f>IF(MonthlyFAME!A13=0,"",MonthlyFAME!A13)</f>
        <v>22128</v>
      </c>
      <c r="B11" s="21" t="str">
        <f>IF(MonthlyFAME!B13=0,"",MonthlyFAME!B13)</f>
        <v/>
      </c>
      <c r="C11" s="21">
        <f>IF(MonthlyFAME!C13=0,"",MonthlyFAME!C13)</f>
        <v>41.3</v>
      </c>
      <c r="D11" s="21" t="str">
        <f>IF(MonthlyFAME!D13=0,"",MonthlyFAME!D13)</f>
        <v/>
      </c>
      <c r="E11" s="21" t="str">
        <f>IF(MonthlyFAME!F13=0,"",MonthlyFAME!F13)</f>
        <v/>
      </c>
      <c r="F11" s="21" t="str">
        <f>IF(MonthlyFAME!G13=0,"",MonthlyFAME!G13)</f>
        <v/>
      </c>
      <c r="G11" s="21" t="str">
        <f>IF(MonthlyFAME!H13=0,"",MonthlyFAME!H13)</f>
        <v/>
      </c>
      <c r="H11" s="21" t="str">
        <f>IF(MonthlyFAME!I13=0,"",MonthlyFAME!I13)</f>
        <v/>
      </c>
      <c r="I11" s="21" t="str">
        <f>IF(MonthlyFAME!J13=0,"",MonthlyFAME!J13)</f>
        <v/>
      </c>
      <c r="J11" s="24"/>
      <c r="K11" s="21" t="str">
        <f>IF(MonthlyFAME!L13=0,"",MonthlyFAME!L13)</f>
        <v/>
      </c>
      <c r="L11" s="21" t="str">
        <f>IF(MonthlyFAME!M13=0,"",MonthlyFAME!M13)</f>
        <v/>
      </c>
      <c r="M11" s="21" t="str">
        <f>IF(MonthlyFAME!N13=0,"",MonthlyFAME!N13)</f>
        <v/>
      </c>
      <c r="N11" s="21" t="str">
        <f>IF(MonthlyFAME!O13=0,"",MonthlyFAME!O13)</f>
        <v/>
      </c>
      <c r="O11" s="21" t="str">
        <f>IF(MonthlyFAME!P13=0,"",MonthlyFAME!P13)</f>
        <v/>
      </c>
      <c r="P11" s="21" t="str">
        <f>IF(MonthlyFAME!Q13=0,"",MonthlyFAME!Q13)</f>
        <v/>
      </c>
      <c r="Q11" s="21" t="str">
        <f>IF(MonthlyFAME!R13=0,"",MonthlyFAME!R13)</f>
        <v/>
      </c>
      <c r="R11" s="21" t="str">
        <f>IF(MonthlyFAME!S13=0,"",MonthlyFAME!S13)</f>
        <v/>
      </c>
      <c r="S11" s="21" t="str">
        <f>IF(MonthlyFAME!T13=0,"",MonthlyFAME!T13)</f>
        <v/>
      </c>
      <c r="T11" s="21" t="str">
        <f>IF(MonthlyFAME!U13=0,"",MonthlyFAME!U13)</f>
        <v/>
      </c>
      <c r="V11">
        <v>2</v>
      </c>
      <c r="W11" t="s">
        <v>91</v>
      </c>
    </row>
    <row r="12" spans="1:23" x14ac:dyDescent="0.2">
      <c r="A12" s="23">
        <f>IF(MonthlyFAME!A14=0,"",MonthlyFAME!A14)</f>
        <v>22159</v>
      </c>
      <c r="B12" s="21" t="str">
        <f>IF(MonthlyFAME!B14=0,"",MonthlyFAME!B14)</f>
        <v/>
      </c>
      <c r="C12" s="21">
        <f>IF(MonthlyFAME!C14=0,"",MonthlyFAME!C14)</f>
        <v>41.4</v>
      </c>
      <c r="D12" s="21" t="str">
        <f>IF(MonthlyFAME!D14=0,"",MonthlyFAME!D14)</f>
        <v/>
      </c>
      <c r="E12" s="21" t="str">
        <f>IF(MonthlyFAME!F14=0,"",MonthlyFAME!F14)</f>
        <v/>
      </c>
      <c r="F12" s="21" t="str">
        <f>IF(MonthlyFAME!G14=0,"",MonthlyFAME!G14)</f>
        <v/>
      </c>
      <c r="G12" s="21" t="str">
        <f>IF(MonthlyFAME!H14=0,"",MonthlyFAME!H14)</f>
        <v/>
      </c>
      <c r="H12" s="21" t="str">
        <f>IF(MonthlyFAME!I14=0,"",MonthlyFAME!I14)</f>
        <v/>
      </c>
      <c r="I12" s="21" t="str">
        <f>IF(MonthlyFAME!J14=0,"",MonthlyFAME!J14)</f>
        <v/>
      </c>
      <c r="J12" s="24"/>
      <c r="K12" s="21" t="str">
        <f>IF(MonthlyFAME!L14=0,"",MonthlyFAME!L14)</f>
        <v/>
      </c>
      <c r="L12" s="21" t="str">
        <f>IF(MonthlyFAME!M14=0,"",MonthlyFAME!M14)</f>
        <v/>
      </c>
      <c r="M12" s="21" t="str">
        <f>IF(MonthlyFAME!N14=0,"",MonthlyFAME!N14)</f>
        <v/>
      </c>
      <c r="N12" s="21" t="str">
        <f>IF(MonthlyFAME!O14=0,"",MonthlyFAME!O14)</f>
        <v/>
      </c>
      <c r="O12" s="21" t="str">
        <f>IF(MonthlyFAME!P14=0,"",MonthlyFAME!P14)</f>
        <v/>
      </c>
      <c r="P12" s="21" t="str">
        <f>IF(MonthlyFAME!Q14=0,"",MonthlyFAME!Q14)</f>
        <v/>
      </c>
      <c r="Q12" s="21" t="str">
        <f>IF(MonthlyFAME!R14=0,"",MonthlyFAME!R14)</f>
        <v/>
      </c>
      <c r="R12" s="21" t="str">
        <f>IF(MonthlyFAME!S14=0,"",MonthlyFAME!S14)</f>
        <v/>
      </c>
      <c r="S12" s="21" t="str">
        <f>IF(MonthlyFAME!T14=0,"",MonthlyFAME!T14)</f>
        <v/>
      </c>
      <c r="T12" s="21" t="str">
        <f>IF(MonthlyFAME!U14=0,"",MonthlyFAME!U14)</f>
        <v/>
      </c>
      <c r="V12">
        <v>3</v>
      </c>
      <c r="W12" t="s">
        <v>153</v>
      </c>
    </row>
    <row r="13" spans="1:23" x14ac:dyDescent="0.2">
      <c r="A13" s="23">
        <f>IF(MonthlyFAME!A15=0,"",MonthlyFAME!A15)</f>
        <v>22189</v>
      </c>
      <c r="B13" s="21" t="str">
        <f>IF(MonthlyFAME!B15=0,"",MonthlyFAME!B15)</f>
        <v/>
      </c>
      <c r="C13" s="21">
        <f>IF(MonthlyFAME!C15=0,"",MonthlyFAME!C15)</f>
        <v>41.7</v>
      </c>
      <c r="D13" s="21" t="str">
        <f>IF(MonthlyFAME!D15=0,"",MonthlyFAME!D15)</f>
        <v/>
      </c>
      <c r="E13" s="21" t="str">
        <f>IF(MonthlyFAME!F15=0,"",MonthlyFAME!F15)</f>
        <v/>
      </c>
      <c r="F13" s="21" t="str">
        <f>IF(MonthlyFAME!G15=0,"",MonthlyFAME!G15)</f>
        <v/>
      </c>
      <c r="G13" s="21" t="str">
        <f>IF(MonthlyFAME!H15=0,"",MonthlyFAME!H15)</f>
        <v/>
      </c>
      <c r="H13" s="21" t="str">
        <f>IF(MonthlyFAME!I15=0,"",MonthlyFAME!I15)</f>
        <v/>
      </c>
      <c r="I13" s="21" t="str">
        <f>IF(MonthlyFAME!J15=0,"",MonthlyFAME!J15)</f>
        <v/>
      </c>
      <c r="J13" s="24"/>
      <c r="K13" s="21" t="str">
        <f>IF(MonthlyFAME!L15=0,"",MonthlyFAME!L15)</f>
        <v/>
      </c>
      <c r="L13" s="21" t="str">
        <f>IF(MonthlyFAME!M15=0,"",MonthlyFAME!M15)</f>
        <v/>
      </c>
      <c r="M13" s="21" t="str">
        <f>IF(MonthlyFAME!N15=0,"",MonthlyFAME!N15)</f>
        <v/>
      </c>
      <c r="N13" s="21" t="str">
        <f>IF(MonthlyFAME!O15=0,"",MonthlyFAME!O15)</f>
        <v/>
      </c>
      <c r="O13" s="21" t="str">
        <f>IF(MonthlyFAME!P15=0,"",MonthlyFAME!P15)</f>
        <v/>
      </c>
      <c r="P13" s="21" t="str">
        <f>IF(MonthlyFAME!Q15=0,"",MonthlyFAME!Q15)</f>
        <v/>
      </c>
      <c r="Q13" s="21" t="str">
        <f>IF(MonthlyFAME!R15=0,"",MonthlyFAME!R15)</f>
        <v/>
      </c>
      <c r="R13" s="21" t="str">
        <f>IF(MonthlyFAME!S15=0,"",MonthlyFAME!S15)</f>
        <v/>
      </c>
      <c r="S13" s="21" t="str">
        <f>IF(MonthlyFAME!T15=0,"",MonthlyFAME!T15)</f>
        <v/>
      </c>
      <c r="T13" s="21" t="str">
        <f>IF(MonthlyFAME!U15=0,"",MonthlyFAME!U15)</f>
        <v/>
      </c>
      <c r="V13">
        <v>4</v>
      </c>
      <c r="W13" t="s">
        <v>152</v>
      </c>
    </row>
    <row r="14" spans="1:23" x14ac:dyDescent="0.2">
      <c r="A14" s="23">
        <f>IF(MonthlyFAME!A16=0,"",MonthlyFAME!A16)</f>
        <v>22220</v>
      </c>
      <c r="B14" s="21" t="str">
        <f>IF(MonthlyFAME!B16=0,"",MonthlyFAME!B16)</f>
        <v/>
      </c>
      <c r="C14" s="21">
        <f>IF(MonthlyFAME!C16=0,"",MonthlyFAME!C16)</f>
        <v>41.9</v>
      </c>
      <c r="D14" s="21" t="str">
        <f>IF(MonthlyFAME!D16=0,"",MonthlyFAME!D16)</f>
        <v/>
      </c>
      <c r="E14" s="21" t="str">
        <f>IF(MonthlyFAME!F16=0,"",MonthlyFAME!F16)</f>
        <v/>
      </c>
      <c r="F14" s="21" t="str">
        <f>IF(MonthlyFAME!G16=0,"",MonthlyFAME!G16)</f>
        <v/>
      </c>
      <c r="G14" s="21" t="str">
        <f>IF(MonthlyFAME!H16=0,"",MonthlyFAME!H16)</f>
        <v/>
      </c>
      <c r="H14" s="21" t="str">
        <f>IF(MonthlyFAME!I16=0,"",MonthlyFAME!I16)</f>
        <v/>
      </c>
      <c r="I14" s="21" t="str">
        <f>IF(MonthlyFAME!J16=0,"",MonthlyFAME!J16)</f>
        <v/>
      </c>
      <c r="J14" s="24"/>
      <c r="K14" s="21" t="str">
        <f>IF(MonthlyFAME!L16=0,"",MonthlyFAME!L16)</f>
        <v/>
      </c>
      <c r="L14" s="21" t="str">
        <f>IF(MonthlyFAME!M16=0,"",MonthlyFAME!M16)</f>
        <v/>
      </c>
      <c r="M14" s="21" t="str">
        <f>IF(MonthlyFAME!N16=0,"",MonthlyFAME!N16)</f>
        <v/>
      </c>
      <c r="N14" s="21" t="str">
        <f>IF(MonthlyFAME!O16=0,"",MonthlyFAME!O16)</f>
        <v/>
      </c>
      <c r="O14" s="21" t="str">
        <f>IF(MonthlyFAME!P16=0,"",MonthlyFAME!P16)</f>
        <v/>
      </c>
      <c r="P14" s="21" t="str">
        <f>IF(MonthlyFAME!Q16=0,"",MonthlyFAME!Q16)</f>
        <v/>
      </c>
      <c r="Q14" s="21" t="str">
        <f>IF(MonthlyFAME!R16=0,"",MonthlyFAME!R16)</f>
        <v/>
      </c>
      <c r="R14" s="21" t="str">
        <f>IF(MonthlyFAME!S16=0,"",MonthlyFAME!S16)</f>
        <v/>
      </c>
      <c r="S14" s="21" t="str">
        <f>IF(MonthlyFAME!T16=0,"",MonthlyFAME!T16)</f>
        <v/>
      </c>
      <c r="T14" s="21" t="str">
        <f>IF(MonthlyFAME!U16=0,"",MonthlyFAME!U16)</f>
        <v/>
      </c>
    </row>
    <row r="15" spans="1:23" x14ac:dyDescent="0.2">
      <c r="A15" s="23">
        <f>IF(MonthlyFAME!A17=0,"",MonthlyFAME!A17)</f>
        <v>22250</v>
      </c>
      <c r="B15" s="21" t="str">
        <f>IF(MonthlyFAME!B17=0,"",MonthlyFAME!B17)</f>
        <v/>
      </c>
      <c r="C15" s="21">
        <f>IF(MonthlyFAME!C17=0,"",MonthlyFAME!C17)</f>
        <v>41.9</v>
      </c>
      <c r="D15" s="21" t="str">
        <f>IF(MonthlyFAME!D17=0,"",MonthlyFAME!D17)</f>
        <v/>
      </c>
      <c r="E15" s="21" t="str">
        <f>IF(MonthlyFAME!F17=0,"",MonthlyFAME!F17)</f>
        <v/>
      </c>
      <c r="F15" s="21" t="str">
        <f>IF(MonthlyFAME!G17=0,"",MonthlyFAME!G17)</f>
        <v/>
      </c>
      <c r="G15" s="21" t="str">
        <f>IF(MonthlyFAME!H17=0,"",MonthlyFAME!H17)</f>
        <v/>
      </c>
      <c r="H15" s="21" t="str">
        <f>IF(MonthlyFAME!I17=0,"",MonthlyFAME!I17)</f>
        <v/>
      </c>
      <c r="I15" s="21" t="str">
        <f>IF(MonthlyFAME!J17=0,"",MonthlyFAME!J17)</f>
        <v/>
      </c>
      <c r="J15" s="24"/>
      <c r="K15" s="21" t="str">
        <f>IF(MonthlyFAME!L17=0,"",MonthlyFAME!L17)</f>
        <v/>
      </c>
      <c r="L15" s="21" t="str">
        <f>IF(MonthlyFAME!M17=0,"",MonthlyFAME!M17)</f>
        <v/>
      </c>
      <c r="M15" s="21" t="str">
        <f>IF(MonthlyFAME!N17=0,"",MonthlyFAME!N17)</f>
        <v/>
      </c>
      <c r="N15" s="21" t="str">
        <f>IF(MonthlyFAME!O17=0,"",MonthlyFAME!O17)</f>
        <v/>
      </c>
      <c r="O15" s="21" t="str">
        <f>IF(MonthlyFAME!P17=0,"",MonthlyFAME!P17)</f>
        <v/>
      </c>
      <c r="P15" s="21" t="str">
        <f>IF(MonthlyFAME!Q17=0,"",MonthlyFAME!Q17)</f>
        <v/>
      </c>
      <c r="Q15" s="21" t="str">
        <f>IF(MonthlyFAME!R17=0,"",MonthlyFAME!R17)</f>
        <v/>
      </c>
      <c r="R15" s="21" t="str">
        <f>IF(MonthlyFAME!S17=0,"",MonthlyFAME!S17)</f>
        <v/>
      </c>
      <c r="S15" s="21" t="str">
        <f>IF(MonthlyFAME!T17=0,"",MonthlyFAME!T17)</f>
        <v/>
      </c>
      <c r="T15" s="21" t="str">
        <f>IF(MonthlyFAME!U17=0,"",MonthlyFAME!U17)</f>
        <v/>
      </c>
    </row>
    <row r="16" spans="1:23" x14ac:dyDescent="0.2">
      <c r="A16" s="23">
        <f>IF(MonthlyFAME!A18=0,"",MonthlyFAME!A18)</f>
        <v>22281</v>
      </c>
      <c r="B16" s="21" t="str">
        <f>IF(MonthlyFAME!B18=0,"",MonthlyFAME!B18)</f>
        <v/>
      </c>
      <c r="C16" s="21">
        <f>IF(MonthlyFAME!C18=0,"",MonthlyFAME!C18)</f>
        <v>41.7</v>
      </c>
      <c r="D16" s="21" t="str">
        <f>IF(MonthlyFAME!D18=0,"",MonthlyFAME!D18)</f>
        <v/>
      </c>
      <c r="E16" s="21" t="str">
        <f>IF(MonthlyFAME!F18=0,"",MonthlyFAME!F18)</f>
        <v/>
      </c>
      <c r="F16" s="21" t="str">
        <f>IF(MonthlyFAME!G18=0,"",MonthlyFAME!G18)</f>
        <v/>
      </c>
      <c r="G16" s="21" t="str">
        <f>IF(MonthlyFAME!H18=0,"",MonthlyFAME!H18)</f>
        <v/>
      </c>
      <c r="H16" s="21" t="str">
        <f>IF(MonthlyFAME!I18=0,"",MonthlyFAME!I18)</f>
        <v/>
      </c>
      <c r="I16" s="21" t="str">
        <f>IF(MonthlyFAME!J18=0,"",MonthlyFAME!J18)</f>
        <v/>
      </c>
      <c r="J16" s="24"/>
      <c r="K16" s="21" t="str">
        <f>IF(MonthlyFAME!L18=0,"",MonthlyFAME!L18)</f>
        <v/>
      </c>
      <c r="L16" s="21" t="str">
        <f>IF(MonthlyFAME!M18=0,"",MonthlyFAME!M18)</f>
        <v/>
      </c>
      <c r="M16" s="21" t="str">
        <f>IF(MonthlyFAME!N18=0,"",MonthlyFAME!N18)</f>
        <v/>
      </c>
      <c r="N16" s="21" t="str">
        <f>IF(MonthlyFAME!O18=0,"",MonthlyFAME!O18)</f>
        <v/>
      </c>
      <c r="O16" s="21" t="str">
        <f>IF(MonthlyFAME!P18=0,"",MonthlyFAME!P18)</f>
        <v/>
      </c>
      <c r="P16" s="21" t="str">
        <f>IF(MonthlyFAME!Q18=0,"",MonthlyFAME!Q18)</f>
        <v/>
      </c>
      <c r="Q16" s="21" t="str">
        <f>IF(MonthlyFAME!R18=0,"",MonthlyFAME!R18)</f>
        <v/>
      </c>
      <c r="R16" s="21" t="str">
        <f>IF(MonthlyFAME!S18=0,"",MonthlyFAME!S18)</f>
        <v/>
      </c>
      <c r="S16" s="21" t="str">
        <f>IF(MonthlyFAME!T18=0,"",MonthlyFAME!T18)</f>
        <v/>
      </c>
      <c r="T16" s="21" t="str">
        <f>IF(MonthlyFAME!U18=0,"",MonthlyFAME!U18)</f>
        <v/>
      </c>
    </row>
    <row r="17" spans="1:20" x14ac:dyDescent="0.2">
      <c r="A17" s="23">
        <f>IF(MonthlyFAME!A19=0,"",MonthlyFAME!A19)</f>
        <v>22312</v>
      </c>
      <c r="B17" s="21" t="str">
        <f>IF(MonthlyFAME!B19=0,"",MonthlyFAME!B19)</f>
        <v/>
      </c>
      <c r="C17" s="21">
        <f>IF(MonthlyFAME!C19=0,"",MonthlyFAME!C19)</f>
        <v>41.3</v>
      </c>
      <c r="D17" s="21" t="str">
        <f>IF(MonthlyFAME!D19=0,"",MonthlyFAME!D19)</f>
        <v/>
      </c>
      <c r="E17" s="21" t="str">
        <f>IF(MonthlyFAME!F19=0,"",MonthlyFAME!F19)</f>
        <v/>
      </c>
      <c r="F17" s="21" t="str">
        <f>IF(MonthlyFAME!G19=0,"",MonthlyFAME!G19)</f>
        <v/>
      </c>
      <c r="G17" s="21" t="str">
        <f>IF(MonthlyFAME!H19=0,"",MonthlyFAME!H19)</f>
        <v/>
      </c>
      <c r="H17" s="21" t="str">
        <f>IF(MonthlyFAME!I19=0,"",MonthlyFAME!I19)</f>
        <v/>
      </c>
      <c r="I17" s="21" t="str">
        <f>IF(MonthlyFAME!J19=0,"",MonthlyFAME!J19)</f>
        <v/>
      </c>
      <c r="J17" s="24"/>
      <c r="K17" s="21" t="str">
        <f>IF(MonthlyFAME!L19=0,"",MonthlyFAME!L19)</f>
        <v/>
      </c>
      <c r="L17" s="21" t="str">
        <f>IF(MonthlyFAME!M19=0,"",MonthlyFAME!M19)</f>
        <v/>
      </c>
      <c r="M17" s="21" t="str">
        <f>IF(MonthlyFAME!N19=0,"",MonthlyFAME!N19)</f>
        <v/>
      </c>
      <c r="N17" s="21" t="str">
        <f>IF(MonthlyFAME!O19=0,"",MonthlyFAME!O19)</f>
        <v/>
      </c>
      <c r="O17" s="21" t="str">
        <f>IF(MonthlyFAME!P19=0,"",MonthlyFAME!P19)</f>
        <v/>
      </c>
      <c r="P17" s="21" t="str">
        <f>IF(MonthlyFAME!Q19=0,"",MonthlyFAME!Q19)</f>
        <v/>
      </c>
      <c r="Q17" s="21" t="str">
        <f>IF(MonthlyFAME!R19=0,"",MonthlyFAME!R19)</f>
        <v/>
      </c>
      <c r="R17" s="21" t="str">
        <f>IF(MonthlyFAME!S19=0,"",MonthlyFAME!S19)</f>
        <v/>
      </c>
      <c r="S17" s="21" t="str">
        <f>IF(MonthlyFAME!T19=0,"",MonthlyFAME!T19)</f>
        <v/>
      </c>
      <c r="T17" s="21" t="str">
        <f>IF(MonthlyFAME!U19=0,"",MonthlyFAME!U19)</f>
        <v/>
      </c>
    </row>
    <row r="18" spans="1:20" x14ac:dyDescent="0.2">
      <c r="A18" s="23">
        <f>IF(MonthlyFAME!A20=0,"",MonthlyFAME!A20)</f>
        <v>22340</v>
      </c>
      <c r="B18" s="21" t="str">
        <f>IF(MonthlyFAME!B20=0,"",MonthlyFAME!B20)</f>
        <v/>
      </c>
      <c r="C18" s="21">
        <f>IF(MonthlyFAME!C20=0,"",MonthlyFAME!C20)</f>
        <v>41.1</v>
      </c>
      <c r="D18" s="21" t="str">
        <f>IF(MonthlyFAME!D20=0,"",MonthlyFAME!D20)</f>
        <v/>
      </c>
      <c r="E18" s="21" t="str">
        <f>IF(MonthlyFAME!F20=0,"",MonthlyFAME!F20)</f>
        <v/>
      </c>
      <c r="F18" s="21" t="str">
        <f>IF(MonthlyFAME!G20=0,"",MonthlyFAME!G20)</f>
        <v/>
      </c>
      <c r="G18" s="21" t="str">
        <f>IF(MonthlyFAME!H20=0,"",MonthlyFAME!H20)</f>
        <v/>
      </c>
      <c r="H18" s="21" t="str">
        <f>IF(MonthlyFAME!I20=0,"",MonthlyFAME!I20)</f>
        <v/>
      </c>
      <c r="I18" s="21" t="str">
        <f>IF(MonthlyFAME!J20=0,"",MonthlyFAME!J20)</f>
        <v/>
      </c>
      <c r="J18" s="24"/>
      <c r="K18" s="21" t="str">
        <f>IF(MonthlyFAME!L20=0,"",MonthlyFAME!L20)</f>
        <v/>
      </c>
      <c r="L18" s="21" t="str">
        <f>IF(MonthlyFAME!M20=0,"",MonthlyFAME!M20)</f>
        <v/>
      </c>
      <c r="M18" s="21" t="str">
        <f>IF(MonthlyFAME!N20=0,"",MonthlyFAME!N20)</f>
        <v/>
      </c>
      <c r="N18" s="21" t="str">
        <f>IF(MonthlyFAME!O20=0,"",MonthlyFAME!O20)</f>
        <v/>
      </c>
      <c r="O18" s="21" t="str">
        <f>IF(MonthlyFAME!P20=0,"",MonthlyFAME!P20)</f>
        <v/>
      </c>
      <c r="P18" s="21" t="str">
        <f>IF(MonthlyFAME!Q20=0,"",MonthlyFAME!Q20)</f>
        <v/>
      </c>
      <c r="Q18" s="21" t="str">
        <f>IF(MonthlyFAME!R20=0,"",MonthlyFAME!R20)</f>
        <v/>
      </c>
      <c r="R18" s="21" t="str">
        <f>IF(MonthlyFAME!S20=0,"",MonthlyFAME!S20)</f>
        <v/>
      </c>
      <c r="S18" s="21" t="str">
        <f>IF(MonthlyFAME!T20=0,"",MonthlyFAME!T20)</f>
        <v/>
      </c>
      <c r="T18" s="21" t="str">
        <f>IF(MonthlyFAME!U20=0,"",MonthlyFAME!U20)</f>
        <v/>
      </c>
    </row>
    <row r="19" spans="1:20" x14ac:dyDescent="0.2">
      <c r="A19" s="23">
        <f>IF(MonthlyFAME!A21=0,"",MonthlyFAME!A21)</f>
        <v>22371</v>
      </c>
      <c r="B19" s="21" t="str">
        <f>IF(MonthlyFAME!B21=0,"",MonthlyFAME!B21)</f>
        <v/>
      </c>
      <c r="C19" s="21">
        <f>IF(MonthlyFAME!C21=0,"",MonthlyFAME!C21)</f>
        <v>41.3</v>
      </c>
      <c r="D19" s="21" t="str">
        <f>IF(MonthlyFAME!D21=0,"",MonthlyFAME!D21)</f>
        <v/>
      </c>
      <c r="E19" s="21" t="str">
        <f>IF(MonthlyFAME!F21=0,"",MonthlyFAME!F21)</f>
        <v/>
      </c>
      <c r="F19" s="21" t="str">
        <f>IF(MonthlyFAME!G21=0,"",MonthlyFAME!G21)</f>
        <v/>
      </c>
      <c r="G19" s="21" t="str">
        <f>IF(MonthlyFAME!H21=0,"",MonthlyFAME!H21)</f>
        <v/>
      </c>
      <c r="H19" s="21" t="str">
        <f>IF(MonthlyFAME!I21=0,"",MonthlyFAME!I21)</f>
        <v/>
      </c>
      <c r="I19" s="21" t="str">
        <f>IF(MonthlyFAME!J21=0,"",MonthlyFAME!J21)</f>
        <v/>
      </c>
      <c r="J19" s="24"/>
      <c r="K19" s="21" t="str">
        <f>IF(MonthlyFAME!L21=0,"",MonthlyFAME!L21)</f>
        <v/>
      </c>
      <c r="L19" s="21" t="str">
        <f>IF(MonthlyFAME!M21=0,"",MonthlyFAME!M21)</f>
        <v/>
      </c>
      <c r="M19" s="21" t="str">
        <f>IF(MonthlyFAME!N21=0,"",MonthlyFAME!N21)</f>
        <v/>
      </c>
      <c r="N19" s="21" t="str">
        <f>IF(MonthlyFAME!O21=0,"",MonthlyFAME!O21)</f>
        <v/>
      </c>
      <c r="O19" s="21" t="str">
        <f>IF(MonthlyFAME!P21=0,"",MonthlyFAME!P21)</f>
        <v/>
      </c>
      <c r="P19" s="21" t="str">
        <f>IF(MonthlyFAME!Q21=0,"",MonthlyFAME!Q21)</f>
        <v/>
      </c>
      <c r="Q19" s="21" t="str">
        <f>IF(MonthlyFAME!R21=0,"",MonthlyFAME!R21)</f>
        <v/>
      </c>
      <c r="R19" s="21" t="str">
        <f>IF(MonthlyFAME!S21=0,"",MonthlyFAME!S21)</f>
        <v/>
      </c>
      <c r="S19" s="21" t="str">
        <f>IF(MonthlyFAME!T21=0,"",MonthlyFAME!T21)</f>
        <v/>
      </c>
      <c r="T19" s="21" t="str">
        <f>IF(MonthlyFAME!U21=0,"",MonthlyFAME!U21)</f>
        <v/>
      </c>
    </row>
    <row r="20" spans="1:20" x14ac:dyDescent="0.2">
      <c r="A20" s="23">
        <f>IF(MonthlyFAME!A22=0,"",MonthlyFAME!A22)</f>
        <v>22401</v>
      </c>
      <c r="B20" s="21" t="str">
        <f>IF(MonthlyFAME!B22=0,"",MonthlyFAME!B22)</f>
        <v/>
      </c>
      <c r="C20" s="21">
        <f>IF(MonthlyFAME!C22=0,"",MonthlyFAME!C22)</f>
        <v>41.7</v>
      </c>
      <c r="D20" s="21" t="str">
        <f>IF(MonthlyFAME!D22=0,"",MonthlyFAME!D22)</f>
        <v/>
      </c>
      <c r="E20" s="21" t="str">
        <f>IF(MonthlyFAME!F22=0,"",MonthlyFAME!F22)</f>
        <v/>
      </c>
      <c r="F20" s="21" t="str">
        <f>IF(MonthlyFAME!G22=0,"",MonthlyFAME!G22)</f>
        <v/>
      </c>
      <c r="G20" s="21" t="str">
        <f>IF(MonthlyFAME!H22=0,"",MonthlyFAME!H22)</f>
        <v/>
      </c>
      <c r="H20" s="21" t="str">
        <f>IF(MonthlyFAME!I22=0,"",MonthlyFAME!I22)</f>
        <v/>
      </c>
      <c r="I20" s="21" t="str">
        <f>IF(MonthlyFAME!J22=0,"",MonthlyFAME!J22)</f>
        <v/>
      </c>
      <c r="J20" s="24"/>
      <c r="K20" s="21" t="str">
        <f>IF(MonthlyFAME!L22=0,"",MonthlyFAME!L22)</f>
        <v/>
      </c>
      <c r="L20" s="21" t="str">
        <f>IF(MonthlyFAME!M22=0,"",MonthlyFAME!M22)</f>
        <v/>
      </c>
      <c r="M20" s="21" t="str">
        <f>IF(MonthlyFAME!N22=0,"",MonthlyFAME!N22)</f>
        <v/>
      </c>
      <c r="N20" s="21" t="str">
        <f>IF(MonthlyFAME!O22=0,"",MonthlyFAME!O22)</f>
        <v/>
      </c>
      <c r="O20" s="21" t="str">
        <f>IF(MonthlyFAME!P22=0,"",MonthlyFAME!P22)</f>
        <v/>
      </c>
      <c r="P20" s="21" t="str">
        <f>IF(MonthlyFAME!Q22=0,"",MonthlyFAME!Q22)</f>
        <v/>
      </c>
      <c r="Q20" s="21" t="str">
        <f>IF(MonthlyFAME!R22=0,"",MonthlyFAME!R22)</f>
        <v/>
      </c>
      <c r="R20" s="21" t="str">
        <f>IF(MonthlyFAME!S22=0,"",MonthlyFAME!S22)</f>
        <v/>
      </c>
      <c r="S20" s="21" t="str">
        <f>IF(MonthlyFAME!T22=0,"",MonthlyFAME!T22)</f>
        <v/>
      </c>
      <c r="T20" s="21" t="str">
        <f>IF(MonthlyFAME!U22=0,"",MonthlyFAME!U22)</f>
        <v/>
      </c>
    </row>
    <row r="21" spans="1:20" x14ac:dyDescent="0.2">
      <c r="A21" s="23">
        <f>IF(MonthlyFAME!A23=0,"",MonthlyFAME!A23)</f>
        <v>22432</v>
      </c>
      <c r="B21" s="21" t="str">
        <f>IF(MonthlyFAME!B23=0,"",MonthlyFAME!B23)</f>
        <v/>
      </c>
      <c r="C21" s="21">
        <f>IF(MonthlyFAME!C23=0,"",MonthlyFAME!C23)</f>
        <v>42</v>
      </c>
      <c r="D21" s="21" t="str">
        <f>IF(MonthlyFAME!D23=0,"",MonthlyFAME!D23)</f>
        <v/>
      </c>
      <c r="E21" s="21" t="str">
        <f>IF(MonthlyFAME!F23=0,"",MonthlyFAME!F23)</f>
        <v/>
      </c>
      <c r="F21" s="21" t="str">
        <f>IF(MonthlyFAME!G23=0,"",MonthlyFAME!G23)</f>
        <v/>
      </c>
      <c r="G21" s="21" t="str">
        <f>IF(MonthlyFAME!H23=0,"",MonthlyFAME!H23)</f>
        <v/>
      </c>
      <c r="H21" s="21" t="str">
        <f>IF(MonthlyFAME!I23=0,"",MonthlyFAME!I23)</f>
        <v/>
      </c>
      <c r="I21" s="21" t="str">
        <f>IF(MonthlyFAME!J23=0,"",MonthlyFAME!J23)</f>
        <v/>
      </c>
      <c r="J21" s="24"/>
      <c r="K21" s="21" t="str">
        <f>IF(MonthlyFAME!L23=0,"",MonthlyFAME!L23)</f>
        <v/>
      </c>
      <c r="L21" s="21" t="str">
        <f>IF(MonthlyFAME!M23=0,"",MonthlyFAME!M23)</f>
        <v/>
      </c>
      <c r="M21" s="21" t="str">
        <f>IF(MonthlyFAME!N23=0,"",MonthlyFAME!N23)</f>
        <v/>
      </c>
      <c r="N21" s="21" t="str">
        <f>IF(MonthlyFAME!O23=0,"",MonthlyFAME!O23)</f>
        <v/>
      </c>
      <c r="O21" s="21" t="str">
        <f>IF(MonthlyFAME!P23=0,"",MonthlyFAME!P23)</f>
        <v/>
      </c>
      <c r="P21" s="21" t="str">
        <f>IF(MonthlyFAME!Q23=0,"",MonthlyFAME!Q23)</f>
        <v/>
      </c>
      <c r="Q21" s="21" t="str">
        <f>IF(MonthlyFAME!R23=0,"",MonthlyFAME!R23)</f>
        <v/>
      </c>
      <c r="R21" s="21" t="str">
        <f>IF(MonthlyFAME!S23=0,"",MonthlyFAME!S23)</f>
        <v/>
      </c>
      <c r="S21" s="21" t="str">
        <f>IF(MonthlyFAME!T23=0,"",MonthlyFAME!T23)</f>
        <v/>
      </c>
      <c r="T21" s="21" t="str">
        <f>IF(MonthlyFAME!U23=0,"",MonthlyFAME!U23)</f>
        <v/>
      </c>
    </row>
    <row r="22" spans="1:20" x14ac:dyDescent="0.2">
      <c r="A22" s="23">
        <f>IF(MonthlyFAME!A24=0,"",MonthlyFAME!A24)</f>
        <v>22462</v>
      </c>
      <c r="B22" s="21" t="str">
        <f>IF(MonthlyFAME!B24=0,"",MonthlyFAME!B24)</f>
        <v/>
      </c>
      <c r="C22" s="21">
        <f>IF(MonthlyFAME!C24=0,"",MonthlyFAME!C24)</f>
        <v>42.1</v>
      </c>
      <c r="D22" s="21" t="str">
        <f>IF(MonthlyFAME!D24=0,"",MonthlyFAME!D24)</f>
        <v/>
      </c>
      <c r="E22" s="21" t="str">
        <f>IF(MonthlyFAME!F24=0,"",MonthlyFAME!F24)</f>
        <v/>
      </c>
      <c r="F22" s="21" t="str">
        <f>IF(MonthlyFAME!G24=0,"",MonthlyFAME!G24)</f>
        <v/>
      </c>
      <c r="G22" s="21" t="str">
        <f>IF(MonthlyFAME!H24=0,"",MonthlyFAME!H24)</f>
        <v/>
      </c>
      <c r="H22" s="21" t="str">
        <f>IF(MonthlyFAME!I24=0,"",MonthlyFAME!I24)</f>
        <v/>
      </c>
      <c r="I22" s="21" t="str">
        <f>IF(MonthlyFAME!J24=0,"",MonthlyFAME!J24)</f>
        <v/>
      </c>
      <c r="J22" s="24"/>
      <c r="K22" s="21" t="str">
        <f>IF(MonthlyFAME!L24=0,"",MonthlyFAME!L24)</f>
        <v/>
      </c>
      <c r="L22" s="21" t="str">
        <f>IF(MonthlyFAME!M24=0,"",MonthlyFAME!M24)</f>
        <v/>
      </c>
      <c r="M22" s="21" t="str">
        <f>IF(MonthlyFAME!N24=0,"",MonthlyFAME!N24)</f>
        <v/>
      </c>
      <c r="N22" s="21" t="str">
        <f>IF(MonthlyFAME!O24=0,"",MonthlyFAME!O24)</f>
        <v/>
      </c>
      <c r="O22" s="21" t="str">
        <f>IF(MonthlyFAME!P24=0,"",MonthlyFAME!P24)</f>
        <v/>
      </c>
      <c r="P22" s="21" t="str">
        <f>IF(MonthlyFAME!Q24=0,"",MonthlyFAME!Q24)</f>
        <v/>
      </c>
      <c r="Q22" s="21" t="str">
        <f>IF(MonthlyFAME!R24=0,"",MonthlyFAME!R24)</f>
        <v/>
      </c>
      <c r="R22" s="21" t="str">
        <f>IF(MonthlyFAME!S24=0,"",MonthlyFAME!S24)</f>
        <v/>
      </c>
      <c r="S22" s="21" t="str">
        <f>IF(MonthlyFAME!T24=0,"",MonthlyFAME!T24)</f>
        <v/>
      </c>
      <c r="T22" s="21" t="str">
        <f>IF(MonthlyFAME!U24=0,"",MonthlyFAME!U24)</f>
        <v/>
      </c>
    </row>
    <row r="23" spans="1:20" x14ac:dyDescent="0.2">
      <c r="A23" s="23">
        <f>IF(MonthlyFAME!A25=0,"",MonthlyFAME!A25)</f>
        <v>22493</v>
      </c>
      <c r="B23" s="21" t="str">
        <f>IF(MonthlyFAME!B25=0,"",MonthlyFAME!B25)</f>
        <v/>
      </c>
      <c r="C23" s="21">
        <f>IF(MonthlyFAME!C25=0,"",MonthlyFAME!C25)</f>
        <v>41.9</v>
      </c>
      <c r="D23" s="21" t="str">
        <f>IF(MonthlyFAME!D25=0,"",MonthlyFAME!D25)</f>
        <v/>
      </c>
      <c r="E23" s="21" t="str">
        <f>IF(MonthlyFAME!F25=0,"",MonthlyFAME!F25)</f>
        <v/>
      </c>
      <c r="F23" s="21" t="str">
        <f>IF(MonthlyFAME!G25=0,"",MonthlyFAME!G25)</f>
        <v/>
      </c>
      <c r="G23" s="21" t="str">
        <f>IF(MonthlyFAME!H25=0,"",MonthlyFAME!H25)</f>
        <v/>
      </c>
      <c r="H23" s="21" t="str">
        <f>IF(MonthlyFAME!I25=0,"",MonthlyFAME!I25)</f>
        <v/>
      </c>
      <c r="I23" s="21" t="str">
        <f>IF(MonthlyFAME!J25=0,"",MonthlyFAME!J25)</f>
        <v/>
      </c>
      <c r="J23" s="24"/>
      <c r="K23" s="21" t="str">
        <f>IF(MonthlyFAME!L25=0,"",MonthlyFAME!L25)</f>
        <v/>
      </c>
      <c r="L23" s="21" t="str">
        <f>IF(MonthlyFAME!M25=0,"",MonthlyFAME!M25)</f>
        <v/>
      </c>
      <c r="M23" s="21" t="str">
        <f>IF(MonthlyFAME!N25=0,"",MonthlyFAME!N25)</f>
        <v/>
      </c>
      <c r="N23" s="21" t="str">
        <f>IF(MonthlyFAME!O25=0,"",MonthlyFAME!O25)</f>
        <v/>
      </c>
      <c r="O23" s="21" t="str">
        <f>IF(MonthlyFAME!P25=0,"",MonthlyFAME!P25)</f>
        <v/>
      </c>
      <c r="P23" s="21" t="str">
        <f>IF(MonthlyFAME!Q25=0,"",MonthlyFAME!Q25)</f>
        <v/>
      </c>
      <c r="Q23" s="21" t="str">
        <f>IF(MonthlyFAME!R25=0,"",MonthlyFAME!R25)</f>
        <v/>
      </c>
      <c r="R23" s="21" t="str">
        <f>IF(MonthlyFAME!S25=0,"",MonthlyFAME!S25)</f>
        <v/>
      </c>
      <c r="S23" s="21" t="str">
        <f>IF(MonthlyFAME!T25=0,"",MonthlyFAME!T25)</f>
        <v/>
      </c>
      <c r="T23" s="21" t="str">
        <f>IF(MonthlyFAME!U25=0,"",MonthlyFAME!U25)</f>
        <v/>
      </c>
    </row>
    <row r="24" spans="1:20" x14ac:dyDescent="0.2">
      <c r="A24" s="23">
        <f>IF(MonthlyFAME!A26=0,"",MonthlyFAME!A26)</f>
        <v>22524</v>
      </c>
      <c r="B24" s="21" t="str">
        <f>IF(MonthlyFAME!B26=0,"",MonthlyFAME!B26)</f>
        <v/>
      </c>
      <c r="C24" s="21">
        <f>IF(MonthlyFAME!C26=0,"",MonthlyFAME!C26)</f>
        <v>41.7</v>
      </c>
      <c r="D24" s="21" t="str">
        <f>IF(MonthlyFAME!D26=0,"",MonthlyFAME!D26)</f>
        <v/>
      </c>
      <c r="E24" s="21" t="str">
        <f>IF(MonthlyFAME!F26=0,"",MonthlyFAME!F26)</f>
        <v/>
      </c>
      <c r="F24" s="21" t="str">
        <f>IF(MonthlyFAME!G26=0,"",MonthlyFAME!G26)</f>
        <v/>
      </c>
      <c r="G24" s="21" t="str">
        <f>IF(MonthlyFAME!H26=0,"",MonthlyFAME!H26)</f>
        <v/>
      </c>
      <c r="H24" s="21" t="str">
        <f>IF(MonthlyFAME!I26=0,"",MonthlyFAME!I26)</f>
        <v/>
      </c>
      <c r="I24" s="21" t="str">
        <f>IF(MonthlyFAME!J26=0,"",MonthlyFAME!J26)</f>
        <v/>
      </c>
      <c r="J24" s="24"/>
      <c r="K24" s="21" t="str">
        <f>IF(MonthlyFAME!L26=0,"",MonthlyFAME!L26)</f>
        <v/>
      </c>
      <c r="L24" s="21" t="str">
        <f>IF(MonthlyFAME!M26=0,"",MonthlyFAME!M26)</f>
        <v/>
      </c>
      <c r="M24" s="21" t="str">
        <f>IF(MonthlyFAME!N26=0,"",MonthlyFAME!N26)</f>
        <v/>
      </c>
      <c r="N24" s="21" t="str">
        <f>IF(MonthlyFAME!O26=0,"",MonthlyFAME!O26)</f>
        <v/>
      </c>
      <c r="O24" s="21" t="str">
        <f>IF(MonthlyFAME!P26=0,"",MonthlyFAME!P26)</f>
        <v/>
      </c>
      <c r="P24" s="21" t="str">
        <f>IF(MonthlyFAME!Q26=0,"",MonthlyFAME!Q26)</f>
        <v/>
      </c>
      <c r="Q24" s="21" t="str">
        <f>IF(MonthlyFAME!R26=0,"",MonthlyFAME!R26)</f>
        <v/>
      </c>
      <c r="R24" s="21" t="str">
        <f>IF(MonthlyFAME!S26=0,"",MonthlyFAME!S26)</f>
        <v/>
      </c>
      <c r="S24" s="21" t="str">
        <f>IF(MonthlyFAME!T26=0,"",MonthlyFAME!T26)</f>
        <v/>
      </c>
      <c r="T24" s="21" t="str">
        <f>IF(MonthlyFAME!U26=0,"",MonthlyFAME!U26)</f>
        <v/>
      </c>
    </row>
    <row r="25" spans="1:20" x14ac:dyDescent="0.2">
      <c r="A25" s="23">
        <f>IF(MonthlyFAME!A27=0,"",MonthlyFAME!A27)</f>
        <v>22554</v>
      </c>
      <c r="B25" s="21" t="str">
        <f>IF(MonthlyFAME!B27=0,"",MonthlyFAME!B27)</f>
        <v/>
      </c>
      <c r="C25" s="21">
        <f>IF(MonthlyFAME!C27=0,"",MonthlyFAME!C27)</f>
        <v>41.6</v>
      </c>
      <c r="D25" s="21" t="str">
        <f>IF(MonthlyFAME!D27=0,"",MonthlyFAME!D27)</f>
        <v/>
      </c>
      <c r="E25" s="21" t="str">
        <f>IF(MonthlyFAME!F27=0,"",MonthlyFAME!F27)</f>
        <v/>
      </c>
      <c r="F25" s="21" t="str">
        <f>IF(MonthlyFAME!G27=0,"",MonthlyFAME!G27)</f>
        <v/>
      </c>
      <c r="G25" s="21" t="str">
        <f>IF(MonthlyFAME!H27=0,"",MonthlyFAME!H27)</f>
        <v/>
      </c>
      <c r="H25" s="21" t="str">
        <f>IF(MonthlyFAME!I27=0,"",MonthlyFAME!I27)</f>
        <v/>
      </c>
      <c r="I25" s="21" t="str">
        <f>IF(MonthlyFAME!J27=0,"",MonthlyFAME!J27)</f>
        <v/>
      </c>
      <c r="J25" s="24"/>
      <c r="K25" s="21" t="str">
        <f>IF(MonthlyFAME!L27=0,"",MonthlyFAME!L27)</f>
        <v/>
      </c>
      <c r="L25" s="21" t="str">
        <f>IF(MonthlyFAME!M27=0,"",MonthlyFAME!M27)</f>
        <v/>
      </c>
      <c r="M25" s="21" t="str">
        <f>IF(MonthlyFAME!N27=0,"",MonthlyFAME!N27)</f>
        <v/>
      </c>
      <c r="N25" s="21" t="str">
        <f>IF(MonthlyFAME!O27=0,"",MonthlyFAME!O27)</f>
        <v/>
      </c>
      <c r="O25" s="21" t="str">
        <f>IF(MonthlyFAME!P27=0,"",MonthlyFAME!P27)</f>
        <v/>
      </c>
      <c r="P25" s="21" t="str">
        <f>IF(MonthlyFAME!Q27=0,"",MonthlyFAME!Q27)</f>
        <v/>
      </c>
      <c r="Q25" s="21" t="str">
        <f>IF(MonthlyFAME!R27=0,"",MonthlyFAME!R27)</f>
        <v/>
      </c>
      <c r="R25" s="21" t="str">
        <f>IF(MonthlyFAME!S27=0,"",MonthlyFAME!S27)</f>
        <v/>
      </c>
      <c r="S25" s="21" t="str">
        <f>IF(MonthlyFAME!T27=0,"",MonthlyFAME!T27)</f>
        <v/>
      </c>
      <c r="T25" s="21" t="str">
        <f>IF(MonthlyFAME!U27=0,"",MonthlyFAME!U27)</f>
        <v/>
      </c>
    </row>
    <row r="26" spans="1:20" x14ac:dyDescent="0.2">
      <c r="A26" s="23">
        <f>IF(MonthlyFAME!A28=0,"",MonthlyFAME!A28)</f>
        <v>22585</v>
      </c>
      <c r="B26" s="21" t="str">
        <f>IF(MonthlyFAME!B28=0,"",MonthlyFAME!B28)</f>
        <v/>
      </c>
      <c r="C26" s="21">
        <f>IF(MonthlyFAME!C28=0,"",MonthlyFAME!C28)</f>
        <v>41.5</v>
      </c>
      <c r="D26" s="21" t="str">
        <f>IF(MonthlyFAME!D28=0,"",MonthlyFAME!D28)</f>
        <v/>
      </c>
      <c r="E26" s="21" t="str">
        <f>IF(MonthlyFAME!F28=0,"",MonthlyFAME!F28)</f>
        <v/>
      </c>
      <c r="F26" s="21" t="str">
        <f>IF(MonthlyFAME!G28=0,"",MonthlyFAME!G28)</f>
        <v/>
      </c>
      <c r="G26" s="21" t="str">
        <f>IF(MonthlyFAME!H28=0,"",MonthlyFAME!H28)</f>
        <v/>
      </c>
      <c r="H26" s="21" t="str">
        <f>IF(MonthlyFAME!I28=0,"",MonthlyFAME!I28)</f>
        <v/>
      </c>
      <c r="I26" s="21" t="str">
        <f>IF(MonthlyFAME!J28=0,"",MonthlyFAME!J28)</f>
        <v/>
      </c>
      <c r="J26" s="24"/>
      <c r="K26" s="21" t="str">
        <f>IF(MonthlyFAME!L28=0,"",MonthlyFAME!L28)</f>
        <v/>
      </c>
      <c r="L26" s="21" t="str">
        <f>IF(MonthlyFAME!M28=0,"",MonthlyFAME!M28)</f>
        <v/>
      </c>
      <c r="M26" s="21" t="str">
        <f>IF(MonthlyFAME!N28=0,"",MonthlyFAME!N28)</f>
        <v/>
      </c>
      <c r="N26" s="21" t="str">
        <f>IF(MonthlyFAME!O28=0,"",MonthlyFAME!O28)</f>
        <v/>
      </c>
      <c r="O26" s="21" t="str">
        <f>IF(MonthlyFAME!P28=0,"",MonthlyFAME!P28)</f>
        <v/>
      </c>
      <c r="P26" s="21" t="str">
        <f>IF(MonthlyFAME!Q28=0,"",MonthlyFAME!Q28)</f>
        <v/>
      </c>
      <c r="Q26" s="21" t="str">
        <f>IF(MonthlyFAME!R28=0,"",MonthlyFAME!R28)</f>
        <v/>
      </c>
      <c r="R26" s="21" t="str">
        <f>IF(MonthlyFAME!S28=0,"",MonthlyFAME!S28)</f>
        <v/>
      </c>
      <c r="S26" s="21" t="str">
        <f>IF(MonthlyFAME!T28=0,"",MonthlyFAME!T28)</f>
        <v/>
      </c>
      <c r="T26" s="21" t="str">
        <f>IF(MonthlyFAME!U28=0,"",MonthlyFAME!U28)</f>
        <v/>
      </c>
    </row>
    <row r="27" spans="1:20" x14ac:dyDescent="0.2">
      <c r="A27" s="23">
        <f>IF(MonthlyFAME!A29=0,"",MonthlyFAME!A29)</f>
        <v>22615</v>
      </c>
      <c r="B27" s="21" t="str">
        <f>IF(MonthlyFAME!B29=0,"",MonthlyFAME!B29)</f>
        <v/>
      </c>
      <c r="C27" s="21">
        <f>IF(MonthlyFAME!C29=0,"",MonthlyFAME!C29)</f>
        <v>41.5</v>
      </c>
      <c r="D27" s="21" t="str">
        <f>IF(MonthlyFAME!D29=0,"",MonthlyFAME!D29)</f>
        <v/>
      </c>
      <c r="E27" s="21" t="str">
        <f>IF(MonthlyFAME!F29=0,"",MonthlyFAME!F29)</f>
        <v/>
      </c>
      <c r="F27" s="21" t="str">
        <f>IF(MonthlyFAME!G29=0,"",MonthlyFAME!G29)</f>
        <v/>
      </c>
      <c r="G27" s="21" t="str">
        <f>IF(MonthlyFAME!H29=0,"",MonthlyFAME!H29)</f>
        <v/>
      </c>
      <c r="H27" s="21" t="str">
        <f>IF(MonthlyFAME!I29=0,"",MonthlyFAME!I29)</f>
        <v/>
      </c>
      <c r="I27" s="21" t="str">
        <f>IF(MonthlyFAME!J29=0,"",MonthlyFAME!J29)</f>
        <v/>
      </c>
      <c r="J27" s="24"/>
      <c r="K27" s="21" t="str">
        <f>IF(MonthlyFAME!L29=0,"",MonthlyFAME!L29)</f>
        <v/>
      </c>
      <c r="L27" s="21" t="str">
        <f>IF(MonthlyFAME!M29=0,"",MonthlyFAME!M29)</f>
        <v/>
      </c>
      <c r="M27" s="21" t="str">
        <f>IF(MonthlyFAME!N29=0,"",MonthlyFAME!N29)</f>
        <v/>
      </c>
      <c r="N27" s="21" t="str">
        <f>IF(MonthlyFAME!O29=0,"",MonthlyFAME!O29)</f>
        <v/>
      </c>
      <c r="O27" s="21" t="str">
        <f>IF(MonthlyFAME!P29=0,"",MonthlyFAME!P29)</f>
        <v/>
      </c>
      <c r="P27" s="21" t="str">
        <f>IF(MonthlyFAME!Q29=0,"",MonthlyFAME!Q29)</f>
        <v/>
      </c>
      <c r="Q27" s="21" t="str">
        <f>IF(MonthlyFAME!R29=0,"",MonthlyFAME!R29)</f>
        <v/>
      </c>
      <c r="R27" s="21" t="str">
        <f>IF(MonthlyFAME!S29=0,"",MonthlyFAME!S29)</f>
        <v/>
      </c>
      <c r="S27" s="21" t="str">
        <f>IF(MonthlyFAME!T29=0,"",MonthlyFAME!T29)</f>
        <v/>
      </c>
      <c r="T27" s="21" t="str">
        <f>IF(MonthlyFAME!U29=0,"",MonthlyFAME!U29)</f>
        <v/>
      </c>
    </row>
    <row r="28" spans="1:20" x14ac:dyDescent="0.2">
      <c r="A28" s="23">
        <f>IF(MonthlyFAME!A30=0,"",MonthlyFAME!A30)</f>
        <v>22646</v>
      </c>
      <c r="B28" s="21" t="str">
        <f>IF(MonthlyFAME!B30=0,"",MonthlyFAME!B30)</f>
        <v/>
      </c>
      <c r="C28" s="21">
        <f>IF(MonthlyFAME!C30=0,"",MonthlyFAME!C30)</f>
        <v>41.4</v>
      </c>
      <c r="D28" s="21" t="str">
        <f>IF(MonthlyFAME!D30=0,"",MonthlyFAME!D30)</f>
        <v/>
      </c>
      <c r="E28" s="21" t="str">
        <f>IF(MonthlyFAME!F30=0,"",MonthlyFAME!F30)</f>
        <v/>
      </c>
      <c r="F28" s="21" t="str">
        <f>IF(MonthlyFAME!G30=0,"",MonthlyFAME!G30)</f>
        <v/>
      </c>
      <c r="G28" s="21" t="str">
        <f>IF(MonthlyFAME!H30=0,"",MonthlyFAME!H30)</f>
        <v/>
      </c>
      <c r="H28" s="21" t="str">
        <f>IF(MonthlyFAME!I30=0,"",MonthlyFAME!I30)</f>
        <v/>
      </c>
      <c r="I28" s="21" t="str">
        <f>IF(MonthlyFAME!J30=0,"",MonthlyFAME!J30)</f>
        <v/>
      </c>
      <c r="J28" s="24"/>
      <c r="K28" s="21" t="str">
        <f>IF(MonthlyFAME!L30=0,"",MonthlyFAME!L30)</f>
        <v/>
      </c>
      <c r="L28" s="21" t="str">
        <f>IF(MonthlyFAME!M30=0,"",MonthlyFAME!M30)</f>
        <v/>
      </c>
      <c r="M28" s="21" t="str">
        <f>IF(MonthlyFAME!N30=0,"",MonthlyFAME!N30)</f>
        <v/>
      </c>
      <c r="N28" s="21" t="str">
        <f>IF(MonthlyFAME!O30=0,"",MonthlyFAME!O30)</f>
        <v/>
      </c>
      <c r="O28" s="21" t="str">
        <f>IF(MonthlyFAME!P30=0,"",MonthlyFAME!P30)</f>
        <v/>
      </c>
      <c r="P28" s="21" t="str">
        <f>IF(MonthlyFAME!Q30=0,"",MonthlyFAME!Q30)</f>
        <v/>
      </c>
      <c r="Q28" s="21" t="str">
        <f>IF(MonthlyFAME!R30=0,"",MonthlyFAME!R30)</f>
        <v/>
      </c>
      <c r="R28" s="21" t="str">
        <f>IF(MonthlyFAME!S30=0,"",MonthlyFAME!S30)</f>
        <v/>
      </c>
      <c r="S28" s="21" t="str">
        <f>IF(MonthlyFAME!T30=0,"",MonthlyFAME!T30)</f>
        <v/>
      </c>
      <c r="T28" s="21" t="str">
        <f>IF(MonthlyFAME!U30=0,"",MonthlyFAME!U30)</f>
        <v/>
      </c>
    </row>
    <row r="29" spans="1:20" x14ac:dyDescent="0.2">
      <c r="A29" s="23">
        <f>IF(MonthlyFAME!A31=0,"",MonthlyFAME!A31)</f>
        <v>22677</v>
      </c>
      <c r="B29" s="21" t="str">
        <f>IF(MonthlyFAME!B31=0,"",MonthlyFAME!B31)</f>
        <v/>
      </c>
      <c r="C29" s="21">
        <f>IF(MonthlyFAME!C31=0,"",MonthlyFAME!C31)</f>
        <v>41.4</v>
      </c>
      <c r="D29" s="21" t="str">
        <f>IF(MonthlyFAME!D31=0,"",MonthlyFAME!D31)</f>
        <v/>
      </c>
      <c r="E29" s="21" t="str">
        <f>IF(MonthlyFAME!F31=0,"",MonthlyFAME!F31)</f>
        <v/>
      </c>
      <c r="F29" s="21" t="str">
        <f>IF(MonthlyFAME!G31=0,"",MonthlyFAME!G31)</f>
        <v/>
      </c>
      <c r="G29" s="21" t="str">
        <f>IF(MonthlyFAME!H31=0,"",MonthlyFAME!H31)</f>
        <v/>
      </c>
      <c r="H29" s="21" t="str">
        <f>IF(MonthlyFAME!I31=0,"",MonthlyFAME!I31)</f>
        <v/>
      </c>
      <c r="I29" s="21" t="str">
        <f>IF(MonthlyFAME!J31=0,"",MonthlyFAME!J31)</f>
        <v/>
      </c>
      <c r="J29" s="24"/>
      <c r="K29" s="21" t="str">
        <f>IF(MonthlyFAME!L31=0,"",MonthlyFAME!L31)</f>
        <v/>
      </c>
      <c r="L29" s="21" t="str">
        <f>IF(MonthlyFAME!M31=0,"",MonthlyFAME!M31)</f>
        <v/>
      </c>
      <c r="M29" s="21" t="str">
        <f>IF(MonthlyFAME!N31=0,"",MonthlyFAME!N31)</f>
        <v/>
      </c>
      <c r="N29" s="21" t="str">
        <f>IF(MonthlyFAME!O31=0,"",MonthlyFAME!O31)</f>
        <v/>
      </c>
      <c r="O29" s="21" t="str">
        <f>IF(MonthlyFAME!P31=0,"",MonthlyFAME!P31)</f>
        <v/>
      </c>
      <c r="P29" s="21" t="str">
        <f>IF(MonthlyFAME!Q31=0,"",MonthlyFAME!Q31)</f>
        <v/>
      </c>
      <c r="Q29" s="21" t="str">
        <f>IF(MonthlyFAME!R31=0,"",MonthlyFAME!R31)</f>
        <v/>
      </c>
      <c r="R29" s="21" t="str">
        <f>IF(MonthlyFAME!S31=0,"",MonthlyFAME!S31)</f>
        <v/>
      </c>
      <c r="S29" s="21" t="str">
        <f>IF(MonthlyFAME!T31=0,"",MonthlyFAME!T31)</f>
        <v/>
      </c>
      <c r="T29" s="21" t="str">
        <f>IF(MonthlyFAME!U31=0,"",MonthlyFAME!U31)</f>
        <v/>
      </c>
    </row>
    <row r="30" spans="1:20" x14ac:dyDescent="0.2">
      <c r="A30" s="23">
        <f>IF(MonthlyFAME!A32=0,"",MonthlyFAME!A32)</f>
        <v>22705</v>
      </c>
      <c r="B30" s="21" t="str">
        <f>IF(MonthlyFAME!B32=0,"",MonthlyFAME!B32)</f>
        <v/>
      </c>
      <c r="C30" s="21">
        <f>IF(MonthlyFAME!C32=0,"",MonthlyFAME!C32)</f>
        <v>41.4</v>
      </c>
      <c r="D30" s="21" t="str">
        <f>IF(MonthlyFAME!D32=0,"",MonthlyFAME!D32)</f>
        <v/>
      </c>
      <c r="E30" s="21" t="str">
        <f>IF(MonthlyFAME!F32=0,"",MonthlyFAME!F32)</f>
        <v/>
      </c>
      <c r="F30" s="21" t="str">
        <f>IF(MonthlyFAME!G32=0,"",MonthlyFAME!G32)</f>
        <v/>
      </c>
      <c r="G30" s="21" t="str">
        <f>IF(MonthlyFAME!H32=0,"",MonthlyFAME!H32)</f>
        <v/>
      </c>
      <c r="H30" s="21" t="str">
        <f>IF(MonthlyFAME!I32=0,"",MonthlyFAME!I32)</f>
        <v/>
      </c>
      <c r="I30" s="21" t="str">
        <f>IF(MonthlyFAME!J32=0,"",MonthlyFAME!J32)</f>
        <v/>
      </c>
      <c r="J30" s="24"/>
      <c r="K30" s="21" t="str">
        <f>IF(MonthlyFAME!L32=0,"",MonthlyFAME!L32)</f>
        <v/>
      </c>
      <c r="L30" s="21" t="str">
        <f>IF(MonthlyFAME!M32=0,"",MonthlyFAME!M32)</f>
        <v/>
      </c>
      <c r="M30" s="21" t="str">
        <f>IF(MonthlyFAME!N32=0,"",MonthlyFAME!N32)</f>
        <v/>
      </c>
      <c r="N30" s="21" t="str">
        <f>IF(MonthlyFAME!O32=0,"",MonthlyFAME!O32)</f>
        <v/>
      </c>
      <c r="O30" s="21" t="str">
        <f>IF(MonthlyFAME!P32=0,"",MonthlyFAME!P32)</f>
        <v/>
      </c>
      <c r="P30" s="21" t="str">
        <f>IF(MonthlyFAME!Q32=0,"",MonthlyFAME!Q32)</f>
        <v/>
      </c>
      <c r="Q30" s="21" t="str">
        <f>IF(MonthlyFAME!R32=0,"",MonthlyFAME!R32)</f>
        <v/>
      </c>
      <c r="R30" s="21" t="str">
        <f>IF(MonthlyFAME!S32=0,"",MonthlyFAME!S32)</f>
        <v/>
      </c>
      <c r="S30" s="21" t="str">
        <f>IF(MonthlyFAME!T32=0,"",MonthlyFAME!T32)</f>
        <v/>
      </c>
      <c r="T30" s="21" t="str">
        <f>IF(MonthlyFAME!U32=0,"",MonthlyFAME!U32)</f>
        <v/>
      </c>
    </row>
    <row r="31" spans="1:20" x14ac:dyDescent="0.2">
      <c r="A31" s="23">
        <f>IF(MonthlyFAME!A33=0,"",MonthlyFAME!A33)</f>
        <v>22736</v>
      </c>
      <c r="B31" s="21" t="str">
        <f>IF(MonthlyFAME!B33=0,"",MonthlyFAME!B33)</f>
        <v/>
      </c>
      <c r="C31" s="21">
        <f>IF(MonthlyFAME!C33=0,"",MonthlyFAME!C33)</f>
        <v>41.6</v>
      </c>
      <c r="D31" s="21" t="str">
        <f>IF(MonthlyFAME!D33=0,"",MonthlyFAME!D33)</f>
        <v/>
      </c>
      <c r="E31" s="21" t="str">
        <f>IF(MonthlyFAME!F33=0,"",MonthlyFAME!F33)</f>
        <v/>
      </c>
      <c r="F31" s="21" t="str">
        <f>IF(MonthlyFAME!G33=0,"",MonthlyFAME!G33)</f>
        <v/>
      </c>
      <c r="G31" s="21" t="str">
        <f>IF(MonthlyFAME!H33=0,"",MonthlyFAME!H33)</f>
        <v/>
      </c>
      <c r="H31" s="21" t="str">
        <f>IF(MonthlyFAME!I33=0,"",MonthlyFAME!I33)</f>
        <v/>
      </c>
      <c r="I31" s="21" t="str">
        <f>IF(MonthlyFAME!J33=0,"",MonthlyFAME!J33)</f>
        <v/>
      </c>
      <c r="J31" s="24"/>
      <c r="K31" s="21" t="str">
        <f>IF(MonthlyFAME!L33=0,"",MonthlyFAME!L33)</f>
        <v/>
      </c>
      <c r="L31" s="21" t="str">
        <f>IF(MonthlyFAME!M33=0,"",MonthlyFAME!M33)</f>
        <v/>
      </c>
      <c r="M31" s="21" t="str">
        <f>IF(MonthlyFAME!N33=0,"",MonthlyFAME!N33)</f>
        <v/>
      </c>
      <c r="N31" s="21" t="str">
        <f>IF(MonthlyFAME!O33=0,"",MonthlyFAME!O33)</f>
        <v/>
      </c>
      <c r="O31" s="21" t="str">
        <f>IF(MonthlyFAME!P33=0,"",MonthlyFAME!P33)</f>
        <v/>
      </c>
      <c r="P31" s="21" t="str">
        <f>IF(MonthlyFAME!Q33=0,"",MonthlyFAME!Q33)</f>
        <v/>
      </c>
      <c r="Q31" s="21" t="str">
        <f>IF(MonthlyFAME!R33=0,"",MonthlyFAME!R33)</f>
        <v/>
      </c>
      <c r="R31" s="21" t="str">
        <f>IF(MonthlyFAME!S33=0,"",MonthlyFAME!S33)</f>
        <v/>
      </c>
      <c r="S31" s="21" t="str">
        <f>IF(MonthlyFAME!T33=0,"",MonthlyFAME!T33)</f>
        <v/>
      </c>
      <c r="T31" s="21" t="str">
        <f>IF(MonthlyFAME!U33=0,"",MonthlyFAME!U33)</f>
        <v/>
      </c>
    </row>
    <row r="32" spans="1:20" x14ac:dyDescent="0.2">
      <c r="A32" s="23">
        <f>IF(MonthlyFAME!A34=0,"",MonthlyFAME!A34)</f>
        <v>22766</v>
      </c>
      <c r="B32" s="21" t="str">
        <f>IF(MonthlyFAME!B34=0,"",MonthlyFAME!B34)</f>
        <v/>
      </c>
      <c r="C32" s="21">
        <f>IF(MonthlyFAME!C34=0,"",MonthlyFAME!C34)</f>
        <v>41.9</v>
      </c>
      <c r="D32" s="21" t="str">
        <f>IF(MonthlyFAME!D34=0,"",MonthlyFAME!D34)</f>
        <v/>
      </c>
      <c r="E32" s="21" t="str">
        <f>IF(MonthlyFAME!F34=0,"",MonthlyFAME!F34)</f>
        <v/>
      </c>
      <c r="F32" s="21" t="str">
        <f>IF(MonthlyFAME!G34=0,"",MonthlyFAME!G34)</f>
        <v/>
      </c>
      <c r="G32" s="21" t="str">
        <f>IF(MonthlyFAME!H34=0,"",MonthlyFAME!H34)</f>
        <v/>
      </c>
      <c r="H32" s="21" t="str">
        <f>IF(MonthlyFAME!I34=0,"",MonthlyFAME!I34)</f>
        <v/>
      </c>
      <c r="I32" s="21" t="str">
        <f>IF(MonthlyFAME!J34=0,"",MonthlyFAME!J34)</f>
        <v/>
      </c>
      <c r="J32" s="24"/>
      <c r="K32" s="21" t="str">
        <f>IF(MonthlyFAME!L34=0,"",MonthlyFAME!L34)</f>
        <v/>
      </c>
      <c r="L32" s="21" t="str">
        <f>IF(MonthlyFAME!M34=0,"",MonthlyFAME!M34)</f>
        <v/>
      </c>
      <c r="M32" s="21" t="str">
        <f>IF(MonthlyFAME!N34=0,"",MonthlyFAME!N34)</f>
        <v/>
      </c>
      <c r="N32" s="21" t="str">
        <f>IF(MonthlyFAME!O34=0,"",MonthlyFAME!O34)</f>
        <v/>
      </c>
      <c r="O32" s="21" t="str">
        <f>IF(MonthlyFAME!P34=0,"",MonthlyFAME!P34)</f>
        <v/>
      </c>
      <c r="P32" s="21" t="str">
        <f>IF(MonthlyFAME!Q34=0,"",MonthlyFAME!Q34)</f>
        <v/>
      </c>
      <c r="Q32" s="21" t="str">
        <f>IF(MonthlyFAME!R34=0,"",MonthlyFAME!R34)</f>
        <v/>
      </c>
      <c r="R32" s="21" t="str">
        <f>IF(MonthlyFAME!S34=0,"",MonthlyFAME!S34)</f>
        <v/>
      </c>
      <c r="S32" s="21" t="str">
        <f>IF(MonthlyFAME!T34=0,"",MonthlyFAME!T34)</f>
        <v/>
      </c>
      <c r="T32" s="21" t="str">
        <f>IF(MonthlyFAME!U34=0,"",MonthlyFAME!U34)</f>
        <v/>
      </c>
    </row>
    <row r="33" spans="1:20" x14ac:dyDescent="0.2">
      <c r="A33" s="23">
        <f>IF(MonthlyFAME!A35=0,"",MonthlyFAME!A35)</f>
        <v>22797</v>
      </c>
      <c r="B33" s="21" t="str">
        <f>IF(MonthlyFAME!B35=0,"",MonthlyFAME!B35)</f>
        <v/>
      </c>
      <c r="C33" s="21">
        <f>IF(MonthlyFAME!C35=0,"",MonthlyFAME!C35)</f>
        <v>42.2</v>
      </c>
      <c r="D33" s="21" t="str">
        <f>IF(MonthlyFAME!D35=0,"",MonthlyFAME!D35)</f>
        <v/>
      </c>
      <c r="E33" s="21" t="str">
        <f>IF(MonthlyFAME!F35=0,"",MonthlyFAME!F35)</f>
        <v/>
      </c>
      <c r="F33" s="21" t="str">
        <f>IF(MonthlyFAME!G35=0,"",MonthlyFAME!G35)</f>
        <v/>
      </c>
      <c r="G33" s="21" t="str">
        <f>IF(MonthlyFAME!H35=0,"",MonthlyFAME!H35)</f>
        <v/>
      </c>
      <c r="H33" s="21" t="str">
        <f>IF(MonthlyFAME!I35=0,"",MonthlyFAME!I35)</f>
        <v/>
      </c>
      <c r="I33" s="21" t="str">
        <f>IF(MonthlyFAME!J35=0,"",MonthlyFAME!J35)</f>
        <v/>
      </c>
      <c r="J33" s="24"/>
      <c r="K33" s="21" t="str">
        <f>IF(MonthlyFAME!L35=0,"",MonthlyFAME!L35)</f>
        <v/>
      </c>
      <c r="L33" s="21" t="str">
        <f>IF(MonthlyFAME!M35=0,"",MonthlyFAME!M35)</f>
        <v/>
      </c>
      <c r="M33" s="21" t="str">
        <f>IF(MonthlyFAME!N35=0,"",MonthlyFAME!N35)</f>
        <v/>
      </c>
      <c r="N33" s="21" t="str">
        <f>IF(MonthlyFAME!O35=0,"",MonthlyFAME!O35)</f>
        <v/>
      </c>
      <c r="O33" s="21" t="str">
        <f>IF(MonthlyFAME!P35=0,"",MonthlyFAME!P35)</f>
        <v/>
      </c>
      <c r="P33" s="21" t="str">
        <f>IF(MonthlyFAME!Q35=0,"",MonthlyFAME!Q35)</f>
        <v/>
      </c>
      <c r="Q33" s="21" t="str">
        <f>IF(MonthlyFAME!R35=0,"",MonthlyFAME!R35)</f>
        <v/>
      </c>
      <c r="R33" s="21" t="str">
        <f>IF(MonthlyFAME!S35=0,"",MonthlyFAME!S35)</f>
        <v/>
      </c>
      <c r="S33" s="21" t="str">
        <f>IF(MonthlyFAME!T35=0,"",MonthlyFAME!T35)</f>
        <v/>
      </c>
      <c r="T33" s="21" t="str">
        <f>IF(MonthlyFAME!U35=0,"",MonthlyFAME!U35)</f>
        <v/>
      </c>
    </row>
    <row r="34" spans="1:20" x14ac:dyDescent="0.2">
      <c r="A34" s="23">
        <f>IF(MonthlyFAME!A36=0,"",MonthlyFAME!A36)</f>
        <v>22827</v>
      </c>
      <c r="B34" s="21" t="str">
        <f>IF(MonthlyFAME!B36=0,"",MonthlyFAME!B36)</f>
        <v/>
      </c>
      <c r="C34" s="21">
        <f>IF(MonthlyFAME!C36=0,"",MonthlyFAME!C36)</f>
        <v>42.4</v>
      </c>
      <c r="D34" s="21" t="str">
        <f>IF(MonthlyFAME!D36=0,"",MonthlyFAME!D36)</f>
        <v/>
      </c>
      <c r="E34" s="21" t="str">
        <f>IF(MonthlyFAME!F36=0,"",MonthlyFAME!F36)</f>
        <v/>
      </c>
      <c r="F34" s="21" t="str">
        <f>IF(MonthlyFAME!G36=0,"",MonthlyFAME!G36)</f>
        <v/>
      </c>
      <c r="G34" s="21" t="str">
        <f>IF(MonthlyFAME!H36=0,"",MonthlyFAME!H36)</f>
        <v/>
      </c>
      <c r="H34" s="21" t="str">
        <f>IF(MonthlyFAME!I36=0,"",MonthlyFAME!I36)</f>
        <v/>
      </c>
      <c r="I34" s="21" t="str">
        <f>IF(MonthlyFAME!J36=0,"",MonthlyFAME!J36)</f>
        <v/>
      </c>
      <c r="J34" s="24"/>
      <c r="K34" s="21" t="str">
        <f>IF(MonthlyFAME!L36=0,"",MonthlyFAME!L36)</f>
        <v/>
      </c>
      <c r="L34" s="21" t="str">
        <f>IF(MonthlyFAME!M36=0,"",MonthlyFAME!M36)</f>
        <v/>
      </c>
      <c r="M34" s="21" t="str">
        <f>IF(MonthlyFAME!N36=0,"",MonthlyFAME!N36)</f>
        <v/>
      </c>
      <c r="N34" s="21" t="str">
        <f>IF(MonthlyFAME!O36=0,"",MonthlyFAME!O36)</f>
        <v/>
      </c>
      <c r="O34" s="21" t="str">
        <f>IF(MonthlyFAME!P36=0,"",MonthlyFAME!P36)</f>
        <v/>
      </c>
      <c r="P34" s="21" t="str">
        <f>IF(MonthlyFAME!Q36=0,"",MonthlyFAME!Q36)</f>
        <v/>
      </c>
      <c r="Q34" s="21" t="str">
        <f>IF(MonthlyFAME!R36=0,"",MonthlyFAME!R36)</f>
        <v/>
      </c>
      <c r="R34" s="21" t="str">
        <f>IF(MonthlyFAME!S36=0,"",MonthlyFAME!S36)</f>
        <v/>
      </c>
      <c r="S34" s="21" t="str">
        <f>IF(MonthlyFAME!T36=0,"",MonthlyFAME!T36)</f>
        <v/>
      </c>
      <c r="T34" s="21" t="str">
        <f>IF(MonthlyFAME!U36=0,"",MonthlyFAME!U36)</f>
        <v/>
      </c>
    </row>
    <row r="35" spans="1:20" x14ac:dyDescent="0.2">
      <c r="A35" s="23">
        <f>IF(MonthlyFAME!A37=0,"",MonthlyFAME!A37)</f>
        <v>22858</v>
      </c>
      <c r="B35" s="21" t="str">
        <f>IF(MonthlyFAME!B37=0,"",MonthlyFAME!B37)</f>
        <v/>
      </c>
      <c r="C35" s="21">
        <f>IF(MonthlyFAME!C37=0,"",MonthlyFAME!C37)</f>
        <v>42.4</v>
      </c>
      <c r="D35" s="21" t="str">
        <f>IF(MonthlyFAME!D37=0,"",MonthlyFAME!D37)</f>
        <v/>
      </c>
      <c r="E35" s="21" t="str">
        <f>IF(MonthlyFAME!F37=0,"",MonthlyFAME!F37)</f>
        <v/>
      </c>
      <c r="F35" s="21" t="str">
        <f>IF(MonthlyFAME!G37=0,"",MonthlyFAME!G37)</f>
        <v/>
      </c>
      <c r="G35" s="21" t="str">
        <f>IF(MonthlyFAME!H37=0,"",MonthlyFAME!H37)</f>
        <v/>
      </c>
      <c r="H35" s="21" t="str">
        <f>IF(MonthlyFAME!I37=0,"",MonthlyFAME!I37)</f>
        <v/>
      </c>
      <c r="I35" s="21" t="str">
        <f>IF(MonthlyFAME!J37=0,"",MonthlyFAME!J37)</f>
        <v/>
      </c>
      <c r="J35" s="24"/>
      <c r="K35" s="21" t="str">
        <f>IF(MonthlyFAME!L37=0,"",MonthlyFAME!L37)</f>
        <v/>
      </c>
      <c r="L35" s="21" t="str">
        <f>IF(MonthlyFAME!M37=0,"",MonthlyFAME!M37)</f>
        <v/>
      </c>
      <c r="M35" s="21" t="str">
        <f>IF(MonthlyFAME!N37=0,"",MonthlyFAME!N37)</f>
        <v/>
      </c>
      <c r="N35" s="21" t="str">
        <f>IF(MonthlyFAME!O37=0,"",MonthlyFAME!O37)</f>
        <v/>
      </c>
      <c r="O35" s="21" t="str">
        <f>IF(MonthlyFAME!P37=0,"",MonthlyFAME!P37)</f>
        <v/>
      </c>
      <c r="P35" s="21" t="str">
        <f>IF(MonthlyFAME!Q37=0,"",MonthlyFAME!Q37)</f>
        <v/>
      </c>
      <c r="Q35" s="21" t="str">
        <f>IF(MonthlyFAME!R37=0,"",MonthlyFAME!R37)</f>
        <v/>
      </c>
      <c r="R35" s="21" t="str">
        <f>IF(MonthlyFAME!S37=0,"",MonthlyFAME!S37)</f>
        <v/>
      </c>
      <c r="S35" s="21" t="str">
        <f>IF(MonthlyFAME!T37=0,"",MonthlyFAME!T37)</f>
        <v/>
      </c>
      <c r="T35" s="21" t="str">
        <f>IF(MonthlyFAME!U37=0,"",MonthlyFAME!U37)</f>
        <v/>
      </c>
    </row>
    <row r="36" spans="1:20" x14ac:dyDescent="0.2">
      <c r="A36" s="23">
        <f>IF(MonthlyFAME!A38=0,"",MonthlyFAME!A38)</f>
        <v>22889</v>
      </c>
      <c r="B36" s="21" t="str">
        <f>IF(MonthlyFAME!B38=0,"",MonthlyFAME!B38)</f>
        <v/>
      </c>
      <c r="C36" s="21">
        <f>IF(MonthlyFAME!C38=0,"",MonthlyFAME!C38)</f>
        <v>42.5</v>
      </c>
      <c r="D36" s="21" t="str">
        <f>IF(MonthlyFAME!D38=0,"",MonthlyFAME!D38)</f>
        <v/>
      </c>
      <c r="E36" s="21" t="str">
        <f>IF(MonthlyFAME!F38=0,"",MonthlyFAME!F38)</f>
        <v/>
      </c>
      <c r="F36" s="21" t="str">
        <f>IF(MonthlyFAME!G38=0,"",MonthlyFAME!G38)</f>
        <v/>
      </c>
      <c r="G36" s="21" t="str">
        <f>IF(MonthlyFAME!H38=0,"",MonthlyFAME!H38)</f>
        <v/>
      </c>
      <c r="H36" s="21" t="str">
        <f>IF(MonthlyFAME!I38=0,"",MonthlyFAME!I38)</f>
        <v/>
      </c>
      <c r="I36" s="21" t="str">
        <f>IF(MonthlyFAME!J38=0,"",MonthlyFAME!J38)</f>
        <v/>
      </c>
      <c r="J36" s="24"/>
      <c r="K36" s="21" t="str">
        <f>IF(MonthlyFAME!L38=0,"",MonthlyFAME!L38)</f>
        <v/>
      </c>
      <c r="L36" s="21" t="str">
        <f>IF(MonthlyFAME!M38=0,"",MonthlyFAME!M38)</f>
        <v/>
      </c>
      <c r="M36" s="21" t="str">
        <f>IF(MonthlyFAME!N38=0,"",MonthlyFAME!N38)</f>
        <v/>
      </c>
      <c r="N36" s="21" t="str">
        <f>IF(MonthlyFAME!O38=0,"",MonthlyFAME!O38)</f>
        <v/>
      </c>
      <c r="O36" s="21" t="str">
        <f>IF(MonthlyFAME!P38=0,"",MonthlyFAME!P38)</f>
        <v/>
      </c>
      <c r="P36" s="21" t="str">
        <f>IF(MonthlyFAME!Q38=0,"",MonthlyFAME!Q38)</f>
        <v/>
      </c>
      <c r="Q36" s="21" t="str">
        <f>IF(MonthlyFAME!R38=0,"",MonthlyFAME!R38)</f>
        <v/>
      </c>
      <c r="R36" s="21" t="str">
        <f>IF(MonthlyFAME!S38=0,"",MonthlyFAME!S38)</f>
        <v/>
      </c>
      <c r="S36" s="21" t="str">
        <f>IF(MonthlyFAME!T38=0,"",MonthlyFAME!T38)</f>
        <v/>
      </c>
      <c r="T36" s="21" t="str">
        <f>IF(MonthlyFAME!U38=0,"",MonthlyFAME!U38)</f>
        <v/>
      </c>
    </row>
    <row r="37" spans="1:20" x14ac:dyDescent="0.2">
      <c r="A37" s="23">
        <f>IF(MonthlyFAME!A39=0,"",MonthlyFAME!A39)</f>
        <v>22919</v>
      </c>
      <c r="B37" s="21" t="str">
        <f>IF(MonthlyFAME!B39=0,"",MonthlyFAME!B39)</f>
        <v/>
      </c>
      <c r="C37" s="21">
        <f>IF(MonthlyFAME!C39=0,"",MonthlyFAME!C39)</f>
        <v>42.4</v>
      </c>
      <c r="D37" s="21" t="str">
        <f>IF(MonthlyFAME!D39=0,"",MonthlyFAME!D39)</f>
        <v/>
      </c>
      <c r="E37" s="21" t="str">
        <f>IF(MonthlyFAME!F39=0,"",MonthlyFAME!F39)</f>
        <v/>
      </c>
      <c r="F37" s="21" t="str">
        <f>IF(MonthlyFAME!G39=0,"",MonthlyFAME!G39)</f>
        <v/>
      </c>
      <c r="G37" s="21" t="str">
        <f>IF(MonthlyFAME!H39=0,"",MonthlyFAME!H39)</f>
        <v/>
      </c>
      <c r="H37" s="21" t="str">
        <f>IF(MonthlyFAME!I39=0,"",MonthlyFAME!I39)</f>
        <v/>
      </c>
      <c r="I37" s="21" t="str">
        <f>IF(MonthlyFAME!J39=0,"",MonthlyFAME!J39)</f>
        <v/>
      </c>
      <c r="J37" s="24"/>
      <c r="K37" s="21" t="str">
        <f>IF(MonthlyFAME!L39=0,"",MonthlyFAME!L39)</f>
        <v/>
      </c>
      <c r="L37" s="21" t="str">
        <f>IF(MonthlyFAME!M39=0,"",MonthlyFAME!M39)</f>
        <v/>
      </c>
      <c r="M37" s="21" t="str">
        <f>IF(MonthlyFAME!N39=0,"",MonthlyFAME!N39)</f>
        <v/>
      </c>
      <c r="N37" s="21" t="str">
        <f>IF(MonthlyFAME!O39=0,"",MonthlyFAME!O39)</f>
        <v/>
      </c>
      <c r="O37" s="21" t="str">
        <f>IF(MonthlyFAME!P39=0,"",MonthlyFAME!P39)</f>
        <v/>
      </c>
      <c r="P37" s="21" t="str">
        <f>IF(MonthlyFAME!Q39=0,"",MonthlyFAME!Q39)</f>
        <v/>
      </c>
      <c r="Q37" s="21" t="str">
        <f>IF(MonthlyFAME!R39=0,"",MonthlyFAME!R39)</f>
        <v/>
      </c>
      <c r="R37" s="21" t="str">
        <f>IF(MonthlyFAME!S39=0,"",MonthlyFAME!S39)</f>
        <v/>
      </c>
      <c r="S37" s="21" t="str">
        <f>IF(MonthlyFAME!T39=0,"",MonthlyFAME!T39)</f>
        <v/>
      </c>
      <c r="T37" s="21" t="str">
        <f>IF(MonthlyFAME!U39=0,"",MonthlyFAME!U39)</f>
        <v/>
      </c>
    </row>
    <row r="38" spans="1:20" x14ac:dyDescent="0.2">
      <c r="A38" s="23">
        <f>IF(MonthlyFAME!A40=0,"",MonthlyFAME!A40)</f>
        <v>22950</v>
      </c>
      <c r="B38" s="21" t="str">
        <f>IF(MonthlyFAME!B40=0,"",MonthlyFAME!B40)</f>
        <v/>
      </c>
      <c r="C38" s="21">
        <f>IF(MonthlyFAME!C40=0,"",MonthlyFAME!C40)</f>
        <v>42.2</v>
      </c>
      <c r="D38" s="21" t="str">
        <f>IF(MonthlyFAME!D40=0,"",MonthlyFAME!D40)</f>
        <v/>
      </c>
      <c r="E38" s="21" t="str">
        <f>IF(MonthlyFAME!F40=0,"",MonthlyFAME!F40)</f>
        <v/>
      </c>
      <c r="F38" s="21" t="str">
        <f>IF(MonthlyFAME!G40=0,"",MonthlyFAME!G40)</f>
        <v/>
      </c>
      <c r="G38" s="21" t="str">
        <f>IF(MonthlyFAME!H40=0,"",MonthlyFAME!H40)</f>
        <v/>
      </c>
      <c r="H38" s="21" t="str">
        <f>IF(MonthlyFAME!I40=0,"",MonthlyFAME!I40)</f>
        <v/>
      </c>
      <c r="I38" s="21" t="str">
        <f>IF(MonthlyFAME!J40=0,"",MonthlyFAME!J40)</f>
        <v/>
      </c>
      <c r="J38" s="24"/>
      <c r="K38" s="21" t="str">
        <f>IF(MonthlyFAME!L40=0,"",MonthlyFAME!L40)</f>
        <v/>
      </c>
      <c r="L38" s="21" t="str">
        <f>IF(MonthlyFAME!M40=0,"",MonthlyFAME!M40)</f>
        <v/>
      </c>
      <c r="M38" s="21" t="str">
        <f>IF(MonthlyFAME!N40=0,"",MonthlyFAME!N40)</f>
        <v/>
      </c>
      <c r="N38" s="21" t="str">
        <f>IF(MonthlyFAME!O40=0,"",MonthlyFAME!O40)</f>
        <v/>
      </c>
      <c r="O38" s="21" t="str">
        <f>IF(MonthlyFAME!P40=0,"",MonthlyFAME!P40)</f>
        <v/>
      </c>
      <c r="P38" s="21" t="str">
        <f>IF(MonthlyFAME!Q40=0,"",MonthlyFAME!Q40)</f>
        <v/>
      </c>
      <c r="Q38" s="21" t="str">
        <f>IF(MonthlyFAME!R40=0,"",MonthlyFAME!R40)</f>
        <v/>
      </c>
      <c r="R38" s="21" t="str">
        <f>IF(MonthlyFAME!S40=0,"",MonthlyFAME!S40)</f>
        <v/>
      </c>
      <c r="S38" s="21" t="str">
        <f>IF(MonthlyFAME!T40=0,"",MonthlyFAME!T40)</f>
        <v/>
      </c>
      <c r="T38" s="21" t="str">
        <f>IF(MonthlyFAME!U40=0,"",MonthlyFAME!U40)</f>
        <v/>
      </c>
    </row>
    <row r="39" spans="1:20" x14ac:dyDescent="0.2">
      <c r="A39" s="23">
        <f>IF(MonthlyFAME!A41=0,"",MonthlyFAME!A41)</f>
        <v>22980</v>
      </c>
      <c r="B39" s="21" t="str">
        <f>IF(MonthlyFAME!B41=0,"",MonthlyFAME!B41)</f>
        <v/>
      </c>
      <c r="C39" s="21">
        <f>IF(MonthlyFAME!C41=0,"",MonthlyFAME!C41)</f>
        <v>42</v>
      </c>
      <c r="D39" s="21" t="str">
        <f>IF(MonthlyFAME!D41=0,"",MonthlyFAME!D41)</f>
        <v/>
      </c>
      <c r="E39" s="21" t="str">
        <f>IF(MonthlyFAME!F41=0,"",MonthlyFAME!F41)</f>
        <v/>
      </c>
      <c r="F39" s="21" t="str">
        <f>IF(MonthlyFAME!G41=0,"",MonthlyFAME!G41)</f>
        <v/>
      </c>
      <c r="G39" s="21" t="str">
        <f>IF(MonthlyFAME!H41=0,"",MonthlyFAME!H41)</f>
        <v/>
      </c>
      <c r="H39" s="21" t="str">
        <f>IF(MonthlyFAME!I41=0,"",MonthlyFAME!I41)</f>
        <v/>
      </c>
      <c r="I39" s="21" t="str">
        <f>IF(MonthlyFAME!J41=0,"",MonthlyFAME!J41)</f>
        <v/>
      </c>
      <c r="J39" s="24"/>
      <c r="K39" s="21" t="str">
        <f>IF(MonthlyFAME!L41=0,"",MonthlyFAME!L41)</f>
        <v/>
      </c>
      <c r="L39" s="21" t="str">
        <f>IF(MonthlyFAME!M41=0,"",MonthlyFAME!M41)</f>
        <v/>
      </c>
      <c r="M39" s="21" t="str">
        <f>IF(MonthlyFAME!N41=0,"",MonthlyFAME!N41)</f>
        <v/>
      </c>
      <c r="N39" s="21" t="str">
        <f>IF(MonthlyFAME!O41=0,"",MonthlyFAME!O41)</f>
        <v/>
      </c>
      <c r="O39" s="21" t="str">
        <f>IF(MonthlyFAME!P41=0,"",MonthlyFAME!P41)</f>
        <v/>
      </c>
      <c r="P39" s="21" t="str">
        <f>IF(MonthlyFAME!Q41=0,"",MonthlyFAME!Q41)</f>
        <v/>
      </c>
      <c r="Q39" s="21" t="str">
        <f>IF(MonthlyFAME!R41=0,"",MonthlyFAME!R41)</f>
        <v/>
      </c>
      <c r="R39" s="21" t="str">
        <f>IF(MonthlyFAME!S41=0,"",MonthlyFAME!S41)</f>
        <v/>
      </c>
      <c r="S39" s="21" t="str">
        <f>IF(MonthlyFAME!T41=0,"",MonthlyFAME!T41)</f>
        <v/>
      </c>
      <c r="T39" s="21" t="str">
        <f>IF(MonthlyFAME!U41=0,"",MonthlyFAME!U41)</f>
        <v/>
      </c>
    </row>
    <row r="40" spans="1:20" x14ac:dyDescent="0.2">
      <c r="A40" s="23">
        <f>IF(MonthlyFAME!A42=0,"",MonthlyFAME!A42)</f>
        <v>23011</v>
      </c>
      <c r="B40" s="21" t="str">
        <f>IF(MonthlyFAME!B42=0,"",MonthlyFAME!B42)</f>
        <v/>
      </c>
      <c r="C40" s="21">
        <f>IF(MonthlyFAME!C42=0,"",MonthlyFAME!C42)</f>
        <v>41.7</v>
      </c>
      <c r="D40" s="21" t="str">
        <f>IF(MonthlyFAME!D42=0,"",MonthlyFAME!D42)</f>
        <v/>
      </c>
      <c r="E40" s="21" t="str">
        <f>IF(MonthlyFAME!F42=0,"",MonthlyFAME!F42)</f>
        <v/>
      </c>
      <c r="F40" s="21" t="str">
        <f>IF(MonthlyFAME!G42=0,"",MonthlyFAME!G42)</f>
        <v/>
      </c>
      <c r="G40" s="21" t="str">
        <f>IF(MonthlyFAME!H42=0,"",MonthlyFAME!H42)</f>
        <v/>
      </c>
      <c r="H40" s="21" t="str">
        <f>IF(MonthlyFAME!I42=0,"",MonthlyFAME!I42)</f>
        <v/>
      </c>
      <c r="I40" s="21" t="str">
        <f>IF(MonthlyFAME!J42=0,"",MonthlyFAME!J42)</f>
        <v/>
      </c>
      <c r="J40" s="24"/>
      <c r="K40" s="21" t="str">
        <f>IF(MonthlyFAME!L42=0,"",MonthlyFAME!L42)</f>
        <v/>
      </c>
      <c r="L40" s="21" t="str">
        <f>IF(MonthlyFAME!M42=0,"",MonthlyFAME!M42)</f>
        <v/>
      </c>
      <c r="M40" s="21" t="str">
        <f>IF(MonthlyFAME!N42=0,"",MonthlyFAME!N42)</f>
        <v/>
      </c>
      <c r="N40" s="21" t="str">
        <f>IF(MonthlyFAME!O42=0,"",MonthlyFAME!O42)</f>
        <v/>
      </c>
      <c r="O40" s="21" t="str">
        <f>IF(MonthlyFAME!P42=0,"",MonthlyFAME!P42)</f>
        <v/>
      </c>
      <c r="P40" s="21" t="str">
        <f>IF(MonthlyFAME!Q42=0,"",MonthlyFAME!Q42)</f>
        <v/>
      </c>
      <c r="Q40" s="21" t="str">
        <f>IF(MonthlyFAME!R42=0,"",MonthlyFAME!R42)</f>
        <v/>
      </c>
      <c r="R40" s="21" t="str">
        <f>IF(MonthlyFAME!S42=0,"",MonthlyFAME!S42)</f>
        <v/>
      </c>
      <c r="S40" s="21" t="str">
        <f>IF(MonthlyFAME!T42=0,"",MonthlyFAME!T42)</f>
        <v/>
      </c>
      <c r="T40" s="21" t="str">
        <f>IF(MonthlyFAME!U42=0,"",MonthlyFAME!U42)</f>
        <v/>
      </c>
    </row>
    <row r="41" spans="1:20" x14ac:dyDescent="0.2">
      <c r="A41" s="23">
        <f>IF(MonthlyFAME!A43=0,"",MonthlyFAME!A43)</f>
        <v>23042</v>
      </c>
      <c r="B41" s="21" t="str">
        <f>IF(MonthlyFAME!B43=0,"",MonthlyFAME!B43)</f>
        <v/>
      </c>
      <c r="C41" s="21">
        <f>IF(MonthlyFAME!C43=0,"",MonthlyFAME!C43)</f>
        <v>41.4</v>
      </c>
      <c r="D41" s="21" t="str">
        <f>IF(MonthlyFAME!D43=0,"",MonthlyFAME!D43)</f>
        <v/>
      </c>
      <c r="E41" s="21" t="str">
        <f>IF(MonthlyFAME!F43=0,"",MonthlyFAME!F43)</f>
        <v/>
      </c>
      <c r="F41" s="21" t="str">
        <f>IF(MonthlyFAME!G43=0,"",MonthlyFAME!G43)</f>
        <v/>
      </c>
      <c r="G41" s="21" t="str">
        <f>IF(MonthlyFAME!H43=0,"",MonthlyFAME!H43)</f>
        <v/>
      </c>
      <c r="H41" s="21" t="str">
        <f>IF(MonthlyFAME!I43=0,"",MonthlyFAME!I43)</f>
        <v/>
      </c>
      <c r="I41" s="21" t="str">
        <f>IF(MonthlyFAME!J43=0,"",MonthlyFAME!J43)</f>
        <v/>
      </c>
      <c r="J41" s="24"/>
      <c r="K41" s="21">
        <f>IF(MonthlyFAME!L43=0,"",MonthlyFAME!L43)</f>
        <v>10.557266634756999</v>
      </c>
      <c r="L41" s="21" t="str">
        <f>IF(MonthlyFAME!M43=0,"",MonthlyFAME!M43)</f>
        <v/>
      </c>
      <c r="M41" s="21" t="str">
        <f>IF(MonthlyFAME!N43=0,"",MonthlyFAME!N43)</f>
        <v/>
      </c>
      <c r="N41" s="21" t="str">
        <f>IF(MonthlyFAME!O43=0,"",MonthlyFAME!O43)</f>
        <v/>
      </c>
      <c r="O41" s="21" t="str">
        <f>IF(MonthlyFAME!P43=0,"",MonthlyFAME!P43)</f>
        <v/>
      </c>
      <c r="P41" s="21" t="str">
        <f>IF(MonthlyFAME!Q43=0,"",MonthlyFAME!Q43)</f>
        <v/>
      </c>
      <c r="Q41" s="21" t="str">
        <f>IF(MonthlyFAME!R43=0,"",MonthlyFAME!R43)</f>
        <v/>
      </c>
      <c r="R41" s="21" t="str">
        <f>IF(MonthlyFAME!S43=0,"",MonthlyFAME!S43)</f>
        <v/>
      </c>
      <c r="S41" s="21" t="str">
        <f>IF(MonthlyFAME!T43=0,"",MonthlyFAME!T43)</f>
        <v/>
      </c>
      <c r="T41" s="21" t="str">
        <f>IF(MonthlyFAME!U43=0,"",MonthlyFAME!U43)</f>
        <v/>
      </c>
    </row>
    <row r="42" spans="1:20" x14ac:dyDescent="0.2">
      <c r="A42" s="23">
        <f>IF(MonthlyFAME!A44=0,"",MonthlyFAME!A44)</f>
        <v>23070</v>
      </c>
      <c r="B42" s="21" t="str">
        <f>IF(MonthlyFAME!B44=0,"",MonthlyFAME!B44)</f>
        <v/>
      </c>
      <c r="C42" s="21">
        <f>IF(MonthlyFAME!C44=0,"",MonthlyFAME!C44)</f>
        <v>41.4</v>
      </c>
      <c r="D42" s="21" t="str">
        <f>IF(MonthlyFAME!D44=0,"",MonthlyFAME!D44)</f>
        <v/>
      </c>
      <c r="E42" s="21" t="str">
        <f>IF(MonthlyFAME!F44=0,"",MonthlyFAME!F44)</f>
        <v/>
      </c>
      <c r="F42" s="21" t="str">
        <f>IF(MonthlyFAME!G44=0,"",MonthlyFAME!G44)</f>
        <v/>
      </c>
      <c r="G42" s="21" t="str">
        <f>IF(MonthlyFAME!H44=0,"",MonthlyFAME!H44)</f>
        <v/>
      </c>
      <c r="H42" s="21" t="str">
        <f>IF(MonthlyFAME!I44=0,"",MonthlyFAME!I44)</f>
        <v/>
      </c>
      <c r="I42" s="21" t="str">
        <f>IF(MonthlyFAME!J44=0,"",MonthlyFAME!J44)</f>
        <v/>
      </c>
      <c r="J42" s="24"/>
      <c r="K42" s="21">
        <f>IF(MonthlyFAME!L44=0,"",MonthlyFAME!L44)</f>
        <v>10.625930433085999</v>
      </c>
      <c r="L42" s="21" t="str">
        <f>IF(MonthlyFAME!M44=0,"",MonthlyFAME!M44)</f>
        <v/>
      </c>
      <c r="M42" s="21" t="str">
        <f>IF(MonthlyFAME!N44=0,"",MonthlyFAME!N44)</f>
        <v/>
      </c>
      <c r="N42" s="21" t="str">
        <f>IF(MonthlyFAME!O44=0,"",MonthlyFAME!O44)</f>
        <v/>
      </c>
      <c r="O42" s="21" t="str">
        <f>IF(MonthlyFAME!P44=0,"",MonthlyFAME!P44)</f>
        <v/>
      </c>
      <c r="P42" s="21" t="str">
        <f>IF(MonthlyFAME!Q44=0,"",MonthlyFAME!Q44)</f>
        <v/>
      </c>
      <c r="Q42" s="21" t="str">
        <f>IF(MonthlyFAME!R44=0,"",MonthlyFAME!R44)</f>
        <v/>
      </c>
      <c r="R42" s="21" t="str">
        <f>IF(MonthlyFAME!S44=0,"",MonthlyFAME!S44)</f>
        <v/>
      </c>
      <c r="S42" s="21" t="str">
        <f>IF(MonthlyFAME!T44=0,"",MonthlyFAME!T44)</f>
        <v/>
      </c>
      <c r="T42" s="21" t="str">
        <f>IF(MonthlyFAME!U44=0,"",MonthlyFAME!U44)</f>
        <v/>
      </c>
    </row>
    <row r="43" spans="1:20" x14ac:dyDescent="0.2">
      <c r="A43" s="23">
        <f>IF(MonthlyFAME!A45=0,"",MonthlyFAME!A45)</f>
        <v>23101</v>
      </c>
      <c r="B43" s="21" t="str">
        <f>IF(MonthlyFAME!B45=0,"",MonthlyFAME!B45)</f>
        <v/>
      </c>
      <c r="C43" s="21">
        <f>IF(MonthlyFAME!C45=0,"",MonthlyFAME!C45)</f>
        <v>41.8</v>
      </c>
      <c r="D43" s="21" t="str">
        <f>IF(MonthlyFAME!D45=0,"",MonthlyFAME!D45)</f>
        <v/>
      </c>
      <c r="E43" s="21" t="str">
        <f>IF(MonthlyFAME!F45=0,"",MonthlyFAME!F45)</f>
        <v/>
      </c>
      <c r="F43" s="21" t="str">
        <f>IF(MonthlyFAME!G45=0,"",MonthlyFAME!G45)</f>
        <v/>
      </c>
      <c r="G43" s="21" t="str">
        <f>IF(MonthlyFAME!H45=0,"",MonthlyFAME!H45)</f>
        <v/>
      </c>
      <c r="H43" s="21" t="str">
        <f>IF(MonthlyFAME!I45=0,"",MonthlyFAME!I45)</f>
        <v/>
      </c>
      <c r="I43" s="21" t="str">
        <f>IF(MonthlyFAME!J45=0,"",MonthlyFAME!J45)</f>
        <v/>
      </c>
      <c r="J43" s="24"/>
      <c r="K43" s="21">
        <f>IF(MonthlyFAME!L45=0,"",MonthlyFAME!L45)</f>
        <v>10.4811103386761</v>
      </c>
      <c r="L43" s="21" t="str">
        <f>IF(MonthlyFAME!M45=0,"",MonthlyFAME!M45)</f>
        <v/>
      </c>
      <c r="M43" s="21" t="str">
        <f>IF(MonthlyFAME!N45=0,"",MonthlyFAME!N45)</f>
        <v/>
      </c>
      <c r="N43" s="21" t="str">
        <f>IF(MonthlyFAME!O45=0,"",MonthlyFAME!O45)</f>
        <v/>
      </c>
      <c r="O43" s="21" t="str">
        <f>IF(MonthlyFAME!P45=0,"",MonthlyFAME!P45)</f>
        <v/>
      </c>
      <c r="P43" s="21" t="str">
        <f>IF(MonthlyFAME!Q45=0,"",MonthlyFAME!Q45)</f>
        <v/>
      </c>
      <c r="Q43" s="21" t="str">
        <f>IF(MonthlyFAME!R45=0,"",MonthlyFAME!R45)</f>
        <v/>
      </c>
      <c r="R43" s="21" t="str">
        <f>IF(MonthlyFAME!S45=0,"",MonthlyFAME!S45)</f>
        <v/>
      </c>
      <c r="S43" s="21" t="str">
        <f>IF(MonthlyFAME!T45=0,"",MonthlyFAME!T45)</f>
        <v/>
      </c>
      <c r="T43" s="21" t="str">
        <f>IF(MonthlyFAME!U45=0,"",MonthlyFAME!U45)</f>
        <v/>
      </c>
    </row>
    <row r="44" spans="1:20" x14ac:dyDescent="0.2">
      <c r="A44" s="23">
        <f>IF(MonthlyFAME!A46=0,"",MonthlyFAME!A46)</f>
        <v>23131</v>
      </c>
      <c r="B44" s="21" t="str">
        <f>IF(MonthlyFAME!B46=0,"",MonthlyFAME!B46)</f>
        <v/>
      </c>
      <c r="C44" s="21">
        <f>IF(MonthlyFAME!C46=0,"",MonthlyFAME!C46)</f>
        <v>42.3</v>
      </c>
      <c r="D44" s="21" t="str">
        <f>IF(MonthlyFAME!D46=0,"",MonthlyFAME!D46)</f>
        <v/>
      </c>
      <c r="E44" s="21" t="str">
        <f>IF(MonthlyFAME!F46=0,"",MonthlyFAME!F46)</f>
        <v/>
      </c>
      <c r="F44" s="21" t="str">
        <f>IF(MonthlyFAME!G46=0,"",MonthlyFAME!G46)</f>
        <v/>
      </c>
      <c r="G44" s="21" t="str">
        <f>IF(MonthlyFAME!H46=0,"",MonthlyFAME!H46)</f>
        <v/>
      </c>
      <c r="H44" s="21" t="str">
        <f>IF(MonthlyFAME!I46=0,"",MonthlyFAME!I46)</f>
        <v/>
      </c>
      <c r="I44" s="21" t="str">
        <f>IF(MonthlyFAME!J46=0,"",MonthlyFAME!J46)</f>
        <v/>
      </c>
      <c r="J44" s="24"/>
      <c r="K44" s="21">
        <f>IF(MonthlyFAME!L46=0,"",MonthlyFAME!L46)</f>
        <v>10.4927728960319</v>
      </c>
      <c r="L44" s="21" t="str">
        <f>IF(MonthlyFAME!M46=0,"",MonthlyFAME!M46)</f>
        <v/>
      </c>
      <c r="M44" s="21" t="str">
        <f>IF(MonthlyFAME!N46=0,"",MonthlyFAME!N46)</f>
        <v/>
      </c>
      <c r="N44" s="21" t="str">
        <f>IF(MonthlyFAME!O46=0,"",MonthlyFAME!O46)</f>
        <v/>
      </c>
      <c r="O44" s="21" t="str">
        <f>IF(MonthlyFAME!P46=0,"",MonthlyFAME!P46)</f>
        <v/>
      </c>
      <c r="P44" s="21" t="str">
        <f>IF(MonthlyFAME!Q46=0,"",MonthlyFAME!Q46)</f>
        <v/>
      </c>
      <c r="Q44" s="21" t="str">
        <f>IF(MonthlyFAME!R46=0,"",MonthlyFAME!R46)</f>
        <v/>
      </c>
      <c r="R44" s="21" t="str">
        <f>IF(MonthlyFAME!S46=0,"",MonthlyFAME!S46)</f>
        <v/>
      </c>
      <c r="S44" s="21" t="str">
        <f>IF(MonthlyFAME!T46=0,"",MonthlyFAME!T46)</f>
        <v/>
      </c>
      <c r="T44" s="21" t="str">
        <f>IF(MonthlyFAME!U46=0,"",MonthlyFAME!U46)</f>
        <v/>
      </c>
    </row>
    <row r="45" spans="1:20" x14ac:dyDescent="0.2">
      <c r="A45" s="23">
        <f>IF(MonthlyFAME!A47=0,"",MonthlyFAME!A47)</f>
        <v>23162</v>
      </c>
      <c r="B45" s="21" t="str">
        <f>IF(MonthlyFAME!B47=0,"",MonthlyFAME!B47)</f>
        <v/>
      </c>
      <c r="C45" s="21">
        <f>IF(MonthlyFAME!C47=0,"",MonthlyFAME!C47)</f>
        <v>42.9</v>
      </c>
      <c r="D45" s="21" t="str">
        <f>IF(MonthlyFAME!D47=0,"",MonthlyFAME!D47)</f>
        <v/>
      </c>
      <c r="E45" s="21" t="str">
        <f>IF(MonthlyFAME!F47=0,"",MonthlyFAME!F47)</f>
        <v/>
      </c>
      <c r="F45" s="21" t="str">
        <f>IF(MonthlyFAME!G47=0,"",MonthlyFAME!G47)</f>
        <v/>
      </c>
      <c r="G45" s="21" t="str">
        <f>IF(MonthlyFAME!H47=0,"",MonthlyFAME!H47)</f>
        <v/>
      </c>
      <c r="H45" s="21" t="str">
        <f>IF(MonthlyFAME!I47=0,"",MonthlyFAME!I47)</f>
        <v/>
      </c>
      <c r="I45" s="21" t="str">
        <f>IF(MonthlyFAME!J47=0,"",MonthlyFAME!J47)</f>
        <v/>
      </c>
      <c r="J45" s="24"/>
      <c r="K45" s="21">
        <f>IF(MonthlyFAME!L47=0,"",MonthlyFAME!L47)</f>
        <v>10.585568693662101</v>
      </c>
      <c r="L45" s="21" t="str">
        <f>IF(MonthlyFAME!M47=0,"",MonthlyFAME!M47)</f>
        <v/>
      </c>
      <c r="M45" s="21" t="str">
        <f>IF(MonthlyFAME!N47=0,"",MonthlyFAME!N47)</f>
        <v/>
      </c>
      <c r="N45" s="21" t="str">
        <f>IF(MonthlyFAME!O47=0,"",MonthlyFAME!O47)</f>
        <v/>
      </c>
      <c r="O45" s="21" t="str">
        <f>IF(MonthlyFAME!P47=0,"",MonthlyFAME!P47)</f>
        <v/>
      </c>
      <c r="P45" s="21" t="str">
        <f>IF(MonthlyFAME!Q47=0,"",MonthlyFAME!Q47)</f>
        <v/>
      </c>
      <c r="Q45" s="21" t="str">
        <f>IF(MonthlyFAME!R47=0,"",MonthlyFAME!R47)</f>
        <v/>
      </c>
      <c r="R45" s="21" t="str">
        <f>IF(MonthlyFAME!S47=0,"",MonthlyFAME!S47)</f>
        <v/>
      </c>
      <c r="S45" s="21" t="str">
        <f>IF(MonthlyFAME!T47=0,"",MonthlyFAME!T47)</f>
        <v/>
      </c>
      <c r="T45" s="21" t="str">
        <f>IF(MonthlyFAME!U47=0,"",MonthlyFAME!U47)</f>
        <v/>
      </c>
    </row>
    <row r="46" spans="1:20" x14ac:dyDescent="0.2">
      <c r="A46" s="23">
        <f>IF(MonthlyFAME!A48=0,"",MonthlyFAME!A48)</f>
        <v>23192</v>
      </c>
      <c r="B46" s="21" t="str">
        <f>IF(MonthlyFAME!B48=0,"",MonthlyFAME!B48)</f>
        <v/>
      </c>
      <c r="C46" s="21">
        <f>IF(MonthlyFAME!C48=0,"",MonthlyFAME!C48)</f>
        <v>43.5</v>
      </c>
      <c r="D46" s="21" t="str">
        <f>IF(MonthlyFAME!D48=0,"",MonthlyFAME!D48)</f>
        <v/>
      </c>
      <c r="E46" s="21" t="str">
        <f>IF(MonthlyFAME!F48=0,"",MonthlyFAME!F48)</f>
        <v/>
      </c>
      <c r="F46" s="21" t="str">
        <f>IF(MonthlyFAME!G48=0,"",MonthlyFAME!G48)</f>
        <v/>
      </c>
      <c r="G46" s="21" t="str">
        <f>IF(MonthlyFAME!H48=0,"",MonthlyFAME!H48)</f>
        <v/>
      </c>
      <c r="H46" s="21" t="str">
        <f>IF(MonthlyFAME!I48=0,"",MonthlyFAME!I48)</f>
        <v/>
      </c>
      <c r="I46" s="21" t="str">
        <f>IF(MonthlyFAME!J48=0,"",MonthlyFAME!J48)</f>
        <v/>
      </c>
      <c r="J46" s="24"/>
      <c r="K46" s="21">
        <f>IF(MonthlyFAME!L48=0,"",MonthlyFAME!L48)</f>
        <v>10.7742610190757</v>
      </c>
      <c r="L46" s="21" t="str">
        <f>IF(MonthlyFAME!M48=0,"",MonthlyFAME!M48)</f>
        <v/>
      </c>
      <c r="M46" s="21" t="str">
        <f>IF(MonthlyFAME!N48=0,"",MonthlyFAME!N48)</f>
        <v/>
      </c>
      <c r="N46" s="21" t="str">
        <f>IF(MonthlyFAME!O48=0,"",MonthlyFAME!O48)</f>
        <v/>
      </c>
      <c r="O46" s="21" t="str">
        <f>IF(MonthlyFAME!P48=0,"",MonthlyFAME!P48)</f>
        <v/>
      </c>
      <c r="P46" s="21" t="str">
        <f>IF(MonthlyFAME!Q48=0,"",MonthlyFAME!Q48)</f>
        <v/>
      </c>
      <c r="Q46" s="21" t="str">
        <f>IF(MonthlyFAME!R48=0,"",MonthlyFAME!R48)</f>
        <v/>
      </c>
      <c r="R46" s="21" t="str">
        <f>IF(MonthlyFAME!S48=0,"",MonthlyFAME!S48)</f>
        <v/>
      </c>
      <c r="S46" s="21" t="str">
        <f>IF(MonthlyFAME!T48=0,"",MonthlyFAME!T48)</f>
        <v/>
      </c>
      <c r="T46" s="21" t="str">
        <f>IF(MonthlyFAME!U48=0,"",MonthlyFAME!U48)</f>
        <v/>
      </c>
    </row>
    <row r="47" spans="1:20" x14ac:dyDescent="0.2">
      <c r="A47" s="23">
        <f>IF(MonthlyFAME!A49=0,"",MonthlyFAME!A49)</f>
        <v>23223</v>
      </c>
      <c r="B47" s="21" t="str">
        <f>IF(MonthlyFAME!B49=0,"",MonthlyFAME!B49)</f>
        <v/>
      </c>
      <c r="C47" s="21">
        <f>IF(MonthlyFAME!C49=0,"",MonthlyFAME!C49)</f>
        <v>43.9</v>
      </c>
      <c r="D47" s="21" t="str">
        <f>IF(MonthlyFAME!D49=0,"",MonthlyFAME!D49)</f>
        <v/>
      </c>
      <c r="E47" s="21" t="str">
        <f>IF(MonthlyFAME!F49=0,"",MonthlyFAME!F49)</f>
        <v/>
      </c>
      <c r="F47" s="21" t="str">
        <f>IF(MonthlyFAME!G49=0,"",MonthlyFAME!G49)</f>
        <v/>
      </c>
      <c r="G47" s="21" t="str">
        <f>IF(MonthlyFAME!H49=0,"",MonthlyFAME!H49)</f>
        <v/>
      </c>
      <c r="H47" s="21" t="str">
        <f>IF(MonthlyFAME!I49=0,"",MonthlyFAME!I49)</f>
        <v/>
      </c>
      <c r="I47" s="21" t="str">
        <f>IF(MonthlyFAME!J49=0,"",MonthlyFAME!J49)</f>
        <v/>
      </c>
      <c r="J47" s="24"/>
      <c r="K47" s="21">
        <f>IF(MonthlyFAME!L49=0,"",MonthlyFAME!L49)</f>
        <v>10.8413419262891</v>
      </c>
      <c r="L47" s="21" t="str">
        <f>IF(MonthlyFAME!M49=0,"",MonthlyFAME!M49)</f>
        <v/>
      </c>
      <c r="M47" s="21" t="str">
        <f>IF(MonthlyFAME!N49=0,"",MonthlyFAME!N49)</f>
        <v/>
      </c>
      <c r="N47" s="21" t="str">
        <f>IF(MonthlyFAME!O49=0,"",MonthlyFAME!O49)</f>
        <v/>
      </c>
      <c r="O47" s="21" t="str">
        <f>IF(MonthlyFAME!P49=0,"",MonthlyFAME!P49)</f>
        <v/>
      </c>
      <c r="P47" s="21" t="str">
        <f>IF(MonthlyFAME!Q49=0,"",MonthlyFAME!Q49)</f>
        <v/>
      </c>
      <c r="Q47" s="21" t="str">
        <f>IF(MonthlyFAME!R49=0,"",MonthlyFAME!R49)</f>
        <v/>
      </c>
      <c r="R47" s="21" t="str">
        <f>IF(MonthlyFAME!S49=0,"",MonthlyFAME!S49)</f>
        <v/>
      </c>
      <c r="S47" s="21" t="str">
        <f>IF(MonthlyFAME!T49=0,"",MonthlyFAME!T49)</f>
        <v/>
      </c>
      <c r="T47" s="21" t="str">
        <f>IF(MonthlyFAME!U49=0,"",MonthlyFAME!U49)</f>
        <v/>
      </c>
    </row>
    <row r="48" spans="1:20" x14ac:dyDescent="0.2">
      <c r="A48" s="23">
        <f>IF(MonthlyFAME!A50=0,"",MonthlyFAME!A50)</f>
        <v>23254</v>
      </c>
      <c r="B48" s="21" t="str">
        <f>IF(MonthlyFAME!B50=0,"",MonthlyFAME!B50)</f>
        <v/>
      </c>
      <c r="C48" s="21">
        <f>IF(MonthlyFAME!C50=0,"",MonthlyFAME!C50)</f>
        <v>44.2</v>
      </c>
      <c r="D48" s="21" t="str">
        <f>IF(MonthlyFAME!D50=0,"",MonthlyFAME!D50)</f>
        <v/>
      </c>
      <c r="E48" s="21" t="str">
        <f>IF(MonthlyFAME!F50=0,"",MonthlyFAME!F50)</f>
        <v/>
      </c>
      <c r="F48" s="21" t="str">
        <f>IF(MonthlyFAME!G50=0,"",MonthlyFAME!G50)</f>
        <v/>
      </c>
      <c r="G48" s="21" t="str">
        <f>IF(MonthlyFAME!H50=0,"",MonthlyFAME!H50)</f>
        <v/>
      </c>
      <c r="H48" s="21" t="str">
        <f>IF(MonthlyFAME!I50=0,"",MonthlyFAME!I50)</f>
        <v/>
      </c>
      <c r="I48" s="21" t="str">
        <f>IF(MonthlyFAME!J50=0,"",MonthlyFAME!J50)</f>
        <v/>
      </c>
      <c r="J48" s="24"/>
      <c r="K48" s="21">
        <f>IF(MonthlyFAME!L50=0,"",MonthlyFAME!L50)</f>
        <v>11.0652317517282</v>
      </c>
      <c r="L48" s="21" t="str">
        <f>IF(MonthlyFAME!M50=0,"",MonthlyFAME!M50)</f>
        <v/>
      </c>
      <c r="M48" s="21" t="str">
        <f>IF(MonthlyFAME!N50=0,"",MonthlyFAME!N50)</f>
        <v/>
      </c>
      <c r="N48" s="21" t="str">
        <f>IF(MonthlyFAME!O50=0,"",MonthlyFAME!O50)</f>
        <v/>
      </c>
      <c r="O48" s="21" t="str">
        <f>IF(MonthlyFAME!P50=0,"",MonthlyFAME!P50)</f>
        <v/>
      </c>
      <c r="P48" s="21" t="str">
        <f>IF(MonthlyFAME!Q50=0,"",MonthlyFAME!Q50)</f>
        <v/>
      </c>
      <c r="Q48" s="21" t="str">
        <f>IF(MonthlyFAME!R50=0,"",MonthlyFAME!R50)</f>
        <v/>
      </c>
      <c r="R48" s="21" t="str">
        <f>IF(MonthlyFAME!S50=0,"",MonthlyFAME!S50)</f>
        <v/>
      </c>
      <c r="S48" s="21" t="str">
        <f>IF(MonthlyFAME!T50=0,"",MonthlyFAME!T50)</f>
        <v/>
      </c>
      <c r="T48" s="21" t="str">
        <f>IF(MonthlyFAME!U50=0,"",MonthlyFAME!U50)</f>
        <v/>
      </c>
    </row>
    <row r="49" spans="1:20" x14ac:dyDescent="0.2">
      <c r="A49" s="23">
        <f>IF(MonthlyFAME!A51=0,"",MonthlyFAME!A51)</f>
        <v>23284</v>
      </c>
      <c r="B49" s="21" t="str">
        <f>IF(MonthlyFAME!B51=0,"",MonthlyFAME!B51)</f>
        <v/>
      </c>
      <c r="C49" s="21">
        <f>IF(MonthlyFAME!C51=0,"",MonthlyFAME!C51)</f>
        <v>44.4</v>
      </c>
      <c r="D49" s="21" t="str">
        <f>IF(MonthlyFAME!D51=0,"",MonthlyFAME!D51)</f>
        <v/>
      </c>
      <c r="E49" s="21" t="str">
        <f>IF(MonthlyFAME!F51=0,"",MonthlyFAME!F51)</f>
        <v/>
      </c>
      <c r="F49" s="21" t="str">
        <f>IF(MonthlyFAME!G51=0,"",MonthlyFAME!G51)</f>
        <v/>
      </c>
      <c r="G49" s="21" t="str">
        <f>IF(MonthlyFAME!H51=0,"",MonthlyFAME!H51)</f>
        <v/>
      </c>
      <c r="H49" s="21" t="str">
        <f>IF(MonthlyFAME!I51=0,"",MonthlyFAME!I51)</f>
        <v/>
      </c>
      <c r="I49" s="21" t="str">
        <f>IF(MonthlyFAME!J51=0,"",MonthlyFAME!J51)</f>
        <v/>
      </c>
      <c r="J49" s="24"/>
      <c r="K49" s="21">
        <f>IF(MonthlyFAME!L51=0,"",MonthlyFAME!L51)</f>
        <v>10.7734884191185</v>
      </c>
      <c r="L49" s="21" t="str">
        <f>IF(MonthlyFAME!M51=0,"",MonthlyFAME!M51)</f>
        <v/>
      </c>
      <c r="M49" s="21" t="str">
        <f>IF(MonthlyFAME!N51=0,"",MonthlyFAME!N51)</f>
        <v/>
      </c>
      <c r="N49" s="21" t="str">
        <f>IF(MonthlyFAME!O51=0,"",MonthlyFAME!O51)</f>
        <v/>
      </c>
      <c r="O49" s="21" t="str">
        <f>IF(MonthlyFAME!P51=0,"",MonthlyFAME!P51)</f>
        <v/>
      </c>
      <c r="P49" s="21" t="str">
        <f>IF(MonthlyFAME!Q51=0,"",MonthlyFAME!Q51)</f>
        <v/>
      </c>
      <c r="Q49" s="21" t="str">
        <f>IF(MonthlyFAME!R51=0,"",MonthlyFAME!R51)</f>
        <v/>
      </c>
      <c r="R49" s="21" t="str">
        <f>IF(MonthlyFAME!S51=0,"",MonthlyFAME!S51)</f>
        <v/>
      </c>
      <c r="S49" s="21" t="str">
        <f>IF(MonthlyFAME!T51=0,"",MonthlyFAME!T51)</f>
        <v/>
      </c>
      <c r="T49" s="21" t="str">
        <f>IF(MonthlyFAME!U51=0,"",MonthlyFAME!U51)</f>
        <v/>
      </c>
    </row>
    <row r="50" spans="1:20" x14ac:dyDescent="0.2">
      <c r="A50" s="23">
        <f>IF(MonthlyFAME!A52=0,"",MonthlyFAME!A52)</f>
        <v>23315</v>
      </c>
      <c r="B50" s="21" t="str">
        <f>IF(MonthlyFAME!B52=0,"",MonthlyFAME!B52)</f>
        <v/>
      </c>
      <c r="C50" s="21">
        <f>IF(MonthlyFAME!C52=0,"",MonthlyFAME!C52)</f>
        <v>44.6</v>
      </c>
      <c r="D50" s="21" t="str">
        <f>IF(MonthlyFAME!D52=0,"",MonthlyFAME!D52)</f>
        <v/>
      </c>
      <c r="E50" s="21" t="str">
        <f>IF(MonthlyFAME!F52=0,"",MonthlyFAME!F52)</f>
        <v/>
      </c>
      <c r="F50" s="21" t="str">
        <f>IF(MonthlyFAME!G52=0,"",MonthlyFAME!G52)</f>
        <v/>
      </c>
      <c r="G50" s="21" t="str">
        <f>IF(MonthlyFAME!H52=0,"",MonthlyFAME!H52)</f>
        <v/>
      </c>
      <c r="H50" s="21" t="str">
        <f>IF(MonthlyFAME!I52=0,"",MonthlyFAME!I52)</f>
        <v/>
      </c>
      <c r="I50" s="21" t="str">
        <f>IF(MonthlyFAME!J52=0,"",MonthlyFAME!J52)</f>
        <v/>
      </c>
      <c r="J50" s="24"/>
      <c r="K50" s="21">
        <f>IF(MonthlyFAME!L52=0,"",MonthlyFAME!L52)</f>
        <v>10.753323817213101</v>
      </c>
      <c r="L50" s="21" t="str">
        <f>IF(MonthlyFAME!M52=0,"",MonthlyFAME!M52)</f>
        <v/>
      </c>
      <c r="M50" s="21" t="str">
        <f>IF(MonthlyFAME!N52=0,"",MonthlyFAME!N52)</f>
        <v/>
      </c>
      <c r="N50" s="21" t="str">
        <f>IF(MonthlyFAME!O52=0,"",MonthlyFAME!O52)</f>
        <v/>
      </c>
      <c r="O50" s="21" t="str">
        <f>IF(MonthlyFAME!P52=0,"",MonthlyFAME!P52)</f>
        <v/>
      </c>
      <c r="P50" s="21" t="str">
        <f>IF(MonthlyFAME!Q52=0,"",MonthlyFAME!Q52)</f>
        <v/>
      </c>
      <c r="Q50" s="21" t="str">
        <f>IF(MonthlyFAME!R52=0,"",MonthlyFAME!R52)</f>
        <v/>
      </c>
      <c r="R50" s="21" t="str">
        <f>IF(MonthlyFAME!S52=0,"",MonthlyFAME!S52)</f>
        <v/>
      </c>
      <c r="S50" s="21" t="str">
        <f>IF(MonthlyFAME!T52=0,"",MonthlyFAME!T52)</f>
        <v/>
      </c>
      <c r="T50" s="21" t="str">
        <f>IF(MonthlyFAME!U52=0,"",MonthlyFAME!U52)</f>
        <v/>
      </c>
    </row>
    <row r="51" spans="1:20" x14ac:dyDescent="0.2">
      <c r="A51" s="23">
        <f>IF(MonthlyFAME!A53=0,"",MonthlyFAME!A53)</f>
        <v>23345</v>
      </c>
      <c r="B51" s="21" t="str">
        <f>IF(MonthlyFAME!B53=0,"",MonthlyFAME!B53)</f>
        <v/>
      </c>
      <c r="C51" s="21">
        <f>IF(MonthlyFAME!C53=0,"",MonthlyFAME!C53)</f>
        <v>45</v>
      </c>
      <c r="D51" s="21" t="str">
        <f>IF(MonthlyFAME!D53=0,"",MonthlyFAME!D53)</f>
        <v/>
      </c>
      <c r="E51" s="21" t="str">
        <f>IF(MonthlyFAME!F53=0,"",MonthlyFAME!F53)</f>
        <v/>
      </c>
      <c r="F51" s="21" t="str">
        <f>IF(MonthlyFAME!G53=0,"",MonthlyFAME!G53)</f>
        <v/>
      </c>
      <c r="G51" s="21" t="str">
        <f>IF(MonthlyFAME!H53=0,"",MonthlyFAME!H53)</f>
        <v/>
      </c>
      <c r="H51" s="21" t="str">
        <f>IF(MonthlyFAME!I53=0,"",MonthlyFAME!I53)</f>
        <v/>
      </c>
      <c r="I51" s="21" t="str">
        <f>IF(MonthlyFAME!J53=0,"",MonthlyFAME!J53)</f>
        <v/>
      </c>
      <c r="J51" s="24"/>
      <c r="K51" s="21">
        <f>IF(MonthlyFAME!L53=0,"",MonthlyFAME!L53)</f>
        <v>11.0042146350326</v>
      </c>
      <c r="L51" s="21" t="str">
        <f>IF(MonthlyFAME!M53=0,"",MonthlyFAME!M53)</f>
        <v/>
      </c>
      <c r="M51" s="21" t="str">
        <f>IF(MonthlyFAME!N53=0,"",MonthlyFAME!N53)</f>
        <v/>
      </c>
      <c r="N51" s="21" t="str">
        <f>IF(MonthlyFAME!O53=0,"",MonthlyFAME!O53)</f>
        <v/>
      </c>
      <c r="O51" s="21" t="str">
        <f>IF(MonthlyFAME!P53=0,"",MonthlyFAME!P53)</f>
        <v/>
      </c>
      <c r="P51" s="21" t="str">
        <f>IF(MonthlyFAME!Q53=0,"",MonthlyFAME!Q53)</f>
        <v/>
      </c>
      <c r="Q51" s="21" t="str">
        <f>IF(MonthlyFAME!R53=0,"",MonthlyFAME!R53)</f>
        <v/>
      </c>
      <c r="R51" s="21" t="str">
        <f>IF(MonthlyFAME!S53=0,"",MonthlyFAME!S53)</f>
        <v/>
      </c>
      <c r="S51" s="21" t="str">
        <f>IF(MonthlyFAME!T53=0,"",MonthlyFAME!T53)</f>
        <v/>
      </c>
      <c r="T51" s="21" t="str">
        <f>IF(MonthlyFAME!U53=0,"",MonthlyFAME!U53)</f>
        <v/>
      </c>
    </row>
    <row r="52" spans="1:20" x14ac:dyDescent="0.2">
      <c r="A52" s="23">
        <f>IF(MonthlyFAME!A54=0,"",MonthlyFAME!A54)</f>
        <v>23376</v>
      </c>
      <c r="B52" s="21" t="str">
        <f>IF(MonthlyFAME!B54=0,"",MonthlyFAME!B54)</f>
        <v/>
      </c>
      <c r="C52" s="21">
        <f>IF(MonthlyFAME!C54=0,"",MonthlyFAME!C54)</f>
        <v>45.5</v>
      </c>
      <c r="D52" s="21" t="str">
        <f>IF(MonthlyFAME!D54=0,"",MonthlyFAME!D54)</f>
        <v/>
      </c>
      <c r="E52" s="21" t="str">
        <f>IF(MonthlyFAME!F54=0,"",MonthlyFAME!F54)</f>
        <v/>
      </c>
      <c r="F52" s="21" t="str">
        <f>IF(MonthlyFAME!G54=0,"",MonthlyFAME!G54)</f>
        <v/>
      </c>
      <c r="G52" s="21" t="str">
        <f>IF(MonthlyFAME!H54=0,"",MonthlyFAME!H54)</f>
        <v/>
      </c>
      <c r="H52" s="21" t="str">
        <f>IF(MonthlyFAME!I54=0,"",MonthlyFAME!I54)</f>
        <v/>
      </c>
      <c r="I52" s="21" t="str">
        <f>IF(MonthlyFAME!J54=0,"",MonthlyFAME!J54)</f>
        <v/>
      </c>
      <c r="J52" s="24"/>
      <c r="K52" s="21">
        <f>IF(MonthlyFAME!L54=0,"",MonthlyFAME!L54)</f>
        <v>11.4319663509372</v>
      </c>
      <c r="L52" s="21" t="str">
        <f>IF(MonthlyFAME!M54=0,"",MonthlyFAME!M54)</f>
        <v/>
      </c>
      <c r="M52" s="21" t="str">
        <f>IF(MonthlyFAME!N54=0,"",MonthlyFAME!N54)</f>
        <v/>
      </c>
      <c r="N52" s="21" t="str">
        <f>IF(MonthlyFAME!O54=0,"",MonthlyFAME!O54)</f>
        <v/>
      </c>
      <c r="O52" s="21" t="str">
        <f>IF(MonthlyFAME!P54=0,"",MonthlyFAME!P54)</f>
        <v/>
      </c>
      <c r="P52" s="21" t="str">
        <f>IF(MonthlyFAME!Q54=0,"",MonthlyFAME!Q54)</f>
        <v/>
      </c>
      <c r="Q52" s="21" t="str">
        <f>IF(MonthlyFAME!R54=0,"",MonthlyFAME!R54)</f>
        <v/>
      </c>
      <c r="R52" s="21" t="str">
        <f>IF(MonthlyFAME!S54=0,"",MonthlyFAME!S54)</f>
        <v/>
      </c>
      <c r="S52" s="21" t="str">
        <f>IF(MonthlyFAME!T54=0,"",MonthlyFAME!T54)</f>
        <v/>
      </c>
      <c r="T52" s="21" t="str">
        <f>IF(MonthlyFAME!U54=0,"",MonthlyFAME!U54)</f>
        <v/>
      </c>
    </row>
    <row r="53" spans="1:20" x14ac:dyDescent="0.2">
      <c r="A53" s="23">
        <f>IF(MonthlyFAME!A55=0,"",MonthlyFAME!A55)</f>
        <v>23407</v>
      </c>
      <c r="B53" s="21" t="str">
        <f>IF(MonthlyFAME!B55=0,"",MonthlyFAME!B55)</f>
        <v/>
      </c>
      <c r="C53" s="21">
        <f>IF(MonthlyFAME!C55=0,"",MonthlyFAME!C55)</f>
        <v>46.2</v>
      </c>
      <c r="D53" s="21" t="str">
        <f>IF(MonthlyFAME!D55=0,"",MonthlyFAME!D55)</f>
        <v/>
      </c>
      <c r="E53" s="21" t="str">
        <f>IF(MonthlyFAME!F55=0,"",MonthlyFAME!F55)</f>
        <v/>
      </c>
      <c r="F53" s="21" t="str">
        <f>IF(MonthlyFAME!G55=0,"",MonthlyFAME!G55)</f>
        <v/>
      </c>
      <c r="G53" s="21" t="str">
        <f>IF(MonthlyFAME!H55=0,"",MonthlyFAME!H55)</f>
        <v/>
      </c>
      <c r="H53" s="21" t="str">
        <f>IF(MonthlyFAME!I55=0,"",MonthlyFAME!I55)</f>
        <v/>
      </c>
      <c r="I53" s="21" t="str">
        <f>IF(MonthlyFAME!J55=0,"",MonthlyFAME!J55)</f>
        <v/>
      </c>
      <c r="J53" s="24"/>
      <c r="K53" s="21">
        <f>IF(MonthlyFAME!L55=0,"",MonthlyFAME!L55)</f>
        <v>11.3380016279584</v>
      </c>
      <c r="L53" s="21" t="str">
        <f>IF(MonthlyFAME!M55=0,"",MonthlyFAME!M55)</f>
        <v/>
      </c>
      <c r="M53" s="21" t="str">
        <f>IF(MonthlyFAME!N55=0,"",MonthlyFAME!N55)</f>
        <v/>
      </c>
      <c r="N53" s="21" t="str">
        <f>IF(MonthlyFAME!O55=0,"",MonthlyFAME!O55)</f>
        <v/>
      </c>
      <c r="O53" s="21" t="str">
        <f>IF(MonthlyFAME!P55=0,"",MonthlyFAME!P55)</f>
        <v/>
      </c>
      <c r="P53" s="21" t="str">
        <f>IF(MonthlyFAME!Q55=0,"",MonthlyFAME!Q55)</f>
        <v/>
      </c>
      <c r="Q53" s="21" t="str">
        <f>IF(MonthlyFAME!R55=0,"",MonthlyFAME!R55)</f>
        <v/>
      </c>
      <c r="R53" s="21" t="str">
        <f>IF(MonthlyFAME!S55=0,"",MonthlyFAME!S55)</f>
        <v/>
      </c>
      <c r="S53" s="21" t="str">
        <f>IF(MonthlyFAME!T55=0,"",MonthlyFAME!T55)</f>
        <v/>
      </c>
      <c r="T53" s="21" t="str">
        <f>IF(MonthlyFAME!U55=0,"",MonthlyFAME!U55)</f>
        <v/>
      </c>
    </row>
    <row r="54" spans="1:20" x14ac:dyDescent="0.2">
      <c r="A54" s="23">
        <f>IF(MonthlyFAME!A56=0,"",MonthlyFAME!A56)</f>
        <v>23436</v>
      </c>
      <c r="B54" s="21" t="str">
        <f>IF(MonthlyFAME!B56=0,"",MonthlyFAME!B56)</f>
        <v/>
      </c>
      <c r="C54" s="21">
        <f>IF(MonthlyFAME!C56=0,"",MonthlyFAME!C56)</f>
        <v>46.6</v>
      </c>
      <c r="D54" s="21" t="str">
        <f>IF(MonthlyFAME!D56=0,"",MonthlyFAME!D56)</f>
        <v/>
      </c>
      <c r="E54" s="21" t="str">
        <f>IF(MonthlyFAME!F56=0,"",MonthlyFAME!F56)</f>
        <v/>
      </c>
      <c r="F54" s="21" t="str">
        <f>IF(MonthlyFAME!G56=0,"",MonthlyFAME!G56)</f>
        <v/>
      </c>
      <c r="G54" s="21" t="str">
        <f>IF(MonthlyFAME!H56=0,"",MonthlyFAME!H56)</f>
        <v/>
      </c>
      <c r="H54" s="21" t="str">
        <f>IF(MonthlyFAME!I56=0,"",MonthlyFAME!I56)</f>
        <v/>
      </c>
      <c r="I54" s="21" t="str">
        <f>IF(MonthlyFAME!J56=0,"",MonthlyFAME!J56)</f>
        <v/>
      </c>
      <c r="J54" s="24"/>
      <c r="K54" s="21">
        <f>IF(MonthlyFAME!L56=0,"",MonthlyFAME!L56)</f>
        <v>11.478314722796799</v>
      </c>
      <c r="L54" s="21" t="str">
        <f>IF(MonthlyFAME!M56=0,"",MonthlyFAME!M56)</f>
        <v/>
      </c>
      <c r="M54" s="21" t="str">
        <f>IF(MonthlyFAME!N56=0,"",MonthlyFAME!N56)</f>
        <v/>
      </c>
      <c r="N54" s="21" t="str">
        <f>IF(MonthlyFAME!O56=0,"",MonthlyFAME!O56)</f>
        <v/>
      </c>
      <c r="O54" s="21" t="str">
        <f>IF(MonthlyFAME!P56=0,"",MonthlyFAME!P56)</f>
        <v/>
      </c>
      <c r="P54" s="21" t="str">
        <f>IF(MonthlyFAME!Q56=0,"",MonthlyFAME!Q56)</f>
        <v/>
      </c>
      <c r="Q54" s="21" t="str">
        <f>IF(MonthlyFAME!R56=0,"",MonthlyFAME!R56)</f>
        <v/>
      </c>
      <c r="R54" s="21" t="str">
        <f>IF(MonthlyFAME!S56=0,"",MonthlyFAME!S56)</f>
        <v/>
      </c>
      <c r="S54" s="21" t="str">
        <f>IF(MonthlyFAME!T56=0,"",MonthlyFAME!T56)</f>
        <v/>
      </c>
      <c r="T54" s="21" t="str">
        <f>IF(MonthlyFAME!U56=0,"",MonthlyFAME!U56)</f>
        <v/>
      </c>
    </row>
    <row r="55" spans="1:20" x14ac:dyDescent="0.2">
      <c r="A55" s="23">
        <f>IF(MonthlyFAME!A57=0,"",MonthlyFAME!A57)</f>
        <v>23467</v>
      </c>
      <c r="B55" s="21" t="str">
        <f>IF(MonthlyFAME!B57=0,"",MonthlyFAME!B57)</f>
        <v/>
      </c>
      <c r="C55" s="21">
        <f>IF(MonthlyFAME!C57=0,"",MonthlyFAME!C57)</f>
        <v>46.7</v>
      </c>
      <c r="D55" s="21" t="str">
        <f>IF(MonthlyFAME!D57=0,"",MonthlyFAME!D57)</f>
        <v/>
      </c>
      <c r="E55" s="21" t="str">
        <f>IF(MonthlyFAME!F57=0,"",MonthlyFAME!F57)</f>
        <v/>
      </c>
      <c r="F55" s="21" t="str">
        <f>IF(MonthlyFAME!G57=0,"",MonthlyFAME!G57)</f>
        <v/>
      </c>
      <c r="G55" s="21" t="str">
        <f>IF(MonthlyFAME!H57=0,"",MonthlyFAME!H57)</f>
        <v/>
      </c>
      <c r="H55" s="21" t="str">
        <f>IF(MonthlyFAME!I57=0,"",MonthlyFAME!I57)</f>
        <v/>
      </c>
      <c r="I55" s="21" t="str">
        <f>IF(MonthlyFAME!J57=0,"",MonthlyFAME!J57)</f>
        <v/>
      </c>
      <c r="J55" s="24"/>
      <c r="K55" s="21">
        <f>IF(MonthlyFAME!L57=0,"",MonthlyFAME!L57)</f>
        <v>11.3207128001821</v>
      </c>
      <c r="L55" s="21" t="str">
        <f>IF(MonthlyFAME!M57=0,"",MonthlyFAME!M57)</f>
        <v/>
      </c>
      <c r="M55" s="21" t="str">
        <f>IF(MonthlyFAME!N57=0,"",MonthlyFAME!N57)</f>
        <v/>
      </c>
      <c r="N55" s="21" t="str">
        <f>IF(MonthlyFAME!O57=0,"",MonthlyFAME!O57)</f>
        <v/>
      </c>
      <c r="O55" s="21" t="str">
        <f>IF(MonthlyFAME!P57=0,"",MonthlyFAME!P57)</f>
        <v/>
      </c>
      <c r="P55" s="21" t="str">
        <f>IF(MonthlyFAME!Q57=0,"",MonthlyFAME!Q57)</f>
        <v/>
      </c>
      <c r="Q55" s="21" t="str">
        <f>IF(MonthlyFAME!R57=0,"",MonthlyFAME!R57)</f>
        <v/>
      </c>
      <c r="R55" s="21" t="str">
        <f>IF(MonthlyFAME!S57=0,"",MonthlyFAME!S57)</f>
        <v/>
      </c>
      <c r="S55" s="21" t="str">
        <f>IF(MonthlyFAME!T57=0,"",MonthlyFAME!T57)</f>
        <v/>
      </c>
      <c r="T55" s="21" t="str">
        <f>IF(MonthlyFAME!U57=0,"",MonthlyFAME!U57)</f>
        <v/>
      </c>
    </row>
    <row r="56" spans="1:20" x14ac:dyDescent="0.2">
      <c r="A56" s="23">
        <f>IF(MonthlyFAME!A58=0,"",MonthlyFAME!A58)</f>
        <v>23497</v>
      </c>
      <c r="B56" s="21" t="str">
        <f>IF(MonthlyFAME!B58=0,"",MonthlyFAME!B58)</f>
        <v/>
      </c>
      <c r="C56" s="21">
        <f>IF(MonthlyFAME!C58=0,"",MonthlyFAME!C58)</f>
        <v>46.5</v>
      </c>
      <c r="D56" s="21" t="str">
        <f>IF(MonthlyFAME!D58=0,"",MonthlyFAME!D58)</f>
        <v/>
      </c>
      <c r="E56" s="21" t="str">
        <f>IF(MonthlyFAME!F58=0,"",MonthlyFAME!F58)</f>
        <v/>
      </c>
      <c r="F56" s="21" t="str">
        <f>IF(MonthlyFAME!G58=0,"",MonthlyFAME!G58)</f>
        <v/>
      </c>
      <c r="G56" s="21" t="str">
        <f>IF(MonthlyFAME!H58=0,"",MonthlyFAME!H58)</f>
        <v/>
      </c>
      <c r="H56" s="21" t="str">
        <f>IF(MonthlyFAME!I58=0,"",MonthlyFAME!I58)</f>
        <v/>
      </c>
      <c r="I56" s="21" t="str">
        <f>IF(MonthlyFAME!J58=0,"",MonthlyFAME!J58)</f>
        <v/>
      </c>
      <c r="J56" s="24"/>
      <c r="K56" s="21">
        <f>IF(MonthlyFAME!L58=0,"",MonthlyFAME!L58)</f>
        <v>11.6507189835025</v>
      </c>
      <c r="L56" s="21" t="str">
        <f>IF(MonthlyFAME!M58=0,"",MonthlyFAME!M58)</f>
        <v/>
      </c>
      <c r="M56" s="21" t="str">
        <f>IF(MonthlyFAME!N58=0,"",MonthlyFAME!N58)</f>
        <v/>
      </c>
      <c r="N56" s="21" t="str">
        <f>IF(MonthlyFAME!O58=0,"",MonthlyFAME!O58)</f>
        <v/>
      </c>
      <c r="O56" s="21" t="str">
        <f>IF(MonthlyFAME!P58=0,"",MonthlyFAME!P58)</f>
        <v/>
      </c>
      <c r="P56" s="21" t="str">
        <f>IF(MonthlyFAME!Q58=0,"",MonthlyFAME!Q58)</f>
        <v/>
      </c>
      <c r="Q56" s="21" t="str">
        <f>IF(MonthlyFAME!R58=0,"",MonthlyFAME!R58)</f>
        <v/>
      </c>
      <c r="R56" s="21" t="str">
        <f>IF(MonthlyFAME!S58=0,"",MonthlyFAME!S58)</f>
        <v/>
      </c>
      <c r="S56" s="21" t="str">
        <f>IF(MonthlyFAME!T58=0,"",MonthlyFAME!T58)</f>
        <v/>
      </c>
      <c r="T56" s="21" t="str">
        <f>IF(MonthlyFAME!U58=0,"",MonthlyFAME!U58)</f>
        <v/>
      </c>
    </row>
    <row r="57" spans="1:20" x14ac:dyDescent="0.2">
      <c r="A57" s="23">
        <f>IF(MonthlyFAME!A59=0,"",MonthlyFAME!A59)</f>
        <v>23528</v>
      </c>
      <c r="B57" s="21" t="str">
        <f>IF(MonthlyFAME!B59=0,"",MonthlyFAME!B59)</f>
        <v/>
      </c>
      <c r="C57" s="21">
        <f>IF(MonthlyFAME!C59=0,"",MonthlyFAME!C59)</f>
        <v>46.3</v>
      </c>
      <c r="D57" s="21" t="str">
        <f>IF(MonthlyFAME!D59=0,"",MonthlyFAME!D59)</f>
        <v/>
      </c>
      <c r="E57" s="21" t="str">
        <f>IF(MonthlyFAME!F59=0,"",MonthlyFAME!F59)</f>
        <v/>
      </c>
      <c r="F57" s="21" t="str">
        <f>IF(MonthlyFAME!G59=0,"",MonthlyFAME!G59)</f>
        <v/>
      </c>
      <c r="G57" s="21" t="str">
        <f>IF(MonthlyFAME!H59=0,"",MonthlyFAME!H59)</f>
        <v/>
      </c>
      <c r="H57" s="21" t="str">
        <f>IF(MonthlyFAME!I59=0,"",MonthlyFAME!I59)</f>
        <v/>
      </c>
      <c r="I57" s="21" t="str">
        <f>IF(MonthlyFAME!J59=0,"",MonthlyFAME!J59)</f>
        <v/>
      </c>
      <c r="J57" s="24"/>
      <c r="K57" s="21">
        <f>IF(MonthlyFAME!L59=0,"",MonthlyFAME!L59)</f>
        <v>11.764517486565699</v>
      </c>
      <c r="L57" s="21" t="str">
        <f>IF(MonthlyFAME!M59=0,"",MonthlyFAME!M59)</f>
        <v/>
      </c>
      <c r="M57" s="21" t="str">
        <f>IF(MonthlyFAME!N59=0,"",MonthlyFAME!N59)</f>
        <v/>
      </c>
      <c r="N57" s="21" t="str">
        <f>IF(MonthlyFAME!O59=0,"",MonthlyFAME!O59)</f>
        <v/>
      </c>
      <c r="O57" s="21" t="str">
        <f>IF(MonthlyFAME!P59=0,"",MonthlyFAME!P59)</f>
        <v/>
      </c>
      <c r="P57" s="21" t="str">
        <f>IF(MonthlyFAME!Q59=0,"",MonthlyFAME!Q59)</f>
        <v/>
      </c>
      <c r="Q57" s="21" t="str">
        <f>IF(MonthlyFAME!R59=0,"",MonthlyFAME!R59)</f>
        <v/>
      </c>
      <c r="R57" s="21" t="str">
        <f>IF(MonthlyFAME!S59=0,"",MonthlyFAME!S59)</f>
        <v/>
      </c>
      <c r="S57" s="21" t="str">
        <f>IF(MonthlyFAME!T59=0,"",MonthlyFAME!T59)</f>
        <v/>
      </c>
      <c r="T57" s="21" t="str">
        <f>IF(MonthlyFAME!U59=0,"",MonthlyFAME!U59)</f>
        <v/>
      </c>
    </row>
    <row r="58" spans="1:20" x14ac:dyDescent="0.2">
      <c r="A58" s="23">
        <f>IF(MonthlyFAME!A60=0,"",MonthlyFAME!A60)</f>
        <v>23558</v>
      </c>
      <c r="B58" s="21" t="str">
        <f>IF(MonthlyFAME!B60=0,"",MonthlyFAME!B60)</f>
        <v/>
      </c>
      <c r="C58" s="21">
        <f>IF(MonthlyFAME!C60=0,"",MonthlyFAME!C60)</f>
        <v>46.3</v>
      </c>
      <c r="D58" s="21" t="str">
        <f>IF(MonthlyFAME!D60=0,"",MonthlyFAME!D60)</f>
        <v/>
      </c>
      <c r="E58" s="21" t="str">
        <f>IF(MonthlyFAME!F60=0,"",MonthlyFAME!F60)</f>
        <v/>
      </c>
      <c r="F58" s="21" t="str">
        <f>IF(MonthlyFAME!G60=0,"",MonthlyFAME!G60)</f>
        <v/>
      </c>
      <c r="G58" s="21" t="str">
        <f>IF(MonthlyFAME!H60=0,"",MonthlyFAME!H60)</f>
        <v/>
      </c>
      <c r="H58" s="21" t="str">
        <f>IF(MonthlyFAME!I60=0,"",MonthlyFAME!I60)</f>
        <v/>
      </c>
      <c r="I58" s="21" t="str">
        <f>IF(MonthlyFAME!J60=0,"",MonthlyFAME!J60)</f>
        <v/>
      </c>
      <c r="J58" s="24"/>
      <c r="K58" s="21">
        <f>IF(MonthlyFAME!L60=0,"",MonthlyFAME!L60)</f>
        <v>11.617765868082699</v>
      </c>
      <c r="L58" s="21" t="str">
        <f>IF(MonthlyFAME!M60=0,"",MonthlyFAME!M60)</f>
        <v/>
      </c>
      <c r="M58" s="21" t="str">
        <f>IF(MonthlyFAME!N60=0,"",MonthlyFAME!N60)</f>
        <v/>
      </c>
      <c r="N58" s="21" t="str">
        <f>IF(MonthlyFAME!O60=0,"",MonthlyFAME!O60)</f>
        <v/>
      </c>
      <c r="O58" s="21" t="str">
        <f>IF(MonthlyFAME!P60=0,"",MonthlyFAME!P60)</f>
        <v/>
      </c>
      <c r="P58" s="21" t="str">
        <f>IF(MonthlyFAME!Q60=0,"",MonthlyFAME!Q60)</f>
        <v/>
      </c>
      <c r="Q58" s="21" t="str">
        <f>IF(MonthlyFAME!R60=0,"",MonthlyFAME!R60)</f>
        <v/>
      </c>
      <c r="R58" s="21" t="str">
        <f>IF(MonthlyFAME!S60=0,"",MonthlyFAME!S60)</f>
        <v/>
      </c>
      <c r="S58" s="21" t="str">
        <f>IF(MonthlyFAME!T60=0,"",MonthlyFAME!T60)</f>
        <v/>
      </c>
      <c r="T58" s="21" t="str">
        <f>IF(MonthlyFAME!U60=0,"",MonthlyFAME!U60)</f>
        <v/>
      </c>
    </row>
    <row r="59" spans="1:20" x14ac:dyDescent="0.2">
      <c r="A59" s="23">
        <f>IF(MonthlyFAME!A61=0,"",MonthlyFAME!A61)</f>
        <v>23589</v>
      </c>
      <c r="B59" s="21" t="str">
        <f>IF(MonthlyFAME!B61=0,"",MonthlyFAME!B61)</f>
        <v/>
      </c>
      <c r="C59" s="21">
        <f>IF(MonthlyFAME!C61=0,"",MonthlyFAME!C61)</f>
        <v>46.5</v>
      </c>
      <c r="D59" s="21" t="str">
        <f>IF(MonthlyFAME!D61=0,"",MonthlyFAME!D61)</f>
        <v/>
      </c>
      <c r="E59" s="21" t="str">
        <f>IF(MonthlyFAME!F61=0,"",MonthlyFAME!F61)</f>
        <v/>
      </c>
      <c r="F59" s="21" t="str">
        <f>IF(MonthlyFAME!G61=0,"",MonthlyFAME!G61)</f>
        <v/>
      </c>
      <c r="G59" s="21" t="str">
        <f>IF(MonthlyFAME!H61=0,"",MonthlyFAME!H61)</f>
        <v/>
      </c>
      <c r="H59" s="21" t="str">
        <f>IF(MonthlyFAME!I61=0,"",MonthlyFAME!I61)</f>
        <v/>
      </c>
      <c r="I59" s="21" t="str">
        <f>IF(MonthlyFAME!J61=0,"",MonthlyFAME!J61)</f>
        <v/>
      </c>
      <c r="J59" s="24"/>
      <c r="K59" s="21">
        <f>IF(MonthlyFAME!L61=0,"",MonthlyFAME!L61)</f>
        <v>11.676305808483701</v>
      </c>
      <c r="L59" s="21" t="str">
        <f>IF(MonthlyFAME!M61=0,"",MonthlyFAME!M61)</f>
        <v/>
      </c>
      <c r="M59" s="21" t="str">
        <f>IF(MonthlyFAME!N61=0,"",MonthlyFAME!N61)</f>
        <v/>
      </c>
      <c r="N59" s="21" t="str">
        <f>IF(MonthlyFAME!O61=0,"",MonthlyFAME!O61)</f>
        <v/>
      </c>
      <c r="O59" s="21" t="str">
        <f>IF(MonthlyFAME!P61=0,"",MonthlyFAME!P61)</f>
        <v/>
      </c>
      <c r="P59" s="21" t="str">
        <f>IF(MonthlyFAME!Q61=0,"",MonthlyFAME!Q61)</f>
        <v/>
      </c>
      <c r="Q59" s="21" t="str">
        <f>IF(MonthlyFAME!R61=0,"",MonthlyFAME!R61)</f>
        <v/>
      </c>
      <c r="R59" s="21" t="str">
        <f>IF(MonthlyFAME!S61=0,"",MonthlyFAME!S61)</f>
        <v/>
      </c>
      <c r="S59" s="21" t="str">
        <f>IF(MonthlyFAME!T61=0,"",MonthlyFAME!T61)</f>
        <v/>
      </c>
      <c r="T59" s="21" t="str">
        <f>IF(MonthlyFAME!U61=0,"",MonthlyFAME!U61)</f>
        <v/>
      </c>
    </row>
    <row r="60" spans="1:20" x14ac:dyDescent="0.2">
      <c r="A60" s="23">
        <f>IF(MonthlyFAME!A62=0,"",MonthlyFAME!A62)</f>
        <v>23620</v>
      </c>
      <c r="B60" s="21" t="str">
        <f>IF(MonthlyFAME!B62=0,"",MonthlyFAME!B62)</f>
        <v/>
      </c>
      <c r="C60" s="21">
        <f>IF(MonthlyFAME!C62=0,"",MonthlyFAME!C62)</f>
        <v>46.8</v>
      </c>
      <c r="D60" s="21" t="str">
        <f>IF(MonthlyFAME!D62=0,"",MonthlyFAME!D62)</f>
        <v/>
      </c>
      <c r="E60" s="21" t="str">
        <f>IF(MonthlyFAME!F62=0,"",MonthlyFAME!F62)</f>
        <v/>
      </c>
      <c r="F60" s="21" t="str">
        <f>IF(MonthlyFAME!G62=0,"",MonthlyFAME!G62)</f>
        <v/>
      </c>
      <c r="G60" s="21" t="str">
        <f>IF(MonthlyFAME!H62=0,"",MonthlyFAME!H62)</f>
        <v/>
      </c>
      <c r="H60" s="21" t="str">
        <f>IF(MonthlyFAME!I62=0,"",MonthlyFAME!I62)</f>
        <v/>
      </c>
      <c r="I60" s="21" t="str">
        <f>IF(MonthlyFAME!J62=0,"",MonthlyFAME!J62)</f>
        <v/>
      </c>
      <c r="J60" s="24"/>
      <c r="K60" s="21">
        <f>IF(MonthlyFAME!L62=0,"",MonthlyFAME!L62)</f>
        <v>11.9241421687294</v>
      </c>
      <c r="L60" s="21" t="str">
        <f>IF(MonthlyFAME!M62=0,"",MonthlyFAME!M62)</f>
        <v/>
      </c>
      <c r="M60" s="21" t="str">
        <f>IF(MonthlyFAME!N62=0,"",MonthlyFAME!N62)</f>
        <v/>
      </c>
      <c r="N60" s="21" t="str">
        <f>IF(MonthlyFAME!O62=0,"",MonthlyFAME!O62)</f>
        <v/>
      </c>
      <c r="O60" s="21" t="str">
        <f>IF(MonthlyFAME!P62=0,"",MonthlyFAME!P62)</f>
        <v/>
      </c>
      <c r="P60" s="21" t="str">
        <f>IF(MonthlyFAME!Q62=0,"",MonthlyFAME!Q62)</f>
        <v/>
      </c>
      <c r="Q60" s="21" t="str">
        <f>IF(MonthlyFAME!R62=0,"",MonthlyFAME!R62)</f>
        <v/>
      </c>
      <c r="R60" s="21" t="str">
        <f>IF(MonthlyFAME!S62=0,"",MonthlyFAME!S62)</f>
        <v/>
      </c>
      <c r="S60" s="21" t="str">
        <f>IF(MonthlyFAME!T62=0,"",MonthlyFAME!T62)</f>
        <v/>
      </c>
      <c r="T60" s="21" t="str">
        <f>IF(MonthlyFAME!U62=0,"",MonthlyFAME!U62)</f>
        <v/>
      </c>
    </row>
    <row r="61" spans="1:20" x14ac:dyDescent="0.2">
      <c r="A61" s="23">
        <f>IF(MonthlyFAME!A63=0,"",MonthlyFAME!A63)</f>
        <v>23650</v>
      </c>
      <c r="B61" s="21" t="str">
        <f>IF(MonthlyFAME!B63=0,"",MonthlyFAME!B63)</f>
        <v/>
      </c>
      <c r="C61" s="21">
        <f>IF(MonthlyFAME!C63=0,"",MonthlyFAME!C63)</f>
        <v>47.3</v>
      </c>
      <c r="D61" s="21" t="str">
        <f>IF(MonthlyFAME!D63=0,"",MonthlyFAME!D63)</f>
        <v/>
      </c>
      <c r="E61" s="21" t="str">
        <f>IF(MonthlyFAME!F63=0,"",MonthlyFAME!F63)</f>
        <v/>
      </c>
      <c r="F61" s="21" t="str">
        <f>IF(MonthlyFAME!G63=0,"",MonthlyFAME!G63)</f>
        <v/>
      </c>
      <c r="G61" s="21" t="str">
        <f>IF(MonthlyFAME!H63=0,"",MonthlyFAME!H63)</f>
        <v/>
      </c>
      <c r="H61" s="21" t="str">
        <f>IF(MonthlyFAME!I63=0,"",MonthlyFAME!I63)</f>
        <v/>
      </c>
      <c r="I61" s="21" t="str">
        <f>IF(MonthlyFAME!J63=0,"",MonthlyFAME!J63)</f>
        <v/>
      </c>
      <c r="J61" s="24"/>
      <c r="K61" s="21">
        <f>IF(MonthlyFAME!L63=0,"",MonthlyFAME!L63)</f>
        <v>11.913137328050899</v>
      </c>
      <c r="L61" s="21" t="str">
        <f>IF(MonthlyFAME!M63=0,"",MonthlyFAME!M63)</f>
        <v/>
      </c>
      <c r="M61" s="21" t="str">
        <f>IF(MonthlyFAME!N63=0,"",MonthlyFAME!N63)</f>
        <v/>
      </c>
      <c r="N61" s="21" t="str">
        <f>IF(MonthlyFAME!O63=0,"",MonthlyFAME!O63)</f>
        <v/>
      </c>
      <c r="O61" s="21" t="str">
        <f>IF(MonthlyFAME!P63=0,"",MonthlyFAME!P63)</f>
        <v/>
      </c>
      <c r="P61" s="21" t="str">
        <f>IF(MonthlyFAME!Q63=0,"",MonthlyFAME!Q63)</f>
        <v/>
      </c>
      <c r="Q61" s="21" t="str">
        <f>IF(MonthlyFAME!R63=0,"",MonthlyFAME!R63)</f>
        <v/>
      </c>
      <c r="R61" s="21" t="str">
        <f>IF(MonthlyFAME!S63=0,"",MonthlyFAME!S63)</f>
        <v/>
      </c>
      <c r="S61" s="21" t="str">
        <f>IF(MonthlyFAME!T63=0,"",MonthlyFAME!T63)</f>
        <v/>
      </c>
      <c r="T61" s="21" t="str">
        <f>IF(MonthlyFAME!U63=0,"",MonthlyFAME!U63)</f>
        <v/>
      </c>
    </row>
    <row r="62" spans="1:20" x14ac:dyDescent="0.2">
      <c r="A62" s="23">
        <f>IF(MonthlyFAME!A64=0,"",MonthlyFAME!A64)</f>
        <v>23681</v>
      </c>
      <c r="B62" s="21" t="str">
        <f>IF(MonthlyFAME!B64=0,"",MonthlyFAME!B64)</f>
        <v/>
      </c>
      <c r="C62" s="21">
        <f>IF(MonthlyFAME!C64=0,"",MonthlyFAME!C64)</f>
        <v>47.9</v>
      </c>
      <c r="D62" s="21" t="str">
        <f>IF(MonthlyFAME!D64=0,"",MonthlyFAME!D64)</f>
        <v/>
      </c>
      <c r="E62" s="21" t="str">
        <f>IF(MonthlyFAME!F64=0,"",MonthlyFAME!F64)</f>
        <v/>
      </c>
      <c r="F62" s="21" t="str">
        <f>IF(MonthlyFAME!G64=0,"",MonthlyFAME!G64)</f>
        <v/>
      </c>
      <c r="G62" s="21" t="str">
        <f>IF(MonthlyFAME!H64=0,"",MonthlyFAME!H64)</f>
        <v/>
      </c>
      <c r="H62" s="21" t="str">
        <f>IF(MonthlyFAME!I64=0,"",MonthlyFAME!I64)</f>
        <v/>
      </c>
      <c r="I62" s="21" t="str">
        <f>IF(MonthlyFAME!J64=0,"",MonthlyFAME!J64)</f>
        <v/>
      </c>
      <c r="J62" s="24"/>
      <c r="K62" s="21">
        <f>IF(MonthlyFAME!L64=0,"",MonthlyFAME!L64)</f>
        <v>11.9039478341942</v>
      </c>
      <c r="L62" s="21" t="str">
        <f>IF(MonthlyFAME!M64=0,"",MonthlyFAME!M64)</f>
        <v/>
      </c>
      <c r="M62" s="21" t="str">
        <f>IF(MonthlyFAME!N64=0,"",MonthlyFAME!N64)</f>
        <v/>
      </c>
      <c r="N62" s="21" t="str">
        <f>IF(MonthlyFAME!O64=0,"",MonthlyFAME!O64)</f>
        <v/>
      </c>
      <c r="O62" s="21" t="str">
        <f>IF(MonthlyFAME!P64=0,"",MonthlyFAME!P64)</f>
        <v/>
      </c>
      <c r="P62" s="21" t="str">
        <f>IF(MonthlyFAME!Q64=0,"",MonthlyFAME!Q64)</f>
        <v/>
      </c>
      <c r="Q62" s="21" t="str">
        <f>IF(MonthlyFAME!R64=0,"",MonthlyFAME!R64)</f>
        <v/>
      </c>
      <c r="R62" s="21" t="str">
        <f>IF(MonthlyFAME!S64=0,"",MonthlyFAME!S64)</f>
        <v/>
      </c>
      <c r="S62" s="21" t="str">
        <f>IF(MonthlyFAME!T64=0,"",MonthlyFAME!T64)</f>
        <v/>
      </c>
      <c r="T62" s="21" t="str">
        <f>IF(MonthlyFAME!U64=0,"",MonthlyFAME!U64)</f>
        <v/>
      </c>
    </row>
    <row r="63" spans="1:20" x14ac:dyDescent="0.2">
      <c r="A63" s="23">
        <f>IF(MonthlyFAME!A65=0,"",MonthlyFAME!A65)</f>
        <v>23711</v>
      </c>
      <c r="B63" s="21" t="str">
        <f>IF(MonthlyFAME!B65=0,"",MonthlyFAME!B65)</f>
        <v/>
      </c>
      <c r="C63" s="21">
        <f>IF(MonthlyFAME!C65=0,"",MonthlyFAME!C65)</f>
        <v>48.2</v>
      </c>
      <c r="D63" s="21" t="str">
        <f>IF(MonthlyFAME!D65=0,"",MonthlyFAME!D65)</f>
        <v/>
      </c>
      <c r="E63" s="21" t="str">
        <f>IF(MonthlyFAME!F65=0,"",MonthlyFAME!F65)</f>
        <v/>
      </c>
      <c r="F63" s="21" t="str">
        <f>IF(MonthlyFAME!G65=0,"",MonthlyFAME!G65)</f>
        <v/>
      </c>
      <c r="G63" s="21" t="str">
        <f>IF(MonthlyFAME!H65=0,"",MonthlyFAME!H65)</f>
        <v/>
      </c>
      <c r="H63" s="21" t="str">
        <f>IF(MonthlyFAME!I65=0,"",MonthlyFAME!I65)</f>
        <v/>
      </c>
      <c r="I63" s="21" t="str">
        <f>IF(MonthlyFAME!J65=0,"",MonthlyFAME!J65)</f>
        <v/>
      </c>
      <c r="J63" s="24"/>
      <c r="K63" s="21">
        <f>IF(MonthlyFAME!L65=0,"",MonthlyFAME!L65)</f>
        <v>11.8247094786863</v>
      </c>
      <c r="L63" s="21" t="str">
        <f>IF(MonthlyFAME!M65=0,"",MonthlyFAME!M65)</f>
        <v/>
      </c>
      <c r="M63" s="21" t="str">
        <f>IF(MonthlyFAME!N65=0,"",MonthlyFAME!N65)</f>
        <v/>
      </c>
      <c r="N63" s="21" t="str">
        <f>IF(MonthlyFAME!O65=0,"",MonthlyFAME!O65)</f>
        <v/>
      </c>
      <c r="O63" s="21" t="str">
        <f>IF(MonthlyFAME!P65=0,"",MonthlyFAME!P65)</f>
        <v/>
      </c>
      <c r="P63" s="21" t="str">
        <f>IF(MonthlyFAME!Q65=0,"",MonthlyFAME!Q65)</f>
        <v/>
      </c>
      <c r="Q63" s="21" t="str">
        <f>IF(MonthlyFAME!R65=0,"",MonthlyFAME!R65)</f>
        <v/>
      </c>
      <c r="R63" s="21" t="str">
        <f>IF(MonthlyFAME!S65=0,"",MonthlyFAME!S65)</f>
        <v/>
      </c>
      <c r="S63" s="21" t="str">
        <f>IF(MonthlyFAME!T65=0,"",MonthlyFAME!T65)</f>
        <v/>
      </c>
      <c r="T63" s="21" t="str">
        <f>IF(MonthlyFAME!U65=0,"",MonthlyFAME!U65)</f>
        <v/>
      </c>
    </row>
    <row r="64" spans="1:20" x14ac:dyDescent="0.2">
      <c r="A64" s="23">
        <f>IF(MonthlyFAME!A66=0,"",MonthlyFAME!A66)</f>
        <v>23742</v>
      </c>
      <c r="B64" s="21" t="str">
        <f>IF(MonthlyFAME!B66=0,"",MonthlyFAME!B66)</f>
        <v/>
      </c>
      <c r="C64" s="21">
        <f>IF(MonthlyFAME!C66=0,"",MonthlyFAME!C66)</f>
        <v>48.3</v>
      </c>
      <c r="D64" s="21" t="str">
        <f>IF(MonthlyFAME!D66=0,"",MonthlyFAME!D66)</f>
        <v/>
      </c>
      <c r="E64" s="21" t="str">
        <f>IF(MonthlyFAME!F66=0,"",MonthlyFAME!F66)</f>
        <v/>
      </c>
      <c r="F64" s="21" t="str">
        <f>IF(MonthlyFAME!G66=0,"",MonthlyFAME!G66)</f>
        <v/>
      </c>
      <c r="G64" s="21" t="str">
        <f>IF(MonthlyFAME!H66=0,"",MonthlyFAME!H66)</f>
        <v/>
      </c>
      <c r="H64" s="21" t="str">
        <f>IF(MonthlyFAME!I66=0,"",MonthlyFAME!I66)</f>
        <v/>
      </c>
      <c r="I64" s="21" t="str">
        <f>IF(MonthlyFAME!J66=0,"",MonthlyFAME!J66)</f>
        <v/>
      </c>
      <c r="J64" s="24"/>
      <c r="K64" s="21">
        <f>IF(MonthlyFAME!L66=0,"",MonthlyFAME!L66)</f>
        <v>12.002282674269701</v>
      </c>
      <c r="L64" s="21" t="str">
        <f>IF(MonthlyFAME!M66=0,"",MonthlyFAME!M66)</f>
        <v/>
      </c>
      <c r="M64" s="21" t="str">
        <f>IF(MonthlyFAME!N66=0,"",MonthlyFAME!N66)</f>
        <v/>
      </c>
      <c r="N64" s="21" t="str">
        <f>IF(MonthlyFAME!O66=0,"",MonthlyFAME!O66)</f>
        <v/>
      </c>
      <c r="O64" s="21" t="str">
        <f>IF(MonthlyFAME!P66=0,"",MonthlyFAME!P66)</f>
        <v/>
      </c>
      <c r="P64" s="21" t="str">
        <f>IF(MonthlyFAME!Q66=0,"",MonthlyFAME!Q66)</f>
        <v/>
      </c>
      <c r="Q64" s="21" t="str">
        <f>IF(MonthlyFAME!R66=0,"",MonthlyFAME!R66)</f>
        <v/>
      </c>
      <c r="R64" s="21" t="str">
        <f>IF(MonthlyFAME!S66=0,"",MonthlyFAME!S66)</f>
        <v/>
      </c>
      <c r="S64" s="21" t="str">
        <f>IF(MonthlyFAME!T66=0,"",MonthlyFAME!T66)</f>
        <v/>
      </c>
      <c r="T64" s="21" t="str">
        <f>IF(MonthlyFAME!U66=0,"",MonthlyFAME!U66)</f>
        <v/>
      </c>
    </row>
    <row r="65" spans="1:20" x14ac:dyDescent="0.2">
      <c r="A65" s="23">
        <f>IF(MonthlyFAME!A67=0,"",MonthlyFAME!A67)</f>
        <v>23773</v>
      </c>
      <c r="B65" s="21" t="str">
        <f>IF(MonthlyFAME!B67=0,"",MonthlyFAME!B67)</f>
        <v/>
      </c>
      <c r="C65" s="21">
        <f>IF(MonthlyFAME!C67=0,"",MonthlyFAME!C67)</f>
        <v>48.2</v>
      </c>
      <c r="D65" s="21" t="str">
        <f>IF(MonthlyFAME!D67=0,"",MonthlyFAME!D67)</f>
        <v/>
      </c>
      <c r="E65" s="21" t="str">
        <f>IF(MonthlyFAME!F67=0,"",MonthlyFAME!F67)</f>
        <v/>
      </c>
      <c r="F65" s="21" t="str">
        <f>IF(MonthlyFAME!G67=0,"",MonthlyFAME!G67)</f>
        <v/>
      </c>
      <c r="G65" s="21" t="str">
        <f>IF(MonthlyFAME!H67=0,"",MonthlyFAME!H67)</f>
        <v/>
      </c>
      <c r="H65" s="21" t="str">
        <f>IF(MonthlyFAME!I67=0,"",MonthlyFAME!I67)</f>
        <v/>
      </c>
      <c r="I65" s="21" t="str">
        <f>IF(MonthlyFAME!J67=0,"",MonthlyFAME!J67)</f>
        <v/>
      </c>
      <c r="J65" s="24"/>
      <c r="K65" s="21">
        <f>IF(MonthlyFAME!L67=0,"",MonthlyFAME!L67)</f>
        <v>11.9408461369094</v>
      </c>
      <c r="L65" s="21" t="str">
        <f>IF(MonthlyFAME!M67=0,"",MonthlyFAME!M67)</f>
        <v/>
      </c>
      <c r="M65" s="21" t="str">
        <f>IF(MonthlyFAME!N67=0,"",MonthlyFAME!N67)</f>
        <v/>
      </c>
      <c r="N65" s="21" t="str">
        <f>IF(MonthlyFAME!O67=0,"",MonthlyFAME!O67)</f>
        <v/>
      </c>
      <c r="O65" s="21" t="str">
        <f>IF(MonthlyFAME!P67=0,"",MonthlyFAME!P67)</f>
        <v/>
      </c>
      <c r="P65" s="21" t="str">
        <f>IF(MonthlyFAME!Q67=0,"",MonthlyFAME!Q67)</f>
        <v/>
      </c>
      <c r="Q65" s="21" t="str">
        <f>IF(MonthlyFAME!R67=0,"",MonthlyFAME!R67)</f>
        <v/>
      </c>
      <c r="R65" s="21" t="str">
        <f>IF(MonthlyFAME!S67=0,"",MonthlyFAME!S67)</f>
        <v/>
      </c>
      <c r="S65" s="21" t="str">
        <f>IF(MonthlyFAME!T67=0,"",MonthlyFAME!T67)</f>
        <v/>
      </c>
      <c r="T65" s="21" t="str">
        <f>IF(MonthlyFAME!U67=0,"",MonthlyFAME!U67)</f>
        <v/>
      </c>
    </row>
    <row r="66" spans="1:20" x14ac:dyDescent="0.2">
      <c r="A66" s="23">
        <f>IF(MonthlyFAME!A68=0,"",MonthlyFAME!A68)</f>
        <v>23801</v>
      </c>
      <c r="B66" s="21" t="str">
        <f>IF(MonthlyFAME!B68=0,"",MonthlyFAME!B68)</f>
        <v/>
      </c>
      <c r="C66" s="21">
        <f>IF(MonthlyFAME!C68=0,"",MonthlyFAME!C68)</f>
        <v>48.1</v>
      </c>
      <c r="D66" s="21" t="str">
        <f>IF(MonthlyFAME!D68=0,"",MonthlyFAME!D68)</f>
        <v/>
      </c>
      <c r="E66" s="21" t="str">
        <f>IF(MonthlyFAME!F68=0,"",MonthlyFAME!F68)</f>
        <v/>
      </c>
      <c r="F66" s="21" t="str">
        <f>IF(MonthlyFAME!G68=0,"",MonthlyFAME!G68)</f>
        <v/>
      </c>
      <c r="G66" s="21" t="str">
        <f>IF(MonthlyFAME!H68=0,"",MonthlyFAME!H68)</f>
        <v/>
      </c>
      <c r="H66" s="21" t="str">
        <f>IF(MonthlyFAME!I68=0,"",MonthlyFAME!I68)</f>
        <v/>
      </c>
      <c r="I66" s="21" t="str">
        <f>IF(MonthlyFAME!J68=0,"",MonthlyFAME!J68)</f>
        <v/>
      </c>
      <c r="J66" s="24"/>
      <c r="K66" s="21">
        <f>IF(MonthlyFAME!L68=0,"",MonthlyFAME!L68)</f>
        <v>12.096738925416201</v>
      </c>
      <c r="L66" s="21" t="str">
        <f>IF(MonthlyFAME!M68=0,"",MonthlyFAME!M68)</f>
        <v/>
      </c>
      <c r="M66" s="21" t="str">
        <f>IF(MonthlyFAME!N68=0,"",MonthlyFAME!N68)</f>
        <v/>
      </c>
      <c r="N66" s="21" t="str">
        <f>IF(MonthlyFAME!O68=0,"",MonthlyFAME!O68)</f>
        <v/>
      </c>
      <c r="O66" s="21" t="str">
        <f>IF(MonthlyFAME!P68=0,"",MonthlyFAME!P68)</f>
        <v/>
      </c>
      <c r="P66" s="21" t="str">
        <f>IF(MonthlyFAME!Q68=0,"",MonthlyFAME!Q68)</f>
        <v/>
      </c>
      <c r="Q66" s="21" t="str">
        <f>IF(MonthlyFAME!R68=0,"",MonthlyFAME!R68)</f>
        <v/>
      </c>
      <c r="R66" s="21" t="str">
        <f>IF(MonthlyFAME!S68=0,"",MonthlyFAME!S68)</f>
        <v/>
      </c>
      <c r="S66" s="21" t="str">
        <f>IF(MonthlyFAME!T68=0,"",MonthlyFAME!T68)</f>
        <v/>
      </c>
      <c r="T66" s="21" t="str">
        <f>IF(MonthlyFAME!U68=0,"",MonthlyFAME!U68)</f>
        <v/>
      </c>
    </row>
    <row r="67" spans="1:20" x14ac:dyDescent="0.2">
      <c r="A67" s="23">
        <f>IF(MonthlyFAME!A69=0,"",MonthlyFAME!A69)</f>
        <v>23832</v>
      </c>
      <c r="B67" s="21" t="str">
        <f>IF(MonthlyFAME!B69=0,"",MonthlyFAME!B69)</f>
        <v/>
      </c>
      <c r="C67" s="21">
        <f>IF(MonthlyFAME!C69=0,"",MonthlyFAME!C69)</f>
        <v>48.1</v>
      </c>
      <c r="D67" s="21" t="str">
        <f>IF(MonthlyFAME!D69=0,"",MonthlyFAME!D69)</f>
        <v/>
      </c>
      <c r="E67" s="21" t="str">
        <f>IF(MonthlyFAME!F69=0,"",MonthlyFAME!F69)</f>
        <v/>
      </c>
      <c r="F67" s="21" t="str">
        <f>IF(MonthlyFAME!G69=0,"",MonthlyFAME!G69)</f>
        <v/>
      </c>
      <c r="G67" s="21" t="str">
        <f>IF(MonthlyFAME!H69=0,"",MonthlyFAME!H69)</f>
        <v/>
      </c>
      <c r="H67" s="21" t="str">
        <f>IF(MonthlyFAME!I69=0,"",MonthlyFAME!I69)</f>
        <v/>
      </c>
      <c r="I67" s="21" t="str">
        <f>IF(MonthlyFAME!J69=0,"",MonthlyFAME!J69)</f>
        <v/>
      </c>
      <c r="J67" s="24"/>
      <c r="K67" s="21">
        <f>IF(MonthlyFAME!L69=0,"",MonthlyFAME!L69)</f>
        <v>12.1983344420719</v>
      </c>
      <c r="L67" s="21" t="str">
        <f>IF(MonthlyFAME!M69=0,"",MonthlyFAME!M69)</f>
        <v/>
      </c>
      <c r="M67" s="21" t="str">
        <f>IF(MonthlyFAME!N69=0,"",MonthlyFAME!N69)</f>
        <v/>
      </c>
      <c r="N67" s="21" t="str">
        <f>IF(MonthlyFAME!O69=0,"",MonthlyFAME!O69)</f>
        <v/>
      </c>
      <c r="O67" s="21" t="str">
        <f>IF(MonthlyFAME!P69=0,"",MonthlyFAME!P69)</f>
        <v/>
      </c>
      <c r="P67" s="21" t="str">
        <f>IF(MonthlyFAME!Q69=0,"",MonthlyFAME!Q69)</f>
        <v/>
      </c>
      <c r="Q67" s="21" t="str">
        <f>IF(MonthlyFAME!R69=0,"",MonthlyFAME!R69)</f>
        <v/>
      </c>
      <c r="R67" s="21" t="str">
        <f>IF(MonthlyFAME!S69=0,"",MonthlyFAME!S69)</f>
        <v/>
      </c>
      <c r="S67" s="21" t="str">
        <f>IF(MonthlyFAME!T69=0,"",MonthlyFAME!T69)</f>
        <v/>
      </c>
      <c r="T67" s="21" t="str">
        <f>IF(MonthlyFAME!U69=0,"",MonthlyFAME!U69)</f>
        <v/>
      </c>
    </row>
    <row r="68" spans="1:20" x14ac:dyDescent="0.2">
      <c r="A68" s="23">
        <f>IF(MonthlyFAME!A70=0,"",MonthlyFAME!A70)</f>
        <v>23862</v>
      </c>
      <c r="B68" s="21" t="str">
        <f>IF(MonthlyFAME!B70=0,"",MonthlyFAME!B70)</f>
        <v/>
      </c>
      <c r="C68" s="21">
        <f>IF(MonthlyFAME!C70=0,"",MonthlyFAME!C70)</f>
        <v>48.1</v>
      </c>
      <c r="D68" s="21" t="str">
        <f>IF(MonthlyFAME!D70=0,"",MonthlyFAME!D70)</f>
        <v/>
      </c>
      <c r="E68" s="21" t="str">
        <f>IF(MonthlyFAME!F70=0,"",MonthlyFAME!F70)</f>
        <v/>
      </c>
      <c r="F68" s="21" t="str">
        <f>IF(MonthlyFAME!G70=0,"",MonthlyFAME!G70)</f>
        <v/>
      </c>
      <c r="G68" s="21" t="str">
        <f>IF(MonthlyFAME!H70=0,"",MonthlyFAME!H70)</f>
        <v/>
      </c>
      <c r="H68" s="21" t="str">
        <f>IF(MonthlyFAME!I70=0,"",MonthlyFAME!I70)</f>
        <v/>
      </c>
      <c r="I68" s="21" t="str">
        <f>IF(MonthlyFAME!J70=0,"",MonthlyFAME!J70)</f>
        <v/>
      </c>
      <c r="J68" s="24"/>
      <c r="K68" s="21">
        <f>IF(MonthlyFAME!L70=0,"",MonthlyFAME!L70)</f>
        <v>11.9464846650122</v>
      </c>
      <c r="L68" s="21" t="str">
        <f>IF(MonthlyFAME!M70=0,"",MonthlyFAME!M70)</f>
        <v/>
      </c>
      <c r="M68" s="21" t="str">
        <f>IF(MonthlyFAME!N70=0,"",MonthlyFAME!N70)</f>
        <v/>
      </c>
      <c r="N68" s="21" t="str">
        <f>IF(MonthlyFAME!O70=0,"",MonthlyFAME!O70)</f>
        <v/>
      </c>
      <c r="O68" s="21" t="str">
        <f>IF(MonthlyFAME!P70=0,"",MonthlyFAME!P70)</f>
        <v/>
      </c>
      <c r="P68" s="21" t="str">
        <f>IF(MonthlyFAME!Q70=0,"",MonthlyFAME!Q70)</f>
        <v/>
      </c>
      <c r="Q68" s="21" t="str">
        <f>IF(MonthlyFAME!R70=0,"",MonthlyFAME!R70)</f>
        <v/>
      </c>
      <c r="R68" s="21" t="str">
        <f>IF(MonthlyFAME!S70=0,"",MonthlyFAME!S70)</f>
        <v/>
      </c>
      <c r="S68" s="21" t="str">
        <f>IF(MonthlyFAME!T70=0,"",MonthlyFAME!T70)</f>
        <v/>
      </c>
      <c r="T68" s="21" t="str">
        <f>IF(MonthlyFAME!U70=0,"",MonthlyFAME!U70)</f>
        <v/>
      </c>
    </row>
    <row r="69" spans="1:20" x14ac:dyDescent="0.2">
      <c r="A69" s="23">
        <f>IF(MonthlyFAME!A71=0,"",MonthlyFAME!A71)</f>
        <v>23893</v>
      </c>
      <c r="B69" s="21" t="str">
        <f>IF(MonthlyFAME!B71=0,"",MonthlyFAME!B71)</f>
        <v/>
      </c>
      <c r="C69" s="21">
        <f>IF(MonthlyFAME!C71=0,"",MonthlyFAME!C71)</f>
        <v>48.1</v>
      </c>
      <c r="D69" s="21" t="str">
        <f>IF(MonthlyFAME!D71=0,"",MonthlyFAME!D71)</f>
        <v/>
      </c>
      <c r="E69" s="21" t="str">
        <f>IF(MonthlyFAME!F71=0,"",MonthlyFAME!F71)</f>
        <v/>
      </c>
      <c r="F69" s="21" t="str">
        <f>IF(MonthlyFAME!G71=0,"",MonthlyFAME!G71)</f>
        <v/>
      </c>
      <c r="G69" s="21" t="str">
        <f>IF(MonthlyFAME!H71=0,"",MonthlyFAME!H71)</f>
        <v/>
      </c>
      <c r="H69" s="21" t="str">
        <f>IF(MonthlyFAME!I71=0,"",MonthlyFAME!I71)</f>
        <v/>
      </c>
      <c r="I69" s="21" t="str">
        <f>IF(MonthlyFAME!J71=0,"",MonthlyFAME!J71)</f>
        <v/>
      </c>
      <c r="J69" s="24"/>
      <c r="K69" s="21">
        <f>IF(MonthlyFAME!L71=0,"",MonthlyFAME!L71)</f>
        <v>12.6334437078413</v>
      </c>
      <c r="L69" s="21" t="str">
        <f>IF(MonthlyFAME!M71=0,"",MonthlyFAME!M71)</f>
        <v/>
      </c>
      <c r="M69" s="21" t="str">
        <f>IF(MonthlyFAME!N71=0,"",MonthlyFAME!N71)</f>
        <v/>
      </c>
      <c r="N69" s="21" t="str">
        <f>IF(MonthlyFAME!O71=0,"",MonthlyFAME!O71)</f>
        <v/>
      </c>
      <c r="O69" s="21" t="str">
        <f>IF(MonthlyFAME!P71=0,"",MonthlyFAME!P71)</f>
        <v/>
      </c>
      <c r="P69" s="21" t="str">
        <f>IF(MonthlyFAME!Q71=0,"",MonthlyFAME!Q71)</f>
        <v/>
      </c>
      <c r="Q69" s="21" t="str">
        <f>IF(MonthlyFAME!R71=0,"",MonthlyFAME!R71)</f>
        <v/>
      </c>
      <c r="R69" s="21" t="str">
        <f>IF(MonthlyFAME!S71=0,"",MonthlyFAME!S71)</f>
        <v/>
      </c>
      <c r="S69" s="21" t="str">
        <f>IF(MonthlyFAME!T71=0,"",MonthlyFAME!T71)</f>
        <v/>
      </c>
      <c r="T69" s="21" t="str">
        <f>IF(MonthlyFAME!U71=0,"",MonthlyFAME!U71)</f>
        <v/>
      </c>
    </row>
    <row r="70" spans="1:20" x14ac:dyDescent="0.2">
      <c r="A70" s="23">
        <f>IF(MonthlyFAME!A72=0,"",MonthlyFAME!A72)</f>
        <v>23923</v>
      </c>
      <c r="B70" s="21" t="str">
        <f>IF(MonthlyFAME!B72=0,"",MonthlyFAME!B72)</f>
        <v/>
      </c>
      <c r="C70" s="21">
        <f>IF(MonthlyFAME!C72=0,"",MonthlyFAME!C72)</f>
        <v>48.1</v>
      </c>
      <c r="D70" s="21" t="str">
        <f>IF(MonthlyFAME!D72=0,"",MonthlyFAME!D72)</f>
        <v/>
      </c>
      <c r="E70" s="21" t="str">
        <f>IF(MonthlyFAME!F72=0,"",MonthlyFAME!F72)</f>
        <v/>
      </c>
      <c r="F70" s="21" t="str">
        <f>IF(MonthlyFAME!G72=0,"",MonthlyFAME!G72)</f>
        <v/>
      </c>
      <c r="G70" s="21" t="str">
        <f>IF(MonthlyFAME!H72=0,"",MonthlyFAME!H72)</f>
        <v/>
      </c>
      <c r="H70" s="21" t="str">
        <f>IF(MonthlyFAME!I72=0,"",MonthlyFAME!I72)</f>
        <v/>
      </c>
      <c r="I70" s="21" t="str">
        <f>IF(MonthlyFAME!J72=0,"",MonthlyFAME!J72)</f>
        <v/>
      </c>
      <c r="J70" s="24"/>
      <c r="K70" s="21">
        <f>IF(MonthlyFAME!L72=0,"",MonthlyFAME!L72)</f>
        <v>12.471596641105499</v>
      </c>
      <c r="L70" s="21" t="str">
        <f>IF(MonthlyFAME!M72=0,"",MonthlyFAME!M72)</f>
        <v/>
      </c>
      <c r="M70" s="21" t="str">
        <f>IF(MonthlyFAME!N72=0,"",MonthlyFAME!N72)</f>
        <v/>
      </c>
      <c r="N70" s="21" t="str">
        <f>IF(MonthlyFAME!O72=0,"",MonthlyFAME!O72)</f>
        <v/>
      </c>
      <c r="O70" s="21" t="str">
        <f>IF(MonthlyFAME!P72=0,"",MonthlyFAME!P72)</f>
        <v/>
      </c>
      <c r="P70" s="21" t="str">
        <f>IF(MonthlyFAME!Q72=0,"",MonthlyFAME!Q72)</f>
        <v/>
      </c>
      <c r="Q70" s="21" t="str">
        <f>IF(MonthlyFAME!R72=0,"",MonthlyFAME!R72)</f>
        <v/>
      </c>
      <c r="R70" s="21" t="str">
        <f>IF(MonthlyFAME!S72=0,"",MonthlyFAME!S72)</f>
        <v/>
      </c>
      <c r="S70" s="21" t="str">
        <f>IF(MonthlyFAME!T72=0,"",MonthlyFAME!T72)</f>
        <v/>
      </c>
      <c r="T70" s="21" t="str">
        <f>IF(MonthlyFAME!U72=0,"",MonthlyFAME!U72)</f>
        <v/>
      </c>
    </row>
    <row r="71" spans="1:20" x14ac:dyDescent="0.2">
      <c r="A71" s="23">
        <f>IF(MonthlyFAME!A73=0,"",MonthlyFAME!A73)</f>
        <v>23954</v>
      </c>
      <c r="B71" s="21" t="str">
        <f>IF(MonthlyFAME!B73=0,"",MonthlyFAME!B73)</f>
        <v/>
      </c>
      <c r="C71" s="21">
        <f>IF(MonthlyFAME!C73=0,"",MonthlyFAME!C73)</f>
        <v>48.1</v>
      </c>
      <c r="D71" s="21" t="str">
        <f>IF(MonthlyFAME!D73=0,"",MonthlyFAME!D73)</f>
        <v/>
      </c>
      <c r="E71" s="21" t="str">
        <f>IF(MonthlyFAME!F73=0,"",MonthlyFAME!F73)</f>
        <v/>
      </c>
      <c r="F71" s="21" t="str">
        <f>IF(MonthlyFAME!G73=0,"",MonthlyFAME!G73)</f>
        <v/>
      </c>
      <c r="G71" s="21" t="str">
        <f>IF(MonthlyFAME!H73=0,"",MonthlyFAME!H73)</f>
        <v/>
      </c>
      <c r="H71" s="21" t="str">
        <f>IF(MonthlyFAME!I73=0,"",MonthlyFAME!I73)</f>
        <v/>
      </c>
      <c r="I71" s="21" t="str">
        <f>IF(MonthlyFAME!J73=0,"",MonthlyFAME!J73)</f>
        <v/>
      </c>
      <c r="J71" s="24"/>
      <c r="K71" s="21">
        <f>IF(MonthlyFAME!L73=0,"",MonthlyFAME!L73)</f>
        <v>12.519809666843701</v>
      </c>
      <c r="L71" s="21" t="str">
        <f>IF(MonthlyFAME!M73=0,"",MonthlyFAME!M73)</f>
        <v/>
      </c>
      <c r="M71" s="21" t="str">
        <f>IF(MonthlyFAME!N73=0,"",MonthlyFAME!N73)</f>
        <v/>
      </c>
      <c r="N71" s="21" t="str">
        <f>IF(MonthlyFAME!O73=0,"",MonthlyFAME!O73)</f>
        <v/>
      </c>
      <c r="O71" s="21" t="str">
        <f>IF(MonthlyFAME!P73=0,"",MonthlyFAME!P73)</f>
        <v/>
      </c>
      <c r="P71" s="21" t="str">
        <f>IF(MonthlyFAME!Q73=0,"",MonthlyFAME!Q73)</f>
        <v/>
      </c>
      <c r="Q71" s="21" t="str">
        <f>IF(MonthlyFAME!R73=0,"",MonthlyFAME!R73)</f>
        <v/>
      </c>
      <c r="R71" s="21" t="str">
        <f>IF(MonthlyFAME!S73=0,"",MonthlyFAME!S73)</f>
        <v/>
      </c>
      <c r="S71" s="21" t="str">
        <f>IF(MonthlyFAME!T73=0,"",MonthlyFAME!T73)</f>
        <v/>
      </c>
      <c r="T71" s="21" t="str">
        <f>IF(MonthlyFAME!U73=0,"",MonthlyFAME!U73)</f>
        <v/>
      </c>
    </row>
    <row r="72" spans="1:20" x14ac:dyDescent="0.2">
      <c r="A72" s="23">
        <f>IF(MonthlyFAME!A74=0,"",MonthlyFAME!A74)</f>
        <v>23985</v>
      </c>
      <c r="B72" s="21" t="str">
        <f>IF(MonthlyFAME!B74=0,"",MonthlyFAME!B74)</f>
        <v/>
      </c>
      <c r="C72" s="21">
        <f>IF(MonthlyFAME!C74=0,"",MonthlyFAME!C74)</f>
        <v>48.1</v>
      </c>
      <c r="D72" s="21" t="str">
        <f>IF(MonthlyFAME!D74=0,"",MonthlyFAME!D74)</f>
        <v/>
      </c>
      <c r="E72" s="21" t="str">
        <f>IF(MonthlyFAME!F74=0,"",MonthlyFAME!F74)</f>
        <v/>
      </c>
      <c r="F72" s="21" t="str">
        <f>IF(MonthlyFAME!G74=0,"",MonthlyFAME!G74)</f>
        <v/>
      </c>
      <c r="G72" s="21" t="str">
        <f>IF(MonthlyFAME!H74=0,"",MonthlyFAME!H74)</f>
        <v/>
      </c>
      <c r="H72" s="21" t="str">
        <f>IF(MonthlyFAME!I74=0,"",MonthlyFAME!I74)</f>
        <v/>
      </c>
      <c r="I72" s="21" t="str">
        <f>IF(MonthlyFAME!J74=0,"",MonthlyFAME!J74)</f>
        <v/>
      </c>
      <c r="J72" s="24"/>
      <c r="K72" s="21">
        <f>IF(MonthlyFAME!L74=0,"",MonthlyFAME!L74)</f>
        <v>12.50609743922</v>
      </c>
      <c r="L72" s="21" t="str">
        <f>IF(MonthlyFAME!M74=0,"",MonthlyFAME!M74)</f>
        <v/>
      </c>
      <c r="M72" s="21" t="str">
        <f>IF(MonthlyFAME!N74=0,"",MonthlyFAME!N74)</f>
        <v/>
      </c>
      <c r="N72" s="21" t="str">
        <f>IF(MonthlyFAME!O74=0,"",MonthlyFAME!O74)</f>
        <v/>
      </c>
      <c r="O72" s="21" t="str">
        <f>IF(MonthlyFAME!P74=0,"",MonthlyFAME!P74)</f>
        <v/>
      </c>
      <c r="P72" s="21" t="str">
        <f>IF(MonthlyFAME!Q74=0,"",MonthlyFAME!Q74)</f>
        <v/>
      </c>
      <c r="Q72" s="21" t="str">
        <f>IF(MonthlyFAME!R74=0,"",MonthlyFAME!R74)</f>
        <v/>
      </c>
      <c r="R72" s="21" t="str">
        <f>IF(MonthlyFAME!S74=0,"",MonthlyFAME!S74)</f>
        <v/>
      </c>
      <c r="S72" s="21" t="str">
        <f>IF(MonthlyFAME!T74=0,"",MonthlyFAME!T74)</f>
        <v/>
      </c>
      <c r="T72" s="21" t="str">
        <f>IF(MonthlyFAME!U74=0,"",MonthlyFAME!U74)</f>
        <v/>
      </c>
    </row>
    <row r="73" spans="1:20" x14ac:dyDescent="0.2">
      <c r="A73" s="23">
        <f>IF(MonthlyFAME!A75=0,"",MonthlyFAME!A75)</f>
        <v>24015</v>
      </c>
      <c r="B73" s="21" t="str">
        <f>IF(MonthlyFAME!B75=0,"",MonthlyFAME!B75)</f>
        <v/>
      </c>
      <c r="C73" s="21">
        <f>IF(MonthlyFAME!C75=0,"",MonthlyFAME!C75)</f>
        <v>48.2</v>
      </c>
      <c r="D73" s="21" t="str">
        <f>IF(MonthlyFAME!D75=0,"",MonthlyFAME!D75)</f>
        <v/>
      </c>
      <c r="E73" s="21" t="str">
        <f>IF(MonthlyFAME!F75=0,"",MonthlyFAME!F75)</f>
        <v/>
      </c>
      <c r="F73" s="21" t="str">
        <f>IF(MonthlyFAME!G75=0,"",MonthlyFAME!G75)</f>
        <v/>
      </c>
      <c r="G73" s="21" t="str">
        <f>IF(MonthlyFAME!H75=0,"",MonthlyFAME!H75)</f>
        <v/>
      </c>
      <c r="H73" s="21" t="str">
        <f>IF(MonthlyFAME!I75=0,"",MonthlyFAME!I75)</f>
        <v/>
      </c>
      <c r="I73" s="21" t="str">
        <f>IF(MonthlyFAME!J75=0,"",MonthlyFAME!J75)</f>
        <v/>
      </c>
      <c r="J73" s="24"/>
      <c r="K73" s="21">
        <f>IF(MonthlyFAME!L75=0,"",MonthlyFAME!L75)</f>
        <v>12.7517012754279</v>
      </c>
      <c r="L73" s="21" t="str">
        <f>IF(MonthlyFAME!M75=0,"",MonthlyFAME!M75)</f>
        <v/>
      </c>
      <c r="M73" s="21" t="str">
        <f>IF(MonthlyFAME!N75=0,"",MonthlyFAME!N75)</f>
        <v/>
      </c>
      <c r="N73" s="21" t="str">
        <f>IF(MonthlyFAME!O75=0,"",MonthlyFAME!O75)</f>
        <v/>
      </c>
      <c r="O73" s="21" t="str">
        <f>IF(MonthlyFAME!P75=0,"",MonthlyFAME!P75)</f>
        <v/>
      </c>
      <c r="P73" s="21" t="str">
        <f>IF(MonthlyFAME!Q75=0,"",MonthlyFAME!Q75)</f>
        <v/>
      </c>
      <c r="Q73" s="21" t="str">
        <f>IF(MonthlyFAME!R75=0,"",MonthlyFAME!R75)</f>
        <v/>
      </c>
      <c r="R73" s="21" t="str">
        <f>IF(MonthlyFAME!S75=0,"",MonthlyFAME!S75)</f>
        <v/>
      </c>
      <c r="S73" s="21" t="str">
        <f>IF(MonthlyFAME!T75=0,"",MonthlyFAME!T75)</f>
        <v/>
      </c>
      <c r="T73" s="21" t="str">
        <f>IF(MonthlyFAME!U75=0,"",MonthlyFAME!U75)</f>
        <v/>
      </c>
    </row>
    <row r="74" spans="1:20" x14ac:dyDescent="0.2">
      <c r="A74" s="23">
        <f>IF(MonthlyFAME!A76=0,"",MonthlyFAME!A76)</f>
        <v>24046</v>
      </c>
      <c r="B74" s="21" t="str">
        <f>IF(MonthlyFAME!B76=0,"",MonthlyFAME!B76)</f>
        <v/>
      </c>
      <c r="C74" s="21">
        <f>IF(MonthlyFAME!C76=0,"",MonthlyFAME!C76)</f>
        <v>48.5</v>
      </c>
      <c r="D74" s="21" t="str">
        <f>IF(MonthlyFAME!D76=0,"",MonthlyFAME!D76)</f>
        <v/>
      </c>
      <c r="E74" s="21" t="str">
        <f>IF(MonthlyFAME!F76=0,"",MonthlyFAME!F76)</f>
        <v/>
      </c>
      <c r="F74" s="21" t="str">
        <f>IF(MonthlyFAME!G76=0,"",MonthlyFAME!G76)</f>
        <v/>
      </c>
      <c r="G74" s="21" t="str">
        <f>IF(MonthlyFAME!H76=0,"",MonthlyFAME!H76)</f>
        <v/>
      </c>
      <c r="H74" s="21" t="str">
        <f>IF(MonthlyFAME!I76=0,"",MonthlyFAME!I76)</f>
        <v/>
      </c>
      <c r="I74" s="21" t="str">
        <f>IF(MonthlyFAME!J76=0,"",MonthlyFAME!J76)</f>
        <v/>
      </c>
      <c r="J74" s="24"/>
      <c r="K74" s="21">
        <f>IF(MonthlyFAME!L76=0,"",MonthlyFAME!L76)</f>
        <v>13.022968866060101</v>
      </c>
      <c r="L74" s="21" t="str">
        <f>IF(MonthlyFAME!M76=0,"",MonthlyFAME!M76)</f>
        <v/>
      </c>
      <c r="M74" s="21" t="str">
        <f>IF(MonthlyFAME!N76=0,"",MonthlyFAME!N76)</f>
        <v/>
      </c>
      <c r="N74" s="21" t="str">
        <f>IF(MonthlyFAME!O76=0,"",MonthlyFAME!O76)</f>
        <v/>
      </c>
      <c r="O74" s="21" t="str">
        <f>IF(MonthlyFAME!P76=0,"",MonthlyFAME!P76)</f>
        <v/>
      </c>
      <c r="P74" s="21" t="str">
        <f>IF(MonthlyFAME!Q76=0,"",MonthlyFAME!Q76)</f>
        <v/>
      </c>
      <c r="Q74" s="21" t="str">
        <f>IF(MonthlyFAME!R76=0,"",MonthlyFAME!R76)</f>
        <v/>
      </c>
      <c r="R74" s="21" t="str">
        <f>IF(MonthlyFAME!S76=0,"",MonthlyFAME!S76)</f>
        <v/>
      </c>
      <c r="S74" s="21" t="str">
        <f>IF(MonthlyFAME!T76=0,"",MonthlyFAME!T76)</f>
        <v/>
      </c>
      <c r="T74" s="21" t="str">
        <f>IF(MonthlyFAME!U76=0,"",MonthlyFAME!U76)</f>
        <v/>
      </c>
    </row>
    <row r="75" spans="1:20" x14ac:dyDescent="0.2">
      <c r="A75" s="23">
        <f>IF(MonthlyFAME!A77=0,"",MonthlyFAME!A77)</f>
        <v>24076</v>
      </c>
      <c r="B75" s="21" t="str">
        <f>IF(MonthlyFAME!B77=0,"",MonthlyFAME!B77)</f>
        <v/>
      </c>
      <c r="C75" s="21">
        <f>IF(MonthlyFAME!C77=0,"",MonthlyFAME!C77)</f>
        <v>48.8</v>
      </c>
      <c r="D75" s="21" t="str">
        <f>IF(MonthlyFAME!D77=0,"",MonthlyFAME!D77)</f>
        <v/>
      </c>
      <c r="E75" s="21" t="str">
        <f>IF(MonthlyFAME!F77=0,"",MonthlyFAME!F77)</f>
        <v/>
      </c>
      <c r="F75" s="21" t="str">
        <f>IF(MonthlyFAME!G77=0,"",MonthlyFAME!G77)</f>
        <v/>
      </c>
      <c r="G75" s="21" t="str">
        <f>IF(MonthlyFAME!H77=0,"",MonthlyFAME!H77)</f>
        <v/>
      </c>
      <c r="H75" s="21" t="str">
        <f>IF(MonthlyFAME!I77=0,"",MonthlyFAME!I77)</f>
        <v/>
      </c>
      <c r="I75" s="21" t="str">
        <f>IF(MonthlyFAME!J77=0,"",MonthlyFAME!J77)</f>
        <v/>
      </c>
      <c r="J75" s="24"/>
      <c r="K75" s="21">
        <f>IF(MonthlyFAME!L77=0,"",MonthlyFAME!L77)</f>
        <v>12.953180968865601</v>
      </c>
      <c r="L75" s="21" t="str">
        <f>IF(MonthlyFAME!M77=0,"",MonthlyFAME!M77)</f>
        <v/>
      </c>
      <c r="M75" s="21" t="str">
        <f>IF(MonthlyFAME!N77=0,"",MonthlyFAME!N77)</f>
        <v/>
      </c>
      <c r="N75" s="21" t="str">
        <f>IF(MonthlyFAME!O77=0,"",MonthlyFAME!O77)</f>
        <v/>
      </c>
      <c r="O75" s="21" t="str">
        <f>IF(MonthlyFAME!P77=0,"",MonthlyFAME!P77)</f>
        <v/>
      </c>
      <c r="P75" s="21" t="str">
        <f>IF(MonthlyFAME!Q77=0,"",MonthlyFAME!Q77)</f>
        <v/>
      </c>
      <c r="Q75" s="21" t="str">
        <f>IF(MonthlyFAME!R77=0,"",MonthlyFAME!R77)</f>
        <v/>
      </c>
      <c r="R75" s="21" t="str">
        <f>IF(MonthlyFAME!S77=0,"",MonthlyFAME!S77)</f>
        <v/>
      </c>
      <c r="S75" s="21" t="str">
        <f>IF(MonthlyFAME!T77=0,"",MonthlyFAME!T77)</f>
        <v/>
      </c>
      <c r="T75" s="21" t="str">
        <f>IF(MonthlyFAME!U77=0,"",MonthlyFAME!U77)</f>
        <v/>
      </c>
    </row>
    <row r="76" spans="1:20" x14ac:dyDescent="0.2">
      <c r="A76" s="23">
        <f>IF(MonthlyFAME!A78=0,"",MonthlyFAME!A78)</f>
        <v>24107</v>
      </c>
      <c r="B76" s="21" t="str">
        <f>IF(MonthlyFAME!B78=0,"",MonthlyFAME!B78)</f>
        <v/>
      </c>
      <c r="C76" s="21">
        <f>IF(MonthlyFAME!C78=0,"",MonthlyFAME!C78)</f>
        <v>49.1</v>
      </c>
      <c r="D76" s="21" t="str">
        <f>IF(MonthlyFAME!D78=0,"",MonthlyFAME!D78)</f>
        <v/>
      </c>
      <c r="E76" s="21" t="str">
        <f>IF(MonthlyFAME!F78=0,"",MonthlyFAME!F78)</f>
        <v/>
      </c>
      <c r="F76" s="21" t="str">
        <f>IF(MonthlyFAME!G78=0,"",MonthlyFAME!G78)</f>
        <v/>
      </c>
      <c r="G76" s="21" t="str">
        <f>IF(MonthlyFAME!H78=0,"",MonthlyFAME!H78)</f>
        <v/>
      </c>
      <c r="H76" s="21" t="str">
        <f>IF(MonthlyFAME!I78=0,"",MonthlyFAME!I78)</f>
        <v/>
      </c>
      <c r="I76" s="21" t="str">
        <f>IF(MonthlyFAME!J78=0,"",MonthlyFAME!J78)</f>
        <v/>
      </c>
      <c r="J76" s="24"/>
      <c r="K76" s="21">
        <f>IF(MonthlyFAME!L78=0,"",MonthlyFAME!L78)</f>
        <v>12.8591728733628</v>
      </c>
      <c r="L76" s="21" t="str">
        <f>IF(MonthlyFAME!M78=0,"",MonthlyFAME!M78)</f>
        <v/>
      </c>
      <c r="M76" s="21" t="str">
        <f>IF(MonthlyFAME!N78=0,"",MonthlyFAME!N78)</f>
        <v/>
      </c>
      <c r="N76" s="21" t="str">
        <f>IF(MonthlyFAME!O78=0,"",MonthlyFAME!O78)</f>
        <v/>
      </c>
      <c r="O76" s="21" t="str">
        <f>IF(MonthlyFAME!P78=0,"",MonthlyFAME!P78)</f>
        <v/>
      </c>
      <c r="P76" s="21" t="str">
        <f>IF(MonthlyFAME!Q78=0,"",MonthlyFAME!Q78)</f>
        <v/>
      </c>
      <c r="Q76" s="21" t="str">
        <f>IF(MonthlyFAME!R78=0,"",MonthlyFAME!R78)</f>
        <v/>
      </c>
      <c r="R76" s="21" t="str">
        <f>IF(MonthlyFAME!S78=0,"",MonthlyFAME!S78)</f>
        <v/>
      </c>
      <c r="S76" s="21" t="str">
        <f>IF(MonthlyFAME!T78=0,"",MonthlyFAME!T78)</f>
        <v/>
      </c>
      <c r="T76" s="21" t="str">
        <f>IF(MonthlyFAME!U78=0,"",MonthlyFAME!U78)</f>
        <v/>
      </c>
    </row>
    <row r="77" spans="1:20" x14ac:dyDescent="0.2">
      <c r="A77" s="23">
        <f>IF(MonthlyFAME!A79=0,"",MonthlyFAME!A79)</f>
        <v>24138</v>
      </c>
      <c r="B77" s="21" t="str">
        <f>IF(MonthlyFAME!B79=0,"",MonthlyFAME!B79)</f>
        <v/>
      </c>
      <c r="C77" s="21">
        <f>IF(MonthlyFAME!C79=0,"",MonthlyFAME!C79)</f>
        <v>49.3</v>
      </c>
      <c r="D77" s="21" t="str">
        <f>IF(MonthlyFAME!D79=0,"",MonthlyFAME!D79)</f>
        <v/>
      </c>
      <c r="E77" s="21" t="str">
        <f>IF(MonthlyFAME!F79=0,"",MonthlyFAME!F79)</f>
        <v/>
      </c>
      <c r="F77" s="21" t="str">
        <f>IF(MonthlyFAME!G79=0,"",MonthlyFAME!G79)</f>
        <v/>
      </c>
      <c r="G77" s="21" t="str">
        <f>IF(MonthlyFAME!H79=0,"",MonthlyFAME!H79)</f>
        <v/>
      </c>
      <c r="H77" s="21" t="str">
        <f>IF(MonthlyFAME!I79=0,"",MonthlyFAME!I79)</f>
        <v/>
      </c>
      <c r="I77" s="21" t="str">
        <f>IF(MonthlyFAME!J79=0,"",MonthlyFAME!J79)</f>
        <v/>
      </c>
      <c r="J77" s="24"/>
      <c r="K77" s="21">
        <f>IF(MonthlyFAME!L79=0,"",MonthlyFAME!L79)</f>
        <v>13.025057083990101</v>
      </c>
      <c r="L77" s="21" t="str">
        <f>IF(MonthlyFAME!M79=0,"",MonthlyFAME!M79)</f>
        <v/>
      </c>
      <c r="M77" s="21" t="str">
        <f>IF(MonthlyFAME!N79=0,"",MonthlyFAME!N79)</f>
        <v/>
      </c>
      <c r="N77" s="21" t="str">
        <f>IF(MonthlyFAME!O79=0,"",MonthlyFAME!O79)</f>
        <v/>
      </c>
      <c r="O77" s="21" t="str">
        <f>IF(MonthlyFAME!P79=0,"",MonthlyFAME!P79)</f>
        <v/>
      </c>
      <c r="P77" s="21" t="str">
        <f>IF(MonthlyFAME!Q79=0,"",MonthlyFAME!Q79)</f>
        <v/>
      </c>
      <c r="Q77" s="21" t="str">
        <f>IF(MonthlyFAME!R79=0,"",MonthlyFAME!R79)</f>
        <v/>
      </c>
      <c r="R77" s="21" t="str">
        <f>IF(MonthlyFAME!S79=0,"",MonthlyFAME!S79)</f>
        <v/>
      </c>
      <c r="S77" s="21" t="str">
        <f>IF(MonthlyFAME!T79=0,"",MonthlyFAME!T79)</f>
        <v/>
      </c>
      <c r="T77" s="21" t="str">
        <f>IF(MonthlyFAME!U79=0,"",MonthlyFAME!U79)</f>
        <v/>
      </c>
    </row>
    <row r="78" spans="1:20" x14ac:dyDescent="0.2">
      <c r="A78" s="23">
        <f>IF(MonthlyFAME!A80=0,"",MonthlyFAME!A80)</f>
        <v>24166</v>
      </c>
      <c r="B78" s="21" t="str">
        <f>IF(MonthlyFAME!B80=0,"",MonthlyFAME!B80)</f>
        <v/>
      </c>
      <c r="C78" s="21">
        <f>IF(MonthlyFAME!C80=0,"",MonthlyFAME!C80)</f>
        <v>49.3</v>
      </c>
      <c r="D78" s="21" t="str">
        <f>IF(MonthlyFAME!D80=0,"",MonthlyFAME!D80)</f>
        <v/>
      </c>
      <c r="E78" s="21" t="str">
        <f>IF(MonthlyFAME!F80=0,"",MonthlyFAME!F80)</f>
        <v/>
      </c>
      <c r="F78" s="21" t="str">
        <f>IF(MonthlyFAME!G80=0,"",MonthlyFAME!G80)</f>
        <v/>
      </c>
      <c r="G78" s="21" t="str">
        <f>IF(MonthlyFAME!H80=0,"",MonthlyFAME!H80)</f>
        <v/>
      </c>
      <c r="H78" s="21" t="str">
        <f>IF(MonthlyFAME!I80=0,"",MonthlyFAME!I80)</f>
        <v/>
      </c>
      <c r="I78" s="21" t="str">
        <f>IF(MonthlyFAME!J80=0,"",MonthlyFAME!J80)</f>
        <v/>
      </c>
      <c r="J78" s="24"/>
      <c r="K78" s="21">
        <f>IF(MonthlyFAME!L80=0,"",MonthlyFAME!L80)</f>
        <v>12.9921504486669</v>
      </c>
      <c r="L78" s="21" t="str">
        <f>IF(MonthlyFAME!M80=0,"",MonthlyFAME!M80)</f>
        <v/>
      </c>
      <c r="M78" s="21" t="str">
        <f>IF(MonthlyFAME!N80=0,"",MonthlyFAME!N80)</f>
        <v/>
      </c>
      <c r="N78" s="21" t="str">
        <f>IF(MonthlyFAME!O80=0,"",MonthlyFAME!O80)</f>
        <v/>
      </c>
      <c r="O78" s="21" t="str">
        <f>IF(MonthlyFAME!P80=0,"",MonthlyFAME!P80)</f>
        <v/>
      </c>
      <c r="P78" s="21" t="str">
        <f>IF(MonthlyFAME!Q80=0,"",MonthlyFAME!Q80)</f>
        <v/>
      </c>
      <c r="Q78" s="21" t="str">
        <f>IF(MonthlyFAME!R80=0,"",MonthlyFAME!R80)</f>
        <v/>
      </c>
      <c r="R78" s="21" t="str">
        <f>IF(MonthlyFAME!S80=0,"",MonthlyFAME!S80)</f>
        <v/>
      </c>
      <c r="S78" s="21" t="str">
        <f>IF(MonthlyFAME!T80=0,"",MonthlyFAME!T80)</f>
        <v/>
      </c>
      <c r="T78" s="21" t="str">
        <f>IF(MonthlyFAME!U80=0,"",MonthlyFAME!U80)</f>
        <v/>
      </c>
    </row>
    <row r="79" spans="1:20" x14ac:dyDescent="0.2">
      <c r="A79" s="23">
        <f>IF(MonthlyFAME!A81=0,"",MonthlyFAME!A81)</f>
        <v>24197</v>
      </c>
      <c r="B79" s="21" t="str">
        <f>IF(MonthlyFAME!B81=0,"",MonthlyFAME!B81)</f>
        <v/>
      </c>
      <c r="C79" s="21">
        <f>IF(MonthlyFAME!C81=0,"",MonthlyFAME!C81)</f>
        <v>49.3</v>
      </c>
      <c r="D79" s="21" t="str">
        <f>IF(MonthlyFAME!D81=0,"",MonthlyFAME!D81)</f>
        <v/>
      </c>
      <c r="E79" s="21" t="str">
        <f>IF(MonthlyFAME!F81=0,"",MonthlyFAME!F81)</f>
        <v/>
      </c>
      <c r="F79" s="21" t="str">
        <f>IF(MonthlyFAME!G81=0,"",MonthlyFAME!G81)</f>
        <v/>
      </c>
      <c r="G79" s="21" t="str">
        <f>IF(MonthlyFAME!H81=0,"",MonthlyFAME!H81)</f>
        <v/>
      </c>
      <c r="H79" s="21" t="str">
        <f>IF(MonthlyFAME!I81=0,"",MonthlyFAME!I81)</f>
        <v/>
      </c>
      <c r="I79" s="21" t="str">
        <f>IF(MonthlyFAME!J81=0,"",MonthlyFAME!J81)</f>
        <v/>
      </c>
      <c r="J79" s="24"/>
      <c r="K79" s="21">
        <f>IF(MonthlyFAME!L81=0,"",MonthlyFAME!L81)</f>
        <v>13.2922163543299</v>
      </c>
      <c r="L79" s="21" t="str">
        <f>IF(MonthlyFAME!M81=0,"",MonthlyFAME!M81)</f>
        <v/>
      </c>
      <c r="M79" s="21" t="str">
        <f>IF(MonthlyFAME!N81=0,"",MonthlyFAME!N81)</f>
        <v/>
      </c>
      <c r="N79" s="21" t="str">
        <f>IF(MonthlyFAME!O81=0,"",MonthlyFAME!O81)</f>
        <v/>
      </c>
      <c r="O79" s="21" t="str">
        <f>IF(MonthlyFAME!P81=0,"",MonthlyFAME!P81)</f>
        <v/>
      </c>
      <c r="P79" s="21" t="str">
        <f>IF(MonthlyFAME!Q81=0,"",MonthlyFAME!Q81)</f>
        <v/>
      </c>
      <c r="Q79" s="21" t="str">
        <f>IF(MonthlyFAME!R81=0,"",MonthlyFAME!R81)</f>
        <v/>
      </c>
      <c r="R79" s="21" t="str">
        <f>IF(MonthlyFAME!S81=0,"",MonthlyFAME!S81)</f>
        <v/>
      </c>
      <c r="S79" s="21" t="str">
        <f>IF(MonthlyFAME!T81=0,"",MonthlyFAME!T81)</f>
        <v/>
      </c>
      <c r="T79" s="21" t="str">
        <f>IF(MonthlyFAME!U81=0,"",MonthlyFAME!U81)</f>
        <v/>
      </c>
    </row>
    <row r="80" spans="1:20" x14ac:dyDescent="0.2">
      <c r="A80" s="23">
        <f>IF(MonthlyFAME!A82=0,"",MonthlyFAME!A82)</f>
        <v>24227</v>
      </c>
      <c r="B80" s="21" t="str">
        <f>IF(MonthlyFAME!B82=0,"",MonthlyFAME!B82)</f>
        <v/>
      </c>
      <c r="C80" s="21">
        <f>IF(MonthlyFAME!C82=0,"",MonthlyFAME!C82)</f>
        <v>49.2</v>
      </c>
      <c r="D80" s="21" t="str">
        <f>IF(MonthlyFAME!D82=0,"",MonthlyFAME!D82)</f>
        <v/>
      </c>
      <c r="E80" s="21" t="str">
        <f>IF(MonthlyFAME!F82=0,"",MonthlyFAME!F82)</f>
        <v/>
      </c>
      <c r="F80" s="21" t="str">
        <f>IF(MonthlyFAME!G82=0,"",MonthlyFAME!G82)</f>
        <v/>
      </c>
      <c r="G80" s="21" t="str">
        <f>IF(MonthlyFAME!H82=0,"",MonthlyFAME!H82)</f>
        <v/>
      </c>
      <c r="H80" s="21" t="str">
        <f>IF(MonthlyFAME!I82=0,"",MonthlyFAME!I82)</f>
        <v/>
      </c>
      <c r="I80" s="21" t="str">
        <f>IF(MonthlyFAME!J82=0,"",MonthlyFAME!J82)</f>
        <v/>
      </c>
      <c r="J80" s="24"/>
      <c r="K80" s="21">
        <f>IF(MonthlyFAME!L82=0,"",MonthlyFAME!L82)</f>
        <v>13.346291997912401</v>
      </c>
      <c r="L80" s="21" t="str">
        <f>IF(MonthlyFAME!M82=0,"",MonthlyFAME!M82)</f>
        <v/>
      </c>
      <c r="M80" s="21" t="str">
        <f>IF(MonthlyFAME!N82=0,"",MonthlyFAME!N82)</f>
        <v/>
      </c>
      <c r="N80" s="21" t="str">
        <f>IF(MonthlyFAME!O82=0,"",MonthlyFAME!O82)</f>
        <v/>
      </c>
      <c r="O80" s="21" t="str">
        <f>IF(MonthlyFAME!P82=0,"",MonthlyFAME!P82)</f>
        <v/>
      </c>
      <c r="P80" s="21" t="str">
        <f>IF(MonthlyFAME!Q82=0,"",MonthlyFAME!Q82)</f>
        <v/>
      </c>
      <c r="Q80" s="21" t="str">
        <f>IF(MonthlyFAME!R82=0,"",MonthlyFAME!R82)</f>
        <v/>
      </c>
      <c r="R80" s="21" t="str">
        <f>IF(MonthlyFAME!S82=0,"",MonthlyFAME!S82)</f>
        <v/>
      </c>
      <c r="S80" s="21" t="str">
        <f>IF(MonthlyFAME!T82=0,"",MonthlyFAME!T82)</f>
        <v/>
      </c>
      <c r="T80" s="21" t="str">
        <f>IF(MonthlyFAME!U82=0,"",MonthlyFAME!U82)</f>
        <v/>
      </c>
    </row>
    <row r="81" spans="1:20" x14ac:dyDescent="0.2">
      <c r="A81" s="23">
        <f>IF(MonthlyFAME!A83=0,"",MonthlyFAME!A83)</f>
        <v>24258</v>
      </c>
      <c r="B81" s="21" t="str">
        <f>IF(MonthlyFAME!B83=0,"",MonthlyFAME!B83)</f>
        <v/>
      </c>
      <c r="C81" s="21">
        <f>IF(MonthlyFAME!C83=0,"",MonthlyFAME!C83)</f>
        <v>49.2</v>
      </c>
      <c r="D81" s="21" t="str">
        <f>IF(MonthlyFAME!D83=0,"",MonthlyFAME!D83)</f>
        <v/>
      </c>
      <c r="E81" s="21" t="str">
        <f>IF(MonthlyFAME!F83=0,"",MonthlyFAME!F83)</f>
        <v/>
      </c>
      <c r="F81" s="21" t="str">
        <f>IF(MonthlyFAME!G83=0,"",MonthlyFAME!G83)</f>
        <v/>
      </c>
      <c r="G81" s="21" t="str">
        <f>IF(MonthlyFAME!H83=0,"",MonthlyFAME!H83)</f>
        <v/>
      </c>
      <c r="H81" s="21" t="str">
        <f>IF(MonthlyFAME!I83=0,"",MonthlyFAME!I83)</f>
        <v/>
      </c>
      <c r="I81" s="21" t="str">
        <f>IF(MonthlyFAME!J83=0,"",MonthlyFAME!J83)</f>
        <v/>
      </c>
      <c r="J81" s="24"/>
      <c r="K81" s="21">
        <f>IF(MonthlyFAME!L83=0,"",MonthlyFAME!L83)</f>
        <v>13.243650513700601</v>
      </c>
      <c r="L81" s="21" t="str">
        <f>IF(MonthlyFAME!M83=0,"",MonthlyFAME!M83)</f>
        <v/>
      </c>
      <c r="M81" s="21" t="str">
        <f>IF(MonthlyFAME!N83=0,"",MonthlyFAME!N83)</f>
        <v/>
      </c>
      <c r="N81" s="21" t="str">
        <f>IF(MonthlyFAME!O83=0,"",MonthlyFAME!O83)</f>
        <v/>
      </c>
      <c r="O81" s="21" t="str">
        <f>IF(MonthlyFAME!P83=0,"",MonthlyFAME!P83)</f>
        <v/>
      </c>
      <c r="P81" s="21" t="str">
        <f>IF(MonthlyFAME!Q83=0,"",MonthlyFAME!Q83)</f>
        <v/>
      </c>
      <c r="Q81" s="21" t="str">
        <f>IF(MonthlyFAME!R83=0,"",MonthlyFAME!R83)</f>
        <v/>
      </c>
      <c r="R81" s="21" t="str">
        <f>IF(MonthlyFAME!S83=0,"",MonthlyFAME!S83)</f>
        <v/>
      </c>
      <c r="S81" s="21" t="str">
        <f>IF(MonthlyFAME!T83=0,"",MonthlyFAME!T83)</f>
        <v/>
      </c>
      <c r="T81" s="21" t="str">
        <f>IF(MonthlyFAME!U83=0,"",MonthlyFAME!U83)</f>
        <v/>
      </c>
    </row>
    <row r="82" spans="1:20" x14ac:dyDescent="0.2">
      <c r="A82" s="23">
        <f>IF(MonthlyFAME!A84=0,"",MonthlyFAME!A84)</f>
        <v>24288</v>
      </c>
      <c r="B82" s="21" t="str">
        <f>IF(MonthlyFAME!B84=0,"",MonthlyFAME!B84)</f>
        <v/>
      </c>
      <c r="C82" s="21">
        <f>IF(MonthlyFAME!C84=0,"",MonthlyFAME!C84)</f>
        <v>49.4</v>
      </c>
      <c r="D82" s="21" t="str">
        <f>IF(MonthlyFAME!D84=0,"",MonthlyFAME!D84)</f>
        <v/>
      </c>
      <c r="E82" s="21" t="str">
        <f>IF(MonthlyFAME!F84=0,"",MonthlyFAME!F84)</f>
        <v/>
      </c>
      <c r="F82" s="21" t="str">
        <f>IF(MonthlyFAME!G84=0,"",MonthlyFAME!G84)</f>
        <v/>
      </c>
      <c r="G82" s="21" t="str">
        <f>IF(MonthlyFAME!H84=0,"",MonthlyFAME!H84)</f>
        <v/>
      </c>
      <c r="H82" s="21" t="str">
        <f>IF(MonthlyFAME!I84=0,"",MonthlyFAME!I84)</f>
        <v/>
      </c>
      <c r="I82" s="21" t="str">
        <f>IF(MonthlyFAME!J84=0,"",MonthlyFAME!J84)</f>
        <v/>
      </c>
      <c r="J82" s="24"/>
      <c r="K82" s="21">
        <f>IF(MonthlyFAME!L84=0,"",MonthlyFAME!L84)</f>
        <v>13.275376600776401</v>
      </c>
      <c r="L82" s="21" t="str">
        <f>IF(MonthlyFAME!M84=0,"",MonthlyFAME!M84)</f>
        <v/>
      </c>
      <c r="M82" s="21" t="str">
        <f>IF(MonthlyFAME!N84=0,"",MonthlyFAME!N84)</f>
        <v/>
      </c>
      <c r="N82" s="21" t="str">
        <f>IF(MonthlyFAME!O84=0,"",MonthlyFAME!O84)</f>
        <v/>
      </c>
      <c r="O82" s="21" t="str">
        <f>IF(MonthlyFAME!P84=0,"",MonthlyFAME!P84)</f>
        <v/>
      </c>
      <c r="P82" s="21" t="str">
        <f>IF(MonthlyFAME!Q84=0,"",MonthlyFAME!Q84)</f>
        <v/>
      </c>
      <c r="Q82" s="21" t="str">
        <f>IF(MonthlyFAME!R84=0,"",MonthlyFAME!R84)</f>
        <v/>
      </c>
      <c r="R82" s="21" t="str">
        <f>IF(MonthlyFAME!S84=0,"",MonthlyFAME!S84)</f>
        <v/>
      </c>
      <c r="S82" s="21" t="str">
        <f>IF(MonthlyFAME!T84=0,"",MonthlyFAME!T84)</f>
        <v/>
      </c>
      <c r="T82" s="21" t="str">
        <f>IF(MonthlyFAME!U84=0,"",MonthlyFAME!U84)</f>
        <v/>
      </c>
    </row>
    <row r="83" spans="1:20" x14ac:dyDescent="0.2">
      <c r="A83" s="23">
        <f>IF(MonthlyFAME!A85=0,"",MonthlyFAME!A85)</f>
        <v>24319</v>
      </c>
      <c r="B83" s="21" t="str">
        <f>IF(MonthlyFAME!B85=0,"",MonthlyFAME!B85)</f>
        <v/>
      </c>
      <c r="C83" s="21">
        <f>IF(MonthlyFAME!C85=0,"",MonthlyFAME!C85)</f>
        <v>49.6</v>
      </c>
      <c r="D83" s="21" t="str">
        <f>IF(MonthlyFAME!D85=0,"",MonthlyFAME!D85)</f>
        <v/>
      </c>
      <c r="E83" s="21" t="str">
        <f>IF(MonthlyFAME!F85=0,"",MonthlyFAME!F85)</f>
        <v/>
      </c>
      <c r="F83" s="21" t="str">
        <f>IF(MonthlyFAME!G85=0,"",MonthlyFAME!G85)</f>
        <v/>
      </c>
      <c r="G83" s="21" t="str">
        <f>IF(MonthlyFAME!H85=0,"",MonthlyFAME!H85)</f>
        <v/>
      </c>
      <c r="H83" s="21" t="str">
        <f>IF(MonthlyFAME!I85=0,"",MonthlyFAME!I85)</f>
        <v/>
      </c>
      <c r="I83" s="21" t="str">
        <f>IF(MonthlyFAME!J85=0,"",MonthlyFAME!J85)</f>
        <v/>
      </c>
      <c r="J83" s="24"/>
      <c r="K83" s="21">
        <f>IF(MonthlyFAME!L85=0,"",MonthlyFAME!L85)</f>
        <v>13.3798256046709</v>
      </c>
      <c r="L83" s="21" t="str">
        <f>IF(MonthlyFAME!M85=0,"",MonthlyFAME!M85)</f>
        <v/>
      </c>
      <c r="M83" s="21" t="str">
        <f>IF(MonthlyFAME!N85=0,"",MonthlyFAME!N85)</f>
        <v/>
      </c>
      <c r="N83" s="21" t="str">
        <f>IF(MonthlyFAME!O85=0,"",MonthlyFAME!O85)</f>
        <v/>
      </c>
      <c r="O83" s="21" t="str">
        <f>IF(MonthlyFAME!P85=0,"",MonthlyFAME!P85)</f>
        <v/>
      </c>
      <c r="P83" s="21" t="str">
        <f>IF(MonthlyFAME!Q85=0,"",MonthlyFAME!Q85)</f>
        <v/>
      </c>
      <c r="Q83" s="21" t="str">
        <f>IF(MonthlyFAME!R85=0,"",MonthlyFAME!R85)</f>
        <v/>
      </c>
      <c r="R83" s="21" t="str">
        <f>IF(MonthlyFAME!S85=0,"",MonthlyFAME!S85)</f>
        <v/>
      </c>
      <c r="S83" s="21" t="str">
        <f>IF(MonthlyFAME!T85=0,"",MonthlyFAME!T85)</f>
        <v/>
      </c>
      <c r="T83" s="21" t="str">
        <f>IF(MonthlyFAME!U85=0,"",MonthlyFAME!U85)</f>
        <v/>
      </c>
    </row>
    <row r="84" spans="1:20" x14ac:dyDescent="0.2">
      <c r="A84" s="23">
        <f>IF(MonthlyFAME!A86=0,"",MonthlyFAME!A86)</f>
        <v>24350</v>
      </c>
      <c r="B84" s="21" t="str">
        <f>IF(MonthlyFAME!B86=0,"",MonthlyFAME!B86)</f>
        <v/>
      </c>
      <c r="C84" s="21">
        <f>IF(MonthlyFAME!C86=0,"",MonthlyFAME!C86)</f>
        <v>49.5</v>
      </c>
      <c r="D84" s="21" t="str">
        <f>IF(MonthlyFAME!D86=0,"",MonthlyFAME!D86)</f>
        <v/>
      </c>
      <c r="E84" s="21" t="str">
        <f>IF(MonthlyFAME!F86=0,"",MonthlyFAME!F86)</f>
        <v/>
      </c>
      <c r="F84" s="21" t="str">
        <f>IF(MonthlyFAME!G86=0,"",MonthlyFAME!G86)</f>
        <v/>
      </c>
      <c r="G84" s="21" t="str">
        <f>IF(MonthlyFAME!H86=0,"",MonthlyFAME!H86)</f>
        <v/>
      </c>
      <c r="H84" s="21" t="str">
        <f>IF(MonthlyFAME!I86=0,"",MonthlyFAME!I86)</f>
        <v/>
      </c>
      <c r="I84" s="21" t="str">
        <f>IF(MonthlyFAME!J86=0,"",MonthlyFAME!J86)</f>
        <v/>
      </c>
      <c r="J84" s="24"/>
      <c r="K84" s="21">
        <f>IF(MonthlyFAME!L86=0,"",MonthlyFAME!L86)</f>
        <v>13.3938004878505</v>
      </c>
      <c r="L84" s="21" t="str">
        <f>IF(MonthlyFAME!M86=0,"",MonthlyFAME!M86)</f>
        <v/>
      </c>
      <c r="M84" s="21" t="str">
        <f>IF(MonthlyFAME!N86=0,"",MonthlyFAME!N86)</f>
        <v/>
      </c>
      <c r="N84" s="21" t="str">
        <f>IF(MonthlyFAME!O86=0,"",MonthlyFAME!O86)</f>
        <v/>
      </c>
      <c r="O84" s="21" t="str">
        <f>IF(MonthlyFAME!P86=0,"",MonthlyFAME!P86)</f>
        <v/>
      </c>
      <c r="P84" s="21" t="str">
        <f>IF(MonthlyFAME!Q86=0,"",MonthlyFAME!Q86)</f>
        <v/>
      </c>
      <c r="Q84" s="21" t="str">
        <f>IF(MonthlyFAME!R86=0,"",MonthlyFAME!R86)</f>
        <v/>
      </c>
      <c r="R84" s="21" t="str">
        <f>IF(MonthlyFAME!S86=0,"",MonthlyFAME!S86)</f>
        <v/>
      </c>
      <c r="S84" s="21" t="str">
        <f>IF(MonthlyFAME!T86=0,"",MonthlyFAME!T86)</f>
        <v/>
      </c>
      <c r="T84" s="21" t="str">
        <f>IF(MonthlyFAME!U86=0,"",MonthlyFAME!U86)</f>
        <v/>
      </c>
    </row>
    <row r="85" spans="1:20" x14ac:dyDescent="0.2">
      <c r="A85" s="23">
        <f>IF(MonthlyFAME!A87=0,"",MonthlyFAME!A87)</f>
        <v>24380</v>
      </c>
      <c r="B85" s="21" t="str">
        <f>IF(MonthlyFAME!B87=0,"",MonthlyFAME!B87)</f>
        <v/>
      </c>
      <c r="C85" s="21">
        <f>IF(MonthlyFAME!C87=0,"",MonthlyFAME!C87)</f>
        <v>49</v>
      </c>
      <c r="D85" s="21" t="str">
        <f>IF(MonthlyFAME!D87=0,"",MonthlyFAME!D87)</f>
        <v/>
      </c>
      <c r="E85" s="21" t="str">
        <f>IF(MonthlyFAME!F87=0,"",MonthlyFAME!F87)</f>
        <v/>
      </c>
      <c r="F85" s="21" t="str">
        <f>IF(MonthlyFAME!G87=0,"",MonthlyFAME!G87)</f>
        <v/>
      </c>
      <c r="G85" s="21" t="str">
        <f>IF(MonthlyFAME!H87=0,"",MonthlyFAME!H87)</f>
        <v/>
      </c>
      <c r="H85" s="21" t="str">
        <f>IF(MonthlyFAME!I87=0,"",MonthlyFAME!I87)</f>
        <v/>
      </c>
      <c r="I85" s="21" t="str">
        <f>IF(MonthlyFAME!J87=0,"",MonthlyFAME!J87)</f>
        <v/>
      </c>
      <c r="J85" s="24"/>
      <c r="K85" s="21">
        <f>IF(MonthlyFAME!L87=0,"",MonthlyFAME!L87)</f>
        <v>13.289142001742499</v>
      </c>
      <c r="L85" s="21" t="str">
        <f>IF(MonthlyFAME!M87=0,"",MonthlyFAME!M87)</f>
        <v/>
      </c>
      <c r="M85" s="21" t="str">
        <f>IF(MonthlyFAME!N87=0,"",MonthlyFAME!N87)</f>
        <v/>
      </c>
      <c r="N85" s="21" t="str">
        <f>IF(MonthlyFAME!O87=0,"",MonthlyFAME!O87)</f>
        <v/>
      </c>
      <c r="O85" s="21" t="str">
        <f>IF(MonthlyFAME!P87=0,"",MonthlyFAME!P87)</f>
        <v/>
      </c>
      <c r="P85" s="21" t="str">
        <f>IF(MonthlyFAME!Q87=0,"",MonthlyFAME!Q87)</f>
        <v/>
      </c>
      <c r="Q85" s="21" t="str">
        <f>IF(MonthlyFAME!R87=0,"",MonthlyFAME!R87)</f>
        <v/>
      </c>
      <c r="R85" s="21" t="str">
        <f>IF(MonthlyFAME!S87=0,"",MonthlyFAME!S87)</f>
        <v/>
      </c>
      <c r="S85" s="21" t="str">
        <f>IF(MonthlyFAME!T87=0,"",MonthlyFAME!T87)</f>
        <v/>
      </c>
      <c r="T85" s="21" t="str">
        <f>IF(MonthlyFAME!U87=0,"",MonthlyFAME!U87)</f>
        <v/>
      </c>
    </row>
    <row r="86" spans="1:20" x14ac:dyDescent="0.2">
      <c r="A86" s="23">
        <f>IF(MonthlyFAME!A88=0,"",MonthlyFAME!A88)</f>
        <v>24411</v>
      </c>
      <c r="B86" s="21" t="str">
        <f>IF(MonthlyFAME!B88=0,"",MonthlyFAME!B88)</f>
        <v/>
      </c>
      <c r="C86" s="21">
        <f>IF(MonthlyFAME!C88=0,"",MonthlyFAME!C88)</f>
        <v>48.4</v>
      </c>
      <c r="D86" s="21" t="str">
        <f>IF(MonthlyFAME!D88=0,"",MonthlyFAME!D88)</f>
        <v/>
      </c>
      <c r="E86" s="21" t="str">
        <f>IF(MonthlyFAME!F88=0,"",MonthlyFAME!F88)</f>
        <v/>
      </c>
      <c r="F86" s="21" t="str">
        <f>IF(MonthlyFAME!G88=0,"",MonthlyFAME!G88)</f>
        <v/>
      </c>
      <c r="G86" s="21" t="str">
        <f>IF(MonthlyFAME!H88=0,"",MonthlyFAME!H88)</f>
        <v/>
      </c>
      <c r="H86" s="21" t="str">
        <f>IF(MonthlyFAME!I88=0,"",MonthlyFAME!I88)</f>
        <v/>
      </c>
      <c r="I86" s="21" t="str">
        <f>IF(MonthlyFAME!J88=0,"",MonthlyFAME!J88)</f>
        <v/>
      </c>
      <c r="J86" s="24"/>
      <c r="K86" s="21">
        <f>IF(MonthlyFAME!L88=0,"",MonthlyFAME!L88)</f>
        <v>13.326336843462499</v>
      </c>
      <c r="L86" s="21" t="str">
        <f>IF(MonthlyFAME!M88=0,"",MonthlyFAME!M88)</f>
        <v/>
      </c>
      <c r="M86" s="21" t="str">
        <f>IF(MonthlyFAME!N88=0,"",MonthlyFAME!N88)</f>
        <v/>
      </c>
      <c r="N86" s="21" t="str">
        <f>IF(MonthlyFAME!O88=0,"",MonthlyFAME!O88)</f>
        <v/>
      </c>
      <c r="O86" s="21" t="str">
        <f>IF(MonthlyFAME!P88=0,"",MonthlyFAME!P88)</f>
        <v/>
      </c>
      <c r="P86" s="21" t="str">
        <f>IF(MonthlyFAME!Q88=0,"",MonthlyFAME!Q88)</f>
        <v/>
      </c>
      <c r="Q86" s="21" t="str">
        <f>IF(MonthlyFAME!R88=0,"",MonthlyFAME!R88)</f>
        <v/>
      </c>
      <c r="R86" s="21" t="str">
        <f>IF(MonthlyFAME!S88=0,"",MonthlyFAME!S88)</f>
        <v/>
      </c>
      <c r="S86" s="21" t="str">
        <f>IF(MonthlyFAME!T88=0,"",MonthlyFAME!T88)</f>
        <v/>
      </c>
      <c r="T86" s="21" t="str">
        <f>IF(MonthlyFAME!U88=0,"",MonthlyFAME!U88)</f>
        <v/>
      </c>
    </row>
    <row r="87" spans="1:20" x14ac:dyDescent="0.2">
      <c r="A87" s="23">
        <f>IF(MonthlyFAME!A89=0,"",MonthlyFAME!A89)</f>
        <v>24441</v>
      </c>
      <c r="B87" s="21" t="str">
        <f>IF(MonthlyFAME!B89=0,"",MonthlyFAME!B89)</f>
        <v/>
      </c>
      <c r="C87" s="21">
        <f>IF(MonthlyFAME!C89=0,"",MonthlyFAME!C89)</f>
        <v>48</v>
      </c>
      <c r="D87" s="21" t="str">
        <f>IF(MonthlyFAME!D89=0,"",MonthlyFAME!D89)</f>
        <v/>
      </c>
      <c r="E87" s="21" t="str">
        <f>IF(MonthlyFAME!F89=0,"",MonthlyFAME!F89)</f>
        <v/>
      </c>
      <c r="F87" s="21" t="str">
        <f>IF(MonthlyFAME!G89=0,"",MonthlyFAME!G89)</f>
        <v/>
      </c>
      <c r="G87" s="21" t="str">
        <f>IF(MonthlyFAME!H89=0,"",MonthlyFAME!H89)</f>
        <v/>
      </c>
      <c r="H87" s="21" t="str">
        <f>IF(MonthlyFAME!I89=0,"",MonthlyFAME!I89)</f>
        <v/>
      </c>
      <c r="I87" s="21" t="str">
        <f>IF(MonthlyFAME!J89=0,"",MonthlyFAME!J89)</f>
        <v/>
      </c>
      <c r="J87" s="24"/>
      <c r="K87" s="21">
        <f>IF(MonthlyFAME!L89=0,"",MonthlyFAME!L89)</f>
        <v>13.508749443233301</v>
      </c>
      <c r="L87" s="21" t="str">
        <f>IF(MonthlyFAME!M89=0,"",MonthlyFAME!M89)</f>
        <v/>
      </c>
      <c r="M87" s="21" t="str">
        <f>IF(MonthlyFAME!N89=0,"",MonthlyFAME!N89)</f>
        <v/>
      </c>
      <c r="N87" s="21" t="str">
        <f>IF(MonthlyFAME!O89=0,"",MonthlyFAME!O89)</f>
        <v/>
      </c>
      <c r="O87" s="21" t="str">
        <f>IF(MonthlyFAME!P89=0,"",MonthlyFAME!P89)</f>
        <v/>
      </c>
      <c r="P87" s="21" t="str">
        <f>IF(MonthlyFAME!Q89=0,"",MonthlyFAME!Q89)</f>
        <v/>
      </c>
      <c r="Q87" s="21" t="str">
        <f>IF(MonthlyFAME!R89=0,"",MonthlyFAME!R89)</f>
        <v/>
      </c>
      <c r="R87" s="21" t="str">
        <f>IF(MonthlyFAME!S89=0,"",MonthlyFAME!S89)</f>
        <v/>
      </c>
      <c r="S87" s="21" t="str">
        <f>IF(MonthlyFAME!T89=0,"",MonthlyFAME!T89)</f>
        <v/>
      </c>
      <c r="T87" s="21" t="str">
        <f>IF(MonthlyFAME!U89=0,"",MonthlyFAME!U89)</f>
        <v/>
      </c>
    </row>
    <row r="88" spans="1:20" x14ac:dyDescent="0.2">
      <c r="A88" s="23">
        <f>IF(MonthlyFAME!A90=0,"",MonthlyFAME!A90)</f>
        <v>24472</v>
      </c>
      <c r="B88" s="21" t="str">
        <f>IF(MonthlyFAME!B90=0,"",MonthlyFAME!B90)</f>
        <v/>
      </c>
      <c r="C88" s="21">
        <f>IF(MonthlyFAME!C90=0,"",MonthlyFAME!C90)</f>
        <v>48</v>
      </c>
      <c r="D88" s="21" t="str">
        <f>IF(MonthlyFAME!D90=0,"",MonthlyFAME!D90)</f>
        <v/>
      </c>
      <c r="E88" s="21" t="str">
        <f>IF(MonthlyFAME!F90=0,"",MonthlyFAME!F90)</f>
        <v/>
      </c>
      <c r="F88" s="21" t="str">
        <f>IF(MonthlyFAME!G90=0,"",MonthlyFAME!G90)</f>
        <v/>
      </c>
      <c r="G88" s="21" t="str">
        <f>IF(MonthlyFAME!H90=0,"",MonthlyFAME!H90)</f>
        <v/>
      </c>
      <c r="H88" s="21" t="str">
        <f>IF(MonthlyFAME!I90=0,"",MonthlyFAME!I90)</f>
        <v/>
      </c>
      <c r="I88" s="21" t="str">
        <f>IF(MonthlyFAME!J90=0,"",MonthlyFAME!J90)</f>
        <v/>
      </c>
      <c r="J88" s="24"/>
      <c r="K88" s="21">
        <f>IF(MonthlyFAME!L90=0,"",MonthlyFAME!L90)</f>
        <v>13.4582179522387</v>
      </c>
      <c r="L88" s="21" t="str">
        <f>IF(MonthlyFAME!M90=0,"",MonthlyFAME!M90)</f>
        <v/>
      </c>
      <c r="M88" s="21" t="str">
        <f>IF(MonthlyFAME!N90=0,"",MonthlyFAME!N90)</f>
        <v/>
      </c>
      <c r="N88" s="21" t="str">
        <f>IF(MonthlyFAME!O90=0,"",MonthlyFAME!O90)</f>
        <v/>
      </c>
      <c r="O88" s="21" t="str">
        <f>IF(MonthlyFAME!P90=0,"",MonthlyFAME!P90)</f>
        <v/>
      </c>
      <c r="P88" s="21" t="str">
        <f>IF(MonthlyFAME!Q90=0,"",MonthlyFAME!Q90)</f>
        <v/>
      </c>
      <c r="Q88" s="21" t="str">
        <f>IF(MonthlyFAME!R90=0,"",MonthlyFAME!R90)</f>
        <v/>
      </c>
      <c r="R88" s="21" t="str">
        <f>IF(MonthlyFAME!S90=0,"",MonthlyFAME!S90)</f>
        <v/>
      </c>
      <c r="S88" s="21" t="str">
        <f>IF(MonthlyFAME!T90=0,"",MonthlyFAME!T90)</f>
        <v/>
      </c>
      <c r="T88" s="21" t="str">
        <f>IF(MonthlyFAME!U90=0,"",MonthlyFAME!U90)</f>
        <v/>
      </c>
    </row>
    <row r="89" spans="1:20" x14ac:dyDescent="0.2">
      <c r="A89" s="23">
        <f>IF(MonthlyFAME!A91=0,"",MonthlyFAME!A91)</f>
        <v>24503</v>
      </c>
      <c r="B89" s="21" t="str">
        <f>IF(MonthlyFAME!B91=0,"",MonthlyFAME!B91)</f>
        <v/>
      </c>
      <c r="C89" s="21">
        <f>IF(MonthlyFAME!C91=0,"",MonthlyFAME!C91)</f>
        <v>48.4</v>
      </c>
      <c r="D89" s="21" t="str">
        <f>IF(MonthlyFAME!D91=0,"",MonthlyFAME!D91)</f>
        <v/>
      </c>
      <c r="E89" s="21" t="str">
        <f>IF(MonthlyFAME!F91=0,"",MonthlyFAME!F91)</f>
        <v/>
      </c>
      <c r="F89" s="21" t="str">
        <f>IF(MonthlyFAME!G91=0,"",MonthlyFAME!G91)</f>
        <v/>
      </c>
      <c r="G89" s="21" t="str">
        <f>IF(MonthlyFAME!H91=0,"",MonthlyFAME!H91)</f>
        <v/>
      </c>
      <c r="H89" s="21" t="str">
        <f>IF(MonthlyFAME!I91=0,"",MonthlyFAME!I91)</f>
        <v/>
      </c>
      <c r="I89" s="21" t="str">
        <f>IF(MonthlyFAME!J91=0,"",MonthlyFAME!J91)</f>
        <v/>
      </c>
      <c r="J89" s="24"/>
      <c r="K89" s="21">
        <f>IF(MonthlyFAME!L91=0,"",MonthlyFAME!L91)</f>
        <v>13.553401017177</v>
      </c>
      <c r="L89" s="21" t="str">
        <f>IF(MonthlyFAME!M91=0,"",MonthlyFAME!M91)</f>
        <v/>
      </c>
      <c r="M89" s="21" t="str">
        <f>IF(MonthlyFAME!N91=0,"",MonthlyFAME!N91)</f>
        <v/>
      </c>
      <c r="N89" s="21" t="str">
        <f>IF(MonthlyFAME!O91=0,"",MonthlyFAME!O91)</f>
        <v/>
      </c>
      <c r="O89" s="21" t="str">
        <f>IF(MonthlyFAME!P91=0,"",MonthlyFAME!P91)</f>
        <v/>
      </c>
      <c r="P89" s="21" t="str">
        <f>IF(MonthlyFAME!Q91=0,"",MonthlyFAME!Q91)</f>
        <v/>
      </c>
      <c r="Q89" s="21" t="str">
        <f>IF(MonthlyFAME!R91=0,"",MonthlyFAME!R91)</f>
        <v/>
      </c>
      <c r="R89" s="21" t="str">
        <f>IF(MonthlyFAME!S91=0,"",MonthlyFAME!S91)</f>
        <v/>
      </c>
      <c r="S89" s="21" t="str">
        <f>IF(MonthlyFAME!T91=0,"",MonthlyFAME!T91)</f>
        <v/>
      </c>
      <c r="T89" s="21" t="str">
        <f>IF(MonthlyFAME!U91=0,"",MonthlyFAME!U91)</f>
        <v/>
      </c>
    </row>
    <row r="90" spans="1:20" x14ac:dyDescent="0.2">
      <c r="A90" s="23">
        <f>IF(MonthlyFAME!A92=0,"",MonthlyFAME!A92)</f>
        <v>24531</v>
      </c>
      <c r="B90" s="21" t="str">
        <f>IF(MonthlyFAME!B92=0,"",MonthlyFAME!B92)</f>
        <v/>
      </c>
      <c r="C90" s="21">
        <f>IF(MonthlyFAME!C92=0,"",MonthlyFAME!C92)</f>
        <v>48.8</v>
      </c>
      <c r="D90" s="21" t="str">
        <f>IF(MonthlyFAME!D92=0,"",MonthlyFAME!D92)</f>
        <v/>
      </c>
      <c r="E90" s="21" t="str">
        <f>IF(MonthlyFAME!F92=0,"",MonthlyFAME!F92)</f>
        <v/>
      </c>
      <c r="F90" s="21" t="str">
        <f>IF(MonthlyFAME!G92=0,"",MonthlyFAME!G92)</f>
        <v/>
      </c>
      <c r="G90" s="21" t="str">
        <f>IF(MonthlyFAME!H92=0,"",MonthlyFAME!H92)</f>
        <v/>
      </c>
      <c r="H90" s="21" t="str">
        <f>IF(MonthlyFAME!I92=0,"",MonthlyFAME!I92)</f>
        <v/>
      </c>
      <c r="I90" s="21" t="str">
        <f>IF(MonthlyFAME!J92=0,"",MonthlyFAME!J92)</f>
        <v/>
      </c>
      <c r="J90" s="24"/>
      <c r="K90" s="21">
        <f>IF(MonthlyFAME!L92=0,"",MonthlyFAME!L92)</f>
        <v>13.565034099411299</v>
      </c>
      <c r="L90" s="21" t="str">
        <f>IF(MonthlyFAME!M92=0,"",MonthlyFAME!M92)</f>
        <v/>
      </c>
      <c r="M90" s="21" t="str">
        <f>IF(MonthlyFAME!N92=0,"",MonthlyFAME!N92)</f>
        <v/>
      </c>
      <c r="N90" s="21" t="str">
        <f>IF(MonthlyFAME!O92=0,"",MonthlyFAME!O92)</f>
        <v/>
      </c>
      <c r="O90" s="21" t="str">
        <f>IF(MonthlyFAME!P92=0,"",MonthlyFAME!P92)</f>
        <v/>
      </c>
      <c r="P90" s="21" t="str">
        <f>IF(MonthlyFAME!Q92=0,"",MonthlyFAME!Q92)</f>
        <v/>
      </c>
      <c r="Q90" s="21" t="str">
        <f>IF(MonthlyFAME!R92=0,"",MonthlyFAME!R92)</f>
        <v/>
      </c>
      <c r="R90" s="21" t="str">
        <f>IF(MonthlyFAME!S92=0,"",MonthlyFAME!S92)</f>
        <v/>
      </c>
      <c r="S90" s="21" t="str">
        <f>IF(MonthlyFAME!T92=0,"",MonthlyFAME!T92)</f>
        <v/>
      </c>
      <c r="T90" s="21" t="str">
        <f>IF(MonthlyFAME!U92=0,"",MonthlyFAME!U92)</f>
        <v/>
      </c>
    </row>
    <row r="91" spans="1:20" x14ac:dyDescent="0.2">
      <c r="A91" s="23">
        <f>IF(MonthlyFAME!A93=0,"",MonthlyFAME!A93)</f>
        <v>24562</v>
      </c>
      <c r="B91" s="21" t="str">
        <f>IF(MonthlyFAME!B93=0,"",MonthlyFAME!B93)</f>
        <v/>
      </c>
      <c r="C91" s="21">
        <f>IF(MonthlyFAME!C93=0,"",MonthlyFAME!C93)</f>
        <v>49.2</v>
      </c>
      <c r="D91" s="21" t="str">
        <f>IF(MonthlyFAME!D93=0,"",MonthlyFAME!D93)</f>
        <v/>
      </c>
      <c r="E91" s="21" t="str">
        <f>IF(MonthlyFAME!F93=0,"",MonthlyFAME!F93)</f>
        <v/>
      </c>
      <c r="F91" s="21" t="str">
        <f>IF(MonthlyFAME!G93=0,"",MonthlyFAME!G93)</f>
        <v/>
      </c>
      <c r="G91" s="21" t="str">
        <f>IF(MonthlyFAME!H93=0,"",MonthlyFAME!H93)</f>
        <v/>
      </c>
      <c r="H91" s="21" t="str">
        <f>IF(MonthlyFAME!I93=0,"",MonthlyFAME!I93)</f>
        <v/>
      </c>
      <c r="I91" s="21" t="str">
        <f>IF(MonthlyFAME!J93=0,"",MonthlyFAME!J93)</f>
        <v/>
      </c>
      <c r="J91" s="24"/>
      <c r="K91" s="21">
        <f>IF(MonthlyFAME!L93=0,"",MonthlyFAME!L93)</f>
        <v>13.0311762010652</v>
      </c>
      <c r="L91" s="21" t="str">
        <f>IF(MonthlyFAME!M93=0,"",MonthlyFAME!M93)</f>
        <v/>
      </c>
      <c r="M91" s="21" t="str">
        <f>IF(MonthlyFAME!N93=0,"",MonthlyFAME!N93)</f>
        <v/>
      </c>
      <c r="N91" s="21" t="str">
        <f>IF(MonthlyFAME!O93=0,"",MonthlyFAME!O93)</f>
        <v/>
      </c>
      <c r="O91" s="21" t="str">
        <f>IF(MonthlyFAME!P93=0,"",MonthlyFAME!P93)</f>
        <v/>
      </c>
      <c r="P91" s="21" t="str">
        <f>IF(MonthlyFAME!Q93=0,"",MonthlyFAME!Q93)</f>
        <v/>
      </c>
      <c r="Q91" s="21" t="str">
        <f>IF(MonthlyFAME!R93=0,"",MonthlyFAME!R93)</f>
        <v/>
      </c>
      <c r="R91" s="21" t="str">
        <f>IF(MonthlyFAME!S93=0,"",MonthlyFAME!S93)</f>
        <v/>
      </c>
      <c r="S91" s="21" t="str">
        <f>IF(MonthlyFAME!T93=0,"",MonthlyFAME!T93)</f>
        <v/>
      </c>
      <c r="T91" s="21" t="str">
        <f>IF(MonthlyFAME!U93=0,"",MonthlyFAME!U93)</f>
        <v/>
      </c>
    </row>
    <row r="92" spans="1:20" x14ac:dyDescent="0.2">
      <c r="A92" s="23">
        <f>IF(MonthlyFAME!A94=0,"",MonthlyFAME!A94)</f>
        <v>24592</v>
      </c>
      <c r="B92" s="21" t="str">
        <f>IF(MonthlyFAME!B94=0,"",MonthlyFAME!B94)</f>
        <v/>
      </c>
      <c r="C92" s="21">
        <f>IF(MonthlyFAME!C94=0,"",MonthlyFAME!C94)</f>
        <v>49.3</v>
      </c>
      <c r="D92" s="21" t="str">
        <f>IF(MonthlyFAME!D94=0,"",MonthlyFAME!D94)</f>
        <v/>
      </c>
      <c r="E92" s="21" t="str">
        <f>IF(MonthlyFAME!F94=0,"",MonthlyFAME!F94)</f>
        <v/>
      </c>
      <c r="F92" s="21" t="str">
        <f>IF(MonthlyFAME!G94=0,"",MonthlyFAME!G94)</f>
        <v/>
      </c>
      <c r="G92" s="21" t="str">
        <f>IF(MonthlyFAME!H94=0,"",MonthlyFAME!H94)</f>
        <v/>
      </c>
      <c r="H92" s="21" t="str">
        <f>IF(MonthlyFAME!I94=0,"",MonthlyFAME!I94)</f>
        <v/>
      </c>
      <c r="I92" s="21" t="str">
        <f>IF(MonthlyFAME!J94=0,"",MonthlyFAME!J94)</f>
        <v/>
      </c>
      <c r="J92" s="24"/>
      <c r="K92" s="21">
        <f>IF(MonthlyFAME!L94=0,"",MonthlyFAME!L94)</f>
        <v>13.3478749520785</v>
      </c>
      <c r="L92" s="21" t="str">
        <f>IF(MonthlyFAME!M94=0,"",MonthlyFAME!M94)</f>
        <v/>
      </c>
      <c r="M92" s="21" t="str">
        <f>IF(MonthlyFAME!N94=0,"",MonthlyFAME!N94)</f>
        <v/>
      </c>
      <c r="N92" s="21" t="str">
        <f>IF(MonthlyFAME!O94=0,"",MonthlyFAME!O94)</f>
        <v/>
      </c>
      <c r="O92" s="21" t="str">
        <f>IF(MonthlyFAME!P94=0,"",MonthlyFAME!P94)</f>
        <v/>
      </c>
      <c r="P92" s="21" t="str">
        <f>IF(MonthlyFAME!Q94=0,"",MonthlyFAME!Q94)</f>
        <v/>
      </c>
      <c r="Q92" s="21" t="str">
        <f>IF(MonthlyFAME!R94=0,"",MonthlyFAME!R94)</f>
        <v/>
      </c>
      <c r="R92" s="21" t="str">
        <f>IF(MonthlyFAME!S94=0,"",MonthlyFAME!S94)</f>
        <v/>
      </c>
      <c r="S92" s="21" t="str">
        <f>IF(MonthlyFAME!T94=0,"",MonthlyFAME!T94)</f>
        <v/>
      </c>
      <c r="T92" s="21" t="str">
        <f>IF(MonthlyFAME!U94=0,"",MonthlyFAME!U94)</f>
        <v/>
      </c>
    </row>
    <row r="93" spans="1:20" x14ac:dyDescent="0.2">
      <c r="A93" s="23">
        <f>IF(MonthlyFAME!A95=0,"",MonthlyFAME!A95)</f>
        <v>24623</v>
      </c>
      <c r="B93" s="21" t="str">
        <f>IF(MonthlyFAME!B95=0,"",MonthlyFAME!B95)</f>
        <v/>
      </c>
      <c r="C93" s="21">
        <f>IF(MonthlyFAME!C95=0,"",MonthlyFAME!C95)</f>
        <v>49.3</v>
      </c>
      <c r="D93" s="21" t="str">
        <f>IF(MonthlyFAME!D95=0,"",MonthlyFAME!D95)</f>
        <v/>
      </c>
      <c r="E93" s="21" t="str">
        <f>IF(MonthlyFAME!F95=0,"",MonthlyFAME!F95)</f>
        <v/>
      </c>
      <c r="F93" s="21" t="str">
        <f>IF(MonthlyFAME!G95=0,"",MonthlyFAME!G95)</f>
        <v/>
      </c>
      <c r="G93" s="21" t="str">
        <f>IF(MonthlyFAME!H95=0,"",MonthlyFAME!H95)</f>
        <v/>
      </c>
      <c r="H93" s="21" t="str">
        <f>IF(MonthlyFAME!I95=0,"",MonthlyFAME!I95)</f>
        <v/>
      </c>
      <c r="I93" s="21" t="str">
        <f>IF(MonthlyFAME!J95=0,"",MonthlyFAME!J95)</f>
        <v/>
      </c>
      <c r="J93" s="24"/>
      <c r="K93" s="21">
        <f>IF(MonthlyFAME!L95=0,"",MonthlyFAME!L95)</f>
        <v>13.5019921055697</v>
      </c>
      <c r="L93" s="21" t="str">
        <f>IF(MonthlyFAME!M95=0,"",MonthlyFAME!M95)</f>
        <v/>
      </c>
      <c r="M93" s="21" t="str">
        <f>IF(MonthlyFAME!N95=0,"",MonthlyFAME!N95)</f>
        <v/>
      </c>
      <c r="N93" s="21" t="str">
        <f>IF(MonthlyFAME!O95=0,"",MonthlyFAME!O95)</f>
        <v/>
      </c>
      <c r="O93" s="21" t="str">
        <f>IF(MonthlyFAME!P95=0,"",MonthlyFAME!P95)</f>
        <v/>
      </c>
      <c r="P93" s="21" t="str">
        <f>IF(MonthlyFAME!Q95=0,"",MonthlyFAME!Q95)</f>
        <v/>
      </c>
      <c r="Q93" s="21" t="str">
        <f>IF(MonthlyFAME!R95=0,"",MonthlyFAME!R95)</f>
        <v/>
      </c>
      <c r="R93" s="21" t="str">
        <f>IF(MonthlyFAME!S95=0,"",MonthlyFAME!S95)</f>
        <v/>
      </c>
      <c r="S93" s="21" t="str">
        <f>IF(MonthlyFAME!T95=0,"",MonthlyFAME!T95)</f>
        <v/>
      </c>
      <c r="T93" s="21" t="str">
        <f>IF(MonthlyFAME!U95=0,"",MonthlyFAME!U95)</f>
        <v/>
      </c>
    </row>
    <row r="94" spans="1:20" x14ac:dyDescent="0.2">
      <c r="A94" s="23">
        <f>IF(MonthlyFAME!A96=0,"",MonthlyFAME!A96)</f>
        <v>24653</v>
      </c>
      <c r="B94" s="21" t="str">
        <f>IF(MonthlyFAME!B96=0,"",MonthlyFAME!B96)</f>
        <v/>
      </c>
      <c r="C94" s="21">
        <f>IF(MonthlyFAME!C96=0,"",MonthlyFAME!C96)</f>
        <v>49.2</v>
      </c>
      <c r="D94" s="21" t="str">
        <f>IF(MonthlyFAME!D96=0,"",MonthlyFAME!D96)</f>
        <v/>
      </c>
      <c r="E94" s="21" t="str">
        <f>IF(MonthlyFAME!F96=0,"",MonthlyFAME!F96)</f>
        <v/>
      </c>
      <c r="F94" s="21" t="str">
        <f>IF(MonthlyFAME!G96=0,"",MonthlyFAME!G96)</f>
        <v/>
      </c>
      <c r="G94" s="21" t="str">
        <f>IF(MonthlyFAME!H96=0,"",MonthlyFAME!H96)</f>
        <v/>
      </c>
      <c r="H94" s="21" t="str">
        <f>IF(MonthlyFAME!I96=0,"",MonthlyFAME!I96)</f>
        <v/>
      </c>
      <c r="I94" s="21" t="str">
        <f>IF(MonthlyFAME!J96=0,"",MonthlyFAME!J96)</f>
        <v/>
      </c>
      <c r="J94" s="24"/>
      <c r="K94" s="21">
        <f>IF(MonthlyFAME!L96=0,"",MonthlyFAME!L96)</f>
        <v>13.767738712328301</v>
      </c>
      <c r="L94" s="21" t="str">
        <f>IF(MonthlyFAME!M96=0,"",MonthlyFAME!M96)</f>
        <v/>
      </c>
      <c r="M94" s="21" t="str">
        <f>IF(MonthlyFAME!N96=0,"",MonthlyFAME!N96)</f>
        <v/>
      </c>
      <c r="N94" s="21" t="str">
        <f>IF(MonthlyFAME!O96=0,"",MonthlyFAME!O96)</f>
        <v/>
      </c>
      <c r="O94" s="21" t="str">
        <f>IF(MonthlyFAME!P96=0,"",MonthlyFAME!P96)</f>
        <v/>
      </c>
      <c r="P94" s="21" t="str">
        <f>IF(MonthlyFAME!Q96=0,"",MonthlyFAME!Q96)</f>
        <v/>
      </c>
      <c r="Q94" s="21" t="str">
        <f>IF(MonthlyFAME!R96=0,"",MonthlyFAME!R96)</f>
        <v/>
      </c>
      <c r="R94" s="21" t="str">
        <f>IF(MonthlyFAME!S96=0,"",MonthlyFAME!S96)</f>
        <v/>
      </c>
      <c r="S94" s="21" t="str">
        <f>IF(MonthlyFAME!T96=0,"",MonthlyFAME!T96)</f>
        <v/>
      </c>
      <c r="T94" s="21" t="str">
        <f>IF(MonthlyFAME!U96=0,"",MonthlyFAME!U96)</f>
        <v/>
      </c>
    </row>
    <row r="95" spans="1:20" x14ac:dyDescent="0.2">
      <c r="A95" s="23">
        <f>IF(MonthlyFAME!A97=0,"",MonthlyFAME!A97)</f>
        <v>24684</v>
      </c>
      <c r="B95" s="21" t="str">
        <f>IF(MonthlyFAME!B97=0,"",MonthlyFAME!B97)</f>
        <v/>
      </c>
      <c r="C95" s="21">
        <f>IF(MonthlyFAME!C97=0,"",MonthlyFAME!C97)</f>
        <v>49.1</v>
      </c>
      <c r="D95" s="21" t="str">
        <f>IF(MonthlyFAME!D97=0,"",MonthlyFAME!D97)</f>
        <v/>
      </c>
      <c r="E95" s="21" t="str">
        <f>IF(MonthlyFAME!F97=0,"",MonthlyFAME!F97)</f>
        <v/>
      </c>
      <c r="F95" s="21" t="str">
        <f>IF(MonthlyFAME!G97=0,"",MonthlyFAME!G97)</f>
        <v/>
      </c>
      <c r="G95" s="21" t="str">
        <f>IF(MonthlyFAME!H97=0,"",MonthlyFAME!H97)</f>
        <v/>
      </c>
      <c r="H95" s="21" t="str">
        <f>IF(MonthlyFAME!I97=0,"",MonthlyFAME!I97)</f>
        <v/>
      </c>
      <c r="I95" s="21" t="str">
        <f>IF(MonthlyFAME!J97=0,"",MonthlyFAME!J97)</f>
        <v/>
      </c>
      <c r="J95" s="24"/>
      <c r="K95" s="21">
        <f>IF(MonthlyFAME!L97=0,"",MonthlyFAME!L97)</f>
        <v>13.888931685473199</v>
      </c>
      <c r="L95" s="21" t="str">
        <f>IF(MonthlyFAME!M97=0,"",MonthlyFAME!M97)</f>
        <v/>
      </c>
      <c r="M95" s="21" t="str">
        <f>IF(MonthlyFAME!N97=0,"",MonthlyFAME!N97)</f>
        <v/>
      </c>
      <c r="N95" s="21" t="str">
        <f>IF(MonthlyFAME!O97=0,"",MonthlyFAME!O97)</f>
        <v/>
      </c>
      <c r="O95" s="21" t="str">
        <f>IF(MonthlyFAME!P97=0,"",MonthlyFAME!P97)</f>
        <v/>
      </c>
      <c r="P95" s="21" t="str">
        <f>IF(MonthlyFAME!Q97=0,"",MonthlyFAME!Q97)</f>
        <v/>
      </c>
      <c r="Q95" s="21" t="str">
        <f>IF(MonthlyFAME!R97=0,"",MonthlyFAME!R97)</f>
        <v/>
      </c>
      <c r="R95" s="21" t="str">
        <f>IF(MonthlyFAME!S97=0,"",MonthlyFAME!S97)</f>
        <v/>
      </c>
      <c r="S95" s="21" t="str">
        <f>IF(MonthlyFAME!T97=0,"",MonthlyFAME!T97)</f>
        <v/>
      </c>
      <c r="T95" s="21" t="str">
        <f>IF(MonthlyFAME!U97=0,"",MonthlyFAME!U97)</f>
        <v/>
      </c>
    </row>
    <row r="96" spans="1:20" x14ac:dyDescent="0.2">
      <c r="A96" s="23">
        <f>IF(MonthlyFAME!A98=0,"",MonthlyFAME!A98)</f>
        <v>24715</v>
      </c>
      <c r="B96" s="21" t="str">
        <f>IF(MonthlyFAME!B98=0,"",MonthlyFAME!B98)</f>
        <v/>
      </c>
      <c r="C96" s="21">
        <f>IF(MonthlyFAME!C98=0,"",MonthlyFAME!C98)</f>
        <v>49.1</v>
      </c>
      <c r="D96" s="21" t="str">
        <f>IF(MonthlyFAME!D98=0,"",MonthlyFAME!D98)</f>
        <v/>
      </c>
      <c r="E96" s="21" t="str">
        <f>IF(MonthlyFAME!F98=0,"",MonthlyFAME!F98)</f>
        <v/>
      </c>
      <c r="F96" s="21" t="str">
        <f>IF(MonthlyFAME!G98=0,"",MonthlyFAME!G98)</f>
        <v/>
      </c>
      <c r="G96" s="21" t="str">
        <f>IF(MonthlyFAME!H98=0,"",MonthlyFAME!H98)</f>
        <v/>
      </c>
      <c r="H96" s="21" t="str">
        <f>IF(MonthlyFAME!I98=0,"",MonthlyFAME!I98)</f>
        <v/>
      </c>
      <c r="I96" s="21" t="str">
        <f>IF(MonthlyFAME!J98=0,"",MonthlyFAME!J98)</f>
        <v/>
      </c>
      <c r="J96" s="24"/>
      <c r="K96" s="21">
        <f>IF(MonthlyFAME!L98=0,"",MonthlyFAME!L98)</f>
        <v>13.9529140230345</v>
      </c>
      <c r="L96" s="21" t="str">
        <f>IF(MonthlyFAME!M98=0,"",MonthlyFAME!M98)</f>
        <v/>
      </c>
      <c r="M96" s="21" t="str">
        <f>IF(MonthlyFAME!N98=0,"",MonthlyFAME!N98)</f>
        <v/>
      </c>
      <c r="N96" s="21" t="str">
        <f>IF(MonthlyFAME!O98=0,"",MonthlyFAME!O98)</f>
        <v/>
      </c>
      <c r="O96" s="21" t="str">
        <f>IF(MonthlyFAME!P98=0,"",MonthlyFAME!P98)</f>
        <v/>
      </c>
      <c r="P96" s="21" t="str">
        <f>IF(MonthlyFAME!Q98=0,"",MonthlyFAME!Q98)</f>
        <v/>
      </c>
      <c r="Q96" s="21" t="str">
        <f>IF(MonthlyFAME!R98=0,"",MonthlyFAME!R98)</f>
        <v/>
      </c>
      <c r="R96" s="21" t="str">
        <f>IF(MonthlyFAME!S98=0,"",MonthlyFAME!S98)</f>
        <v/>
      </c>
      <c r="S96" s="21" t="str">
        <f>IF(MonthlyFAME!T98=0,"",MonthlyFAME!T98)</f>
        <v/>
      </c>
      <c r="T96" s="21" t="str">
        <f>IF(MonthlyFAME!U98=0,"",MonthlyFAME!U98)</f>
        <v/>
      </c>
    </row>
    <row r="97" spans="1:20" x14ac:dyDescent="0.2">
      <c r="A97" s="23">
        <f>IF(MonthlyFAME!A99=0,"",MonthlyFAME!A99)</f>
        <v>24745</v>
      </c>
      <c r="B97" s="21" t="str">
        <f>IF(MonthlyFAME!B99=0,"",MonthlyFAME!B99)</f>
        <v/>
      </c>
      <c r="C97" s="21">
        <f>IF(MonthlyFAME!C99=0,"",MonthlyFAME!C99)</f>
        <v>49.3</v>
      </c>
      <c r="D97" s="21" t="str">
        <f>IF(MonthlyFAME!D99=0,"",MonthlyFAME!D99)</f>
        <v/>
      </c>
      <c r="E97" s="21" t="str">
        <f>IF(MonthlyFAME!F99=0,"",MonthlyFAME!F99)</f>
        <v/>
      </c>
      <c r="F97" s="21" t="str">
        <f>IF(MonthlyFAME!G99=0,"",MonthlyFAME!G99)</f>
        <v/>
      </c>
      <c r="G97" s="21" t="str">
        <f>IF(MonthlyFAME!H99=0,"",MonthlyFAME!H99)</f>
        <v/>
      </c>
      <c r="H97" s="21" t="str">
        <f>IF(MonthlyFAME!I99=0,"",MonthlyFAME!I99)</f>
        <v/>
      </c>
      <c r="I97" s="21" t="str">
        <f>IF(MonthlyFAME!J99=0,"",MonthlyFAME!J99)</f>
        <v/>
      </c>
      <c r="J97" s="24"/>
      <c r="K97" s="21">
        <f>IF(MonthlyFAME!L99=0,"",MonthlyFAME!L99)</f>
        <v>14.135056765811999</v>
      </c>
      <c r="L97" s="21" t="str">
        <f>IF(MonthlyFAME!M99=0,"",MonthlyFAME!M99)</f>
        <v/>
      </c>
      <c r="M97" s="21" t="str">
        <f>IF(MonthlyFAME!N99=0,"",MonthlyFAME!N99)</f>
        <v/>
      </c>
      <c r="N97" s="21" t="str">
        <f>IF(MonthlyFAME!O99=0,"",MonthlyFAME!O99)</f>
        <v/>
      </c>
      <c r="O97" s="21" t="str">
        <f>IF(MonthlyFAME!P99=0,"",MonthlyFAME!P99)</f>
        <v/>
      </c>
      <c r="P97" s="21" t="str">
        <f>IF(MonthlyFAME!Q99=0,"",MonthlyFAME!Q99)</f>
        <v/>
      </c>
      <c r="Q97" s="21" t="str">
        <f>IF(MonthlyFAME!R99=0,"",MonthlyFAME!R99)</f>
        <v/>
      </c>
      <c r="R97" s="21" t="str">
        <f>IF(MonthlyFAME!S99=0,"",MonthlyFAME!S99)</f>
        <v/>
      </c>
      <c r="S97" s="21" t="str">
        <f>IF(MonthlyFAME!T99=0,"",MonthlyFAME!T99)</f>
        <v/>
      </c>
      <c r="T97" s="21" t="str">
        <f>IF(MonthlyFAME!U99=0,"",MonthlyFAME!U99)</f>
        <v/>
      </c>
    </row>
    <row r="98" spans="1:20" x14ac:dyDescent="0.2">
      <c r="A98" s="23">
        <f>IF(MonthlyFAME!A100=0,"",MonthlyFAME!A100)</f>
        <v>24776</v>
      </c>
      <c r="B98" s="21" t="str">
        <f>IF(MonthlyFAME!B100=0,"",MonthlyFAME!B100)</f>
        <v/>
      </c>
      <c r="C98" s="21">
        <f>IF(MonthlyFAME!C100=0,"",MonthlyFAME!C100)</f>
        <v>49.7</v>
      </c>
      <c r="D98" s="21" t="str">
        <f>IF(MonthlyFAME!D100=0,"",MonthlyFAME!D100)</f>
        <v/>
      </c>
      <c r="E98" s="21" t="str">
        <f>IF(MonthlyFAME!F100=0,"",MonthlyFAME!F100)</f>
        <v/>
      </c>
      <c r="F98" s="21" t="str">
        <f>IF(MonthlyFAME!G100=0,"",MonthlyFAME!G100)</f>
        <v/>
      </c>
      <c r="G98" s="21" t="str">
        <f>IF(MonthlyFAME!H100=0,"",MonthlyFAME!H100)</f>
        <v/>
      </c>
      <c r="H98" s="21" t="str">
        <f>IF(MonthlyFAME!I100=0,"",MonthlyFAME!I100)</f>
        <v/>
      </c>
      <c r="I98" s="21" t="str">
        <f>IF(MonthlyFAME!J100=0,"",MonthlyFAME!J100)</f>
        <v/>
      </c>
      <c r="J98" s="24"/>
      <c r="K98" s="21">
        <f>IF(MonthlyFAME!L100=0,"",MonthlyFAME!L100)</f>
        <v>14.1425311663366</v>
      </c>
      <c r="L98" s="21" t="str">
        <f>IF(MonthlyFAME!M100=0,"",MonthlyFAME!M100)</f>
        <v/>
      </c>
      <c r="M98" s="21" t="str">
        <f>IF(MonthlyFAME!N100=0,"",MonthlyFAME!N100)</f>
        <v/>
      </c>
      <c r="N98" s="21" t="str">
        <f>IF(MonthlyFAME!O100=0,"",MonthlyFAME!O100)</f>
        <v/>
      </c>
      <c r="O98" s="21" t="str">
        <f>IF(MonthlyFAME!P100=0,"",MonthlyFAME!P100)</f>
        <v/>
      </c>
      <c r="P98" s="21" t="str">
        <f>IF(MonthlyFAME!Q100=0,"",MonthlyFAME!Q100)</f>
        <v/>
      </c>
      <c r="Q98" s="21" t="str">
        <f>IF(MonthlyFAME!R100=0,"",MonthlyFAME!R100)</f>
        <v/>
      </c>
      <c r="R98" s="21" t="str">
        <f>IF(MonthlyFAME!S100=0,"",MonthlyFAME!S100)</f>
        <v/>
      </c>
      <c r="S98" s="21" t="str">
        <f>IF(MonthlyFAME!T100=0,"",MonthlyFAME!T100)</f>
        <v/>
      </c>
      <c r="T98" s="21" t="str">
        <f>IF(MonthlyFAME!U100=0,"",MonthlyFAME!U100)</f>
        <v/>
      </c>
    </row>
    <row r="99" spans="1:20" x14ac:dyDescent="0.2">
      <c r="A99" s="23">
        <f>IF(MonthlyFAME!A101=0,"",MonthlyFAME!A101)</f>
        <v>24806</v>
      </c>
      <c r="B99" s="21" t="str">
        <f>IF(MonthlyFAME!B101=0,"",MonthlyFAME!B101)</f>
        <v/>
      </c>
      <c r="C99" s="21">
        <f>IF(MonthlyFAME!C101=0,"",MonthlyFAME!C101)</f>
        <v>50.3</v>
      </c>
      <c r="D99" s="21" t="str">
        <f>IF(MonthlyFAME!D101=0,"",MonthlyFAME!D101)</f>
        <v/>
      </c>
      <c r="E99" s="21" t="str">
        <f>IF(MonthlyFAME!F101=0,"",MonthlyFAME!F101)</f>
        <v/>
      </c>
      <c r="F99" s="21" t="str">
        <f>IF(MonthlyFAME!G101=0,"",MonthlyFAME!G101)</f>
        <v/>
      </c>
      <c r="G99" s="21" t="str">
        <f>IF(MonthlyFAME!H101=0,"",MonthlyFAME!H101)</f>
        <v/>
      </c>
      <c r="H99" s="21" t="str">
        <f>IF(MonthlyFAME!I101=0,"",MonthlyFAME!I101)</f>
        <v/>
      </c>
      <c r="I99" s="21" t="str">
        <f>IF(MonthlyFAME!J101=0,"",MonthlyFAME!J101)</f>
        <v/>
      </c>
      <c r="J99" s="24"/>
      <c r="K99" s="21">
        <f>IF(MonthlyFAME!L101=0,"",MonthlyFAME!L101)</f>
        <v>14.3356794730154</v>
      </c>
      <c r="L99" s="21" t="str">
        <f>IF(MonthlyFAME!M101=0,"",MonthlyFAME!M101)</f>
        <v/>
      </c>
      <c r="M99" s="21" t="str">
        <f>IF(MonthlyFAME!N101=0,"",MonthlyFAME!N101)</f>
        <v/>
      </c>
      <c r="N99" s="21" t="str">
        <f>IF(MonthlyFAME!O101=0,"",MonthlyFAME!O101)</f>
        <v/>
      </c>
      <c r="O99" s="21" t="str">
        <f>IF(MonthlyFAME!P101=0,"",MonthlyFAME!P101)</f>
        <v/>
      </c>
      <c r="P99" s="21" t="str">
        <f>IF(MonthlyFAME!Q101=0,"",MonthlyFAME!Q101)</f>
        <v/>
      </c>
      <c r="Q99" s="21" t="str">
        <f>IF(MonthlyFAME!R101=0,"",MonthlyFAME!R101)</f>
        <v/>
      </c>
      <c r="R99" s="21" t="str">
        <f>IF(MonthlyFAME!S101=0,"",MonthlyFAME!S101)</f>
        <v/>
      </c>
      <c r="S99" s="21" t="str">
        <f>IF(MonthlyFAME!T101=0,"",MonthlyFAME!T101)</f>
        <v/>
      </c>
      <c r="T99" s="21" t="str">
        <f>IF(MonthlyFAME!U101=0,"",MonthlyFAME!U101)</f>
        <v/>
      </c>
    </row>
    <row r="100" spans="1:20" x14ac:dyDescent="0.2">
      <c r="A100" s="23">
        <f>IF(MonthlyFAME!A102=0,"",MonthlyFAME!A102)</f>
        <v>24837</v>
      </c>
      <c r="B100" s="21" t="str">
        <f>IF(MonthlyFAME!B102=0,"",MonthlyFAME!B102)</f>
        <v/>
      </c>
      <c r="C100" s="21">
        <f>IF(MonthlyFAME!C102=0,"",MonthlyFAME!C102)</f>
        <v>51.1</v>
      </c>
      <c r="D100" s="21" t="str">
        <f>IF(MonthlyFAME!D102=0,"",MonthlyFAME!D102)</f>
        <v/>
      </c>
      <c r="E100" s="21" t="str">
        <f>IF(MonthlyFAME!F102=0,"",MonthlyFAME!F102)</f>
        <v/>
      </c>
      <c r="F100" s="21" t="str">
        <f>IF(MonthlyFAME!G102=0,"",MonthlyFAME!G102)</f>
        <v/>
      </c>
      <c r="G100" s="21" t="str">
        <f>IF(MonthlyFAME!H102=0,"",MonthlyFAME!H102)</f>
        <v/>
      </c>
      <c r="H100" s="21" t="str">
        <f>IF(MonthlyFAME!I102=0,"",MonthlyFAME!I102)</f>
        <v/>
      </c>
      <c r="I100" s="21" t="str">
        <f>IF(MonthlyFAME!J102=0,"",MonthlyFAME!J102)</f>
        <v/>
      </c>
      <c r="J100" s="24"/>
      <c r="K100" s="21">
        <f>IF(MonthlyFAME!L102=0,"",MonthlyFAME!L102)</f>
        <v>14.3081060293178</v>
      </c>
      <c r="L100" s="21" t="str">
        <f>IF(MonthlyFAME!M102=0,"",MonthlyFAME!M102)</f>
        <v/>
      </c>
      <c r="M100" s="21" t="str">
        <f>IF(MonthlyFAME!N102=0,"",MonthlyFAME!N102)</f>
        <v/>
      </c>
      <c r="N100" s="21" t="str">
        <f>IF(MonthlyFAME!O102=0,"",MonthlyFAME!O102)</f>
        <v/>
      </c>
      <c r="O100" s="21" t="str">
        <f>IF(MonthlyFAME!P102=0,"",MonthlyFAME!P102)</f>
        <v/>
      </c>
      <c r="P100" s="21" t="str">
        <f>IF(MonthlyFAME!Q102=0,"",MonthlyFAME!Q102)</f>
        <v/>
      </c>
      <c r="Q100" s="21" t="str">
        <f>IF(MonthlyFAME!R102=0,"",MonthlyFAME!R102)</f>
        <v/>
      </c>
      <c r="R100" s="21" t="str">
        <f>IF(MonthlyFAME!S102=0,"",MonthlyFAME!S102)</f>
        <v/>
      </c>
      <c r="S100" s="21" t="str">
        <f>IF(MonthlyFAME!T102=0,"",MonthlyFAME!T102)</f>
        <v/>
      </c>
      <c r="T100" s="21" t="str">
        <f>IF(MonthlyFAME!U102=0,"",MonthlyFAME!U102)</f>
        <v/>
      </c>
    </row>
    <row r="101" spans="1:20" x14ac:dyDescent="0.2">
      <c r="A101" s="23">
        <f>IF(MonthlyFAME!A103=0,"",MonthlyFAME!A103)</f>
        <v>24868</v>
      </c>
      <c r="B101" s="21" t="str">
        <f>IF(MonthlyFAME!B103=0,"",MonthlyFAME!B103)</f>
        <v/>
      </c>
      <c r="C101" s="21">
        <f>IF(MonthlyFAME!C103=0,"",MonthlyFAME!C103)</f>
        <v>51.6</v>
      </c>
      <c r="D101" s="21" t="str">
        <f>IF(MonthlyFAME!D103=0,"",MonthlyFAME!D103)</f>
        <v/>
      </c>
      <c r="E101" s="21" t="str">
        <f>IF(MonthlyFAME!F103=0,"",MonthlyFAME!F103)</f>
        <v/>
      </c>
      <c r="F101" s="21" t="str">
        <f>IF(MonthlyFAME!G103=0,"",MonthlyFAME!G103)</f>
        <v/>
      </c>
      <c r="G101" s="21" t="str">
        <f>IF(MonthlyFAME!H103=0,"",MonthlyFAME!H103)</f>
        <v/>
      </c>
      <c r="H101" s="21" t="str">
        <f>IF(MonthlyFAME!I103=0,"",MonthlyFAME!I103)</f>
        <v/>
      </c>
      <c r="I101" s="21" t="str">
        <f>IF(MonthlyFAME!J103=0,"",MonthlyFAME!J103)</f>
        <v/>
      </c>
      <c r="J101" s="24"/>
      <c r="K101" s="21">
        <f>IF(MonthlyFAME!L103=0,"",MonthlyFAME!L103)</f>
        <v>14.4462400743784</v>
      </c>
      <c r="L101" s="21" t="str">
        <f>IF(MonthlyFAME!M103=0,"",MonthlyFAME!M103)</f>
        <v/>
      </c>
      <c r="M101" s="21" t="str">
        <f>IF(MonthlyFAME!N103=0,"",MonthlyFAME!N103)</f>
        <v/>
      </c>
      <c r="N101" s="21" t="str">
        <f>IF(MonthlyFAME!O103=0,"",MonthlyFAME!O103)</f>
        <v/>
      </c>
      <c r="O101" s="21" t="str">
        <f>IF(MonthlyFAME!P103=0,"",MonthlyFAME!P103)</f>
        <v/>
      </c>
      <c r="P101" s="21" t="str">
        <f>IF(MonthlyFAME!Q103=0,"",MonthlyFAME!Q103)</f>
        <v/>
      </c>
      <c r="Q101" s="21" t="str">
        <f>IF(MonthlyFAME!R103=0,"",MonthlyFAME!R103)</f>
        <v/>
      </c>
      <c r="R101" s="21" t="str">
        <f>IF(MonthlyFAME!S103=0,"",MonthlyFAME!S103)</f>
        <v/>
      </c>
      <c r="S101" s="21" t="str">
        <f>IF(MonthlyFAME!T103=0,"",MonthlyFAME!T103)</f>
        <v/>
      </c>
      <c r="T101" s="21" t="str">
        <f>IF(MonthlyFAME!U103=0,"",MonthlyFAME!U103)</f>
        <v/>
      </c>
    </row>
    <row r="102" spans="1:20" x14ac:dyDescent="0.2">
      <c r="A102" s="23">
        <f>IF(MonthlyFAME!A104=0,"",MonthlyFAME!A104)</f>
        <v>24897</v>
      </c>
      <c r="B102" s="21" t="str">
        <f>IF(MonthlyFAME!B104=0,"",MonthlyFAME!B104)</f>
        <v/>
      </c>
      <c r="C102" s="21">
        <f>IF(MonthlyFAME!C104=0,"",MonthlyFAME!C104)</f>
        <v>52.3</v>
      </c>
      <c r="D102" s="21" t="str">
        <f>IF(MonthlyFAME!D104=0,"",MonthlyFAME!D104)</f>
        <v/>
      </c>
      <c r="E102" s="21" t="str">
        <f>IF(MonthlyFAME!F104=0,"",MonthlyFAME!F104)</f>
        <v/>
      </c>
      <c r="F102" s="21" t="str">
        <f>IF(MonthlyFAME!G104=0,"",MonthlyFAME!G104)</f>
        <v/>
      </c>
      <c r="G102" s="21" t="str">
        <f>IF(MonthlyFAME!H104=0,"",MonthlyFAME!H104)</f>
        <v/>
      </c>
      <c r="H102" s="21" t="str">
        <f>IF(MonthlyFAME!I104=0,"",MonthlyFAME!I104)</f>
        <v/>
      </c>
      <c r="I102" s="21" t="str">
        <f>IF(MonthlyFAME!J104=0,"",MonthlyFAME!J104)</f>
        <v/>
      </c>
      <c r="J102" s="24"/>
      <c r="K102" s="21">
        <f>IF(MonthlyFAME!L104=0,"",MonthlyFAME!L104)</f>
        <v>14.4562250510402</v>
      </c>
      <c r="L102" s="21" t="str">
        <f>IF(MonthlyFAME!M104=0,"",MonthlyFAME!M104)</f>
        <v/>
      </c>
      <c r="M102" s="21" t="str">
        <f>IF(MonthlyFAME!N104=0,"",MonthlyFAME!N104)</f>
        <v/>
      </c>
      <c r="N102" s="21" t="str">
        <f>IF(MonthlyFAME!O104=0,"",MonthlyFAME!O104)</f>
        <v/>
      </c>
      <c r="O102" s="21" t="str">
        <f>IF(MonthlyFAME!P104=0,"",MonthlyFAME!P104)</f>
        <v/>
      </c>
      <c r="P102" s="21" t="str">
        <f>IF(MonthlyFAME!Q104=0,"",MonthlyFAME!Q104)</f>
        <v/>
      </c>
      <c r="Q102" s="21" t="str">
        <f>IF(MonthlyFAME!R104=0,"",MonthlyFAME!R104)</f>
        <v/>
      </c>
      <c r="R102" s="21" t="str">
        <f>IF(MonthlyFAME!S104=0,"",MonthlyFAME!S104)</f>
        <v/>
      </c>
      <c r="S102" s="21" t="str">
        <f>IF(MonthlyFAME!T104=0,"",MonthlyFAME!T104)</f>
        <v/>
      </c>
      <c r="T102" s="21" t="str">
        <f>IF(MonthlyFAME!U104=0,"",MonthlyFAME!U104)</f>
        <v/>
      </c>
    </row>
    <row r="103" spans="1:20" x14ac:dyDescent="0.2">
      <c r="A103" s="23">
        <f>IF(MonthlyFAME!A105=0,"",MonthlyFAME!A105)</f>
        <v>24928</v>
      </c>
      <c r="B103" s="21" t="str">
        <f>IF(MonthlyFAME!B105=0,"",MonthlyFAME!B105)</f>
        <v/>
      </c>
      <c r="C103" s="21">
        <f>IF(MonthlyFAME!C105=0,"",MonthlyFAME!C105)</f>
        <v>52.7</v>
      </c>
      <c r="D103" s="21" t="str">
        <f>IF(MonthlyFAME!D105=0,"",MonthlyFAME!D105)</f>
        <v/>
      </c>
      <c r="E103" s="21" t="str">
        <f>IF(MonthlyFAME!F105=0,"",MonthlyFAME!F105)</f>
        <v/>
      </c>
      <c r="F103" s="21" t="str">
        <f>IF(MonthlyFAME!G105=0,"",MonthlyFAME!G105)</f>
        <v/>
      </c>
      <c r="G103" s="21" t="str">
        <f>IF(MonthlyFAME!H105=0,"",MonthlyFAME!H105)</f>
        <v/>
      </c>
      <c r="H103" s="21" t="str">
        <f>IF(MonthlyFAME!I105=0,"",MonthlyFAME!I105)</f>
        <v/>
      </c>
      <c r="I103" s="21" t="str">
        <f>IF(MonthlyFAME!J105=0,"",MonthlyFAME!J105)</f>
        <v/>
      </c>
      <c r="J103" s="24"/>
      <c r="K103" s="21">
        <f>IF(MonthlyFAME!L105=0,"",MonthlyFAME!L105)</f>
        <v>14.755242835717899</v>
      </c>
      <c r="L103" s="21" t="str">
        <f>IF(MonthlyFAME!M105=0,"",MonthlyFAME!M105)</f>
        <v/>
      </c>
      <c r="M103" s="21" t="str">
        <f>IF(MonthlyFAME!N105=0,"",MonthlyFAME!N105)</f>
        <v/>
      </c>
      <c r="N103" s="21" t="str">
        <f>IF(MonthlyFAME!O105=0,"",MonthlyFAME!O105)</f>
        <v/>
      </c>
      <c r="O103" s="21" t="str">
        <f>IF(MonthlyFAME!P105=0,"",MonthlyFAME!P105)</f>
        <v/>
      </c>
      <c r="P103" s="21" t="str">
        <f>IF(MonthlyFAME!Q105=0,"",MonthlyFAME!Q105)</f>
        <v/>
      </c>
      <c r="Q103" s="21" t="str">
        <f>IF(MonthlyFAME!R105=0,"",MonthlyFAME!R105)</f>
        <v/>
      </c>
      <c r="R103" s="21" t="str">
        <f>IF(MonthlyFAME!S105=0,"",MonthlyFAME!S105)</f>
        <v/>
      </c>
      <c r="S103" s="21" t="str">
        <f>IF(MonthlyFAME!T105=0,"",MonthlyFAME!T105)</f>
        <v/>
      </c>
      <c r="T103" s="21" t="str">
        <f>IF(MonthlyFAME!U105=0,"",MonthlyFAME!U105)</f>
        <v/>
      </c>
    </row>
    <row r="104" spans="1:20" x14ac:dyDescent="0.2">
      <c r="A104" s="23">
        <f>IF(MonthlyFAME!A106=0,"",MonthlyFAME!A106)</f>
        <v>24958</v>
      </c>
      <c r="B104" s="21" t="str">
        <f>IF(MonthlyFAME!B106=0,"",MonthlyFAME!B106)</f>
        <v/>
      </c>
      <c r="C104" s="21">
        <f>IF(MonthlyFAME!C106=0,"",MonthlyFAME!C106)</f>
        <v>52.5</v>
      </c>
      <c r="D104" s="21" t="str">
        <f>IF(MonthlyFAME!D106=0,"",MonthlyFAME!D106)</f>
        <v/>
      </c>
      <c r="E104" s="21" t="str">
        <f>IF(MonthlyFAME!F106=0,"",MonthlyFAME!F106)</f>
        <v/>
      </c>
      <c r="F104" s="21" t="str">
        <f>IF(MonthlyFAME!G106=0,"",MonthlyFAME!G106)</f>
        <v/>
      </c>
      <c r="G104" s="21" t="str">
        <f>IF(MonthlyFAME!H106=0,"",MonthlyFAME!H106)</f>
        <v/>
      </c>
      <c r="H104" s="21" t="str">
        <f>IF(MonthlyFAME!I106=0,"",MonthlyFAME!I106)</f>
        <v/>
      </c>
      <c r="I104" s="21" t="str">
        <f>IF(MonthlyFAME!J106=0,"",MonthlyFAME!J106)</f>
        <v/>
      </c>
      <c r="J104" s="24"/>
      <c r="K104" s="21">
        <f>IF(MonthlyFAME!L106=0,"",MonthlyFAME!L106)</f>
        <v>14.503401761747799</v>
      </c>
      <c r="L104" s="21" t="str">
        <f>IF(MonthlyFAME!M106=0,"",MonthlyFAME!M106)</f>
        <v/>
      </c>
      <c r="M104" s="21" t="str">
        <f>IF(MonthlyFAME!N106=0,"",MonthlyFAME!N106)</f>
        <v/>
      </c>
      <c r="N104" s="21" t="str">
        <f>IF(MonthlyFAME!O106=0,"",MonthlyFAME!O106)</f>
        <v/>
      </c>
      <c r="O104" s="21" t="str">
        <f>IF(MonthlyFAME!P106=0,"",MonthlyFAME!P106)</f>
        <v/>
      </c>
      <c r="P104" s="21" t="str">
        <f>IF(MonthlyFAME!Q106=0,"",MonthlyFAME!Q106)</f>
        <v/>
      </c>
      <c r="Q104" s="21" t="str">
        <f>IF(MonthlyFAME!R106=0,"",MonthlyFAME!R106)</f>
        <v/>
      </c>
      <c r="R104" s="21" t="str">
        <f>IF(MonthlyFAME!S106=0,"",MonthlyFAME!S106)</f>
        <v/>
      </c>
      <c r="S104" s="21" t="str">
        <f>IF(MonthlyFAME!T106=0,"",MonthlyFAME!T106)</f>
        <v/>
      </c>
      <c r="T104" s="21" t="str">
        <f>IF(MonthlyFAME!U106=0,"",MonthlyFAME!U106)</f>
        <v/>
      </c>
    </row>
    <row r="105" spans="1:20" x14ac:dyDescent="0.2">
      <c r="A105" s="23">
        <f>IF(MonthlyFAME!A107=0,"",MonthlyFAME!A107)</f>
        <v>24989</v>
      </c>
      <c r="B105" s="21" t="str">
        <f>IF(MonthlyFAME!B107=0,"",MonthlyFAME!B107)</f>
        <v/>
      </c>
      <c r="C105" s="21">
        <f>IF(MonthlyFAME!C107=0,"",MonthlyFAME!C107)</f>
        <v>53.1</v>
      </c>
      <c r="D105" s="21" t="str">
        <f>IF(MonthlyFAME!D107=0,"",MonthlyFAME!D107)</f>
        <v/>
      </c>
      <c r="E105" s="21" t="str">
        <f>IF(MonthlyFAME!F107=0,"",MonthlyFAME!F107)</f>
        <v/>
      </c>
      <c r="F105" s="21" t="str">
        <f>IF(MonthlyFAME!G107=0,"",MonthlyFAME!G107)</f>
        <v/>
      </c>
      <c r="G105" s="21" t="str">
        <f>IF(MonthlyFAME!H107=0,"",MonthlyFAME!H107)</f>
        <v/>
      </c>
      <c r="H105" s="21" t="str">
        <f>IF(MonthlyFAME!I107=0,"",MonthlyFAME!I107)</f>
        <v/>
      </c>
      <c r="I105" s="21" t="str">
        <f>IF(MonthlyFAME!J107=0,"",MonthlyFAME!J107)</f>
        <v/>
      </c>
      <c r="J105" s="24"/>
      <c r="K105" s="21">
        <f>IF(MonthlyFAME!L107=0,"",MonthlyFAME!L107)</f>
        <v>14.9770563376303</v>
      </c>
      <c r="L105" s="21" t="str">
        <f>IF(MonthlyFAME!M107=0,"",MonthlyFAME!M107)</f>
        <v/>
      </c>
      <c r="M105" s="21" t="str">
        <f>IF(MonthlyFAME!N107=0,"",MonthlyFAME!N107)</f>
        <v/>
      </c>
      <c r="N105" s="21" t="str">
        <f>IF(MonthlyFAME!O107=0,"",MonthlyFAME!O107)</f>
        <v/>
      </c>
      <c r="O105" s="21" t="str">
        <f>IF(MonthlyFAME!P107=0,"",MonthlyFAME!P107)</f>
        <v/>
      </c>
      <c r="P105" s="21" t="str">
        <f>IF(MonthlyFAME!Q107=0,"",MonthlyFAME!Q107)</f>
        <v/>
      </c>
      <c r="Q105" s="21" t="str">
        <f>IF(MonthlyFAME!R107=0,"",MonthlyFAME!R107)</f>
        <v/>
      </c>
      <c r="R105" s="21" t="str">
        <f>IF(MonthlyFAME!S107=0,"",MonthlyFAME!S107)</f>
        <v/>
      </c>
      <c r="S105" s="21" t="str">
        <f>IF(MonthlyFAME!T107=0,"",MonthlyFAME!T107)</f>
        <v/>
      </c>
      <c r="T105" s="21" t="str">
        <f>IF(MonthlyFAME!U107=0,"",MonthlyFAME!U107)</f>
        <v/>
      </c>
    </row>
    <row r="106" spans="1:20" x14ac:dyDescent="0.2">
      <c r="A106" s="23">
        <f>IF(MonthlyFAME!A108=0,"",MonthlyFAME!A108)</f>
        <v>25019</v>
      </c>
      <c r="B106" s="21" t="str">
        <f>IF(MonthlyFAME!B108=0,"",MonthlyFAME!B108)</f>
        <v/>
      </c>
      <c r="C106" s="21">
        <f>IF(MonthlyFAME!C108=0,"",MonthlyFAME!C108)</f>
        <v>53.2</v>
      </c>
      <c r="D106" s="21" t="str">
        <f>IF(MonthlyFAME!D108=0,"",MonthlyFAME!D108)</f>
        <v/>
      </c>
      <c r="E106" s="21" t="str">
        <f>IF(MonthlyFAME!F108=0,"",MonthlyFAME!F108)</f>
        <v/>
      </c>
      <c r="F106" s="21" t="str">
        <f>IF(MonthlyFAME!G108=0,"",MonthlyFAME!G108)</f>
        <v/>
      </c>
      <c r="G106" s="21" t="str">
        <f>IF(MonthlyFAME!H108=0,"",MonthlyFAME!H108)</f>
        <v/>
      </c>
      <c r="H106" s="21" t="str">
        <f>IF(MonthlyFAME!I108=0,"",MonthlyFAME!I108)</f>
        <v/>
      </c>
      <c r="I106" s="21" t="str">
        <f>IF(MonthlyFAME!J108=0,"",MonthlyFAME!J108)</f>
        <v/>
      </c>
      <c r="J106" s="24"/>
      <c r="K106" s="21">
        <f>IF(MonthlyFAME!L108=0,"",MonthlyFAME!L108)</f>
        <v>14.9480983912876</v>
      </c>
      <c r="L106" s="21" t="str">
        <f>IF(MonthlyFAME!M108=0,"",MonthlyFAME!M108)</f>
        <v/>
      </c>
      <c r="M106" s="21" t="str">
        <f>IF(MonthlyFAME!N108=0,"",MonthlyFAME!N108)</f>
        <v/>
      </c>
      <c r="N106" s="21" t="str">
        <f>IF(MonthlyFAME!O108=0,"",MonthlyFAME!O108)</f>
        <v/>
      </c>
      <c r="O106" s="21" t="str">
        <f>IF(MonthlyFAME!P108=0,"",MonthlyFAME!P108)</f>
        <v/>
      </c>
      <c r="P106" s="21" t="str">
        <f>IF(MonthlyFAME!Q108=0,"",MonthlyFAME!Q108)</f>
        <v/>
      </c>
      <c r="Q106" s="21" t="str">
        <f>IF(MonthlyFAME!R108=0,"",MonthlyFAME!R108)</f>
        <v/>
      </c>
      <c r="R106" s="21" t="str">
        <f>IF(MonthlyFAME!S108=0,"",MonthlyFAME!S108)</f>
        <v/>
      </c>
      <c r="S106" s="21" t="str">
        <f>IF(MonthlyFAME!T108=0,"",MonthlyFAME!T108)</f>
        <v/>
      </c>
      <c r="T106" s="21" t="str">
        <f>IF(MonthlyFAME!U108=0,"",MonthlyFAME!U108)</f>
        <v/>
      </c>
    </row>
    <row r="107" spans="1:20" x14ac:dyDescent="0.2">
      <c r="A107" s="23">
        <f>IF(MonthlyFAME!A109=0,"",MonthlyFAME!A109)</f>
        <v>25050</v>
      </c>
      <c r="B107" s="21" t="str">
        <f>IF(MonthlyFAME!B109=0,"",MonthlyFAME!B109)</f>
        <v/>
      </c>
      <c r="C107" s="21">
        <f>IF(MonthlyFAME!C109=0,"",MonthlyFAME!C109)</f>
        <v>53.2</v>
      </c>
      <c r="D107" s="21" t="str">
        <f>IF(MonthlyFAME!D109=0,"",MonthlyFAME!D109)</f>
        <v/>
      </c>
      <c r="E107" s="21" t="str">
        <f>IF(MonthlyFAME!F109=0,"",MonthlyFAME!F109)</f>
        <v/>
      </c>
      <c r="F107" s="21" t="str">
        <f>IF(MonthlyFAME!G109=0,"",MonthlyFAME!G109)</f>
        <v/>
      </c>
      <c r="G107" s="21" t="str">
        <f>IF(MonthlyFAME!H109=0,"",MonthlyFAME!H109)</f>
        <v/>
      </c>
      <c r="H107" s="21" t="str">
        <f>IF(MonthlyFAME!I109=0,"",MonthlyFAME!I109)</f>
        <v/>
      </c>
      <c r="I107" s="21" t="str">
        <f>IF(MonthlyFAME!J109=0,"",MonthlyFAME!J109)</f>
        <v/>
      </c>
      <c r="J107" s="24"/>
      <c r="K107" s="21">
        <f>IF(MonthlyFAME!L109=0,"",MonthlyFAME!L109)</f>
        <v>15.044481463583701</v>
      </c>
      <c r="L107" s="21" t="str">
        <f>IF(MonthlyFAME!M109=0,"",MonthlyFAME!M109)</f>
        <v/>
      </c>
      <c r="M107" s="21" t="str">
        <f>IF(MonthlyFAME!N109=0,"",MonthlyFAME!N109)</f>
        <v/>
      </c>
      <c r="N107" s="21" t="str">
        <f>IF(MonthlyFAME!O109=0,"",MonthlyFAME!O109)</f>
        <v/>
      </c>
      <c r="O107" s="21" t="str">
        <f>IF(MonthlyFAME!P109=0,"",MonthlyFAME!P109)</f>
        <v/>
      </c>
      <c r="P107" s="21" t="str">
        <f>IF(MonthlyFAME!Q109=0,"",MonthlyFAME!Q109)</f>
        <v/>
      </c>
      <c r="Q107" s="21" t="str">
        <f>IF(MonthlyFAME!R109=0,"",MonthlyFAME!R109)</f>
        <v/>
      </c>
      <c r="R107" s="21" t="str">
        <f>IF(MonthlyFAME!S109=0,"",MonthlyFAME!S109)</f>
        <v/>
      </c>
      <c r="S107" s="21" t="str">
        <f>IF(MonthlyFAME!T109=0,"",MonthlyFAME!T109)</f>
        <v/>
      </c>
      <c r="T107" s="21" t="str">
        <f>IF(MonthlyFAME!U109=0,"",MonthlyFAME!U109)</f>
        <v/>
      </c>
    </row>
    <row r="108" spans="1:20" x14ac:dyDescent="0.2">
      <c r="A108" s="23">
        <f>IF(MonthlyFAME!A110=0,"",MonthlyFAME!A110)</f>
        <v>25081</v>
      </c>
      <c r="B108" s="21" t="str">
        <f>IF(MonthlyFAME!B110=0,"",MonthlyFAME!B110)</f>
        <v/>
      </c>
      <c r="C108" s="21">
        <f>IF(MonthlyFAME!C110=0,"",MonthlyFAME!C110)</f>
        <v>53.5</v>
      </c>
      <c r="D108" s="21" t="str">
        <f>IF(MonthlyFAME!D110=0,"",MonthlyFAME!D110)</f>
        <v/>
      </c>
      <c r="E108" s="21" t="str">
        <f>IF(MonthlyFAME!F110=0,"",MonthlyFAME!F110)</f>
        <v/>
      </c>
      <c r="F108" s="21" t="str">
        <f>IF(MonthlyFAME!G110=0,"",MonthlyFAME!G110)</f>
        <v/>
      </c>
      <c r="G108" s="21" t="str">
        <f>IF(MonthlyFAME!H110=0,"",MonthlyFAME!H110)</f>
        <v/>
      </c>
      <c r="H108" s="21" t="str">
        <f>IF(MonthlyFAME!I110=0,"",MonthlyFAME!I110)</f>
        <v/>
      </c>
      <c r="I108" s="21" t="str">
        <f>IF(MonthlyFAME!J110=0,"",MonthlyFAME!J110)</f>
        <v/>
      </c>
      <c r="J108" s="24"/>
      <c r="K108" s="21">
        <f>IF(MonthlyFAME!L110=0,"",MonthlyFAME!L110)</f>
        <v>15.079571461912099</v>
      </c>
      <c r="L108" s="21" t="str">
        <f>IF(MonthlyFAME!M110=0,"",MonthlyFAME!M110)</f>
        <v/>
      </c>
      <c r="M108" s="21" t="str">
        <f>IF(MonthlyFAME!N110=0,"",MonthlyFAME!N110)</f>
        <v/>
      </c>
      <c r="N108" s="21" t="str">
        <f>IF(MonthlyFAME!O110=0,"",MonthlyFAME!O110)</f>
        <v/>
      </c>
      <c r="O108" s="21" t="str">
        <f>IF(MonthlyFAME!P110=0,"",MonthlyFAME!P110)</f>
        <v/>
      </c>
      <c r="P108" s="21" t="str">
        <f>IF(MonthlyFAME!Q110=0,"",MonthlyFAME!Q110)</f>
        <v/>
      </c>
      <c r="Q108" s="21" t="str">
        <f>IF(MonthlyFAME!R110=0,"",MonthlyFAME!R110)</f>
        <v/>
      </c>
      <c r="R108" s="21" t="str">
        <f>IF(MonthlyFAME!S110=0,"",MonthlyFAME!S110)</f>
        <v/>
      </c>
      <c r="S108" s="21" t="str">
        <f>IF(MonthlyFAME!T110=0,"",MonthlyFAME!T110)</f>
        <v/>
      </c>
      <c r="T108" s="21" t="str">
        <f>IF(MonthlyFAME!U110=0,"",MonthlyFAME!U110)</f>
        <v/>
      </c>
    </row>
    <row r="109" spans="1:20" x14ac:dyDescent="0.2">
      <c r="A109" s="23">
        <f>IF(MonthlyFAME!A111=0,"",MonthlyFAME!A111)</f>
        <v>25111</v>
      </c>
      <c r="B109" s="21" t="str">
        <f>IF(MonthlyFAME!B111=0,"",MonthlyFAME!B111)</f>
        <v/>
      </c>
      <c r="C109" s="21">
        <f>IF(MonthlyFAME!C111=0,"",MonthlyFAME!C111)</f>
        <v>53.4</v>
      </c>
      <c r="D109" s="21" t="str">
        <f>IF(MonthlyFAME!D111=0,"",MonthlyFAME!D111)</f>
        <v/>
      </c>
      <c r="E109" s="21" t="str">
        <f>IF(MonthlyFAME!F111=0,"",MonthlyFAME!F111)</f>
        <v/>
      </c>
      <c r="F109" s="21" t="str">
        <f>IF(MonthlyFAME!G111=0,"",MonthlyFAME!G111)</f>
        <v/>
      </c>
      <c r="G109" s="21" t="str">
        <f>IF(MonthlyFAME!H111=0,"",MonthlyFAME!H111)</f>
        <v/>
      </c>
      <c r="H109" s="21" t="str">
        <f>IF(MonthlyFAME!I111=0,"",MonthlyFAME!I111)</f>
        <v/>
      </c>
      <c r="I109" s="21" t="str">
        <f>IF(MonthlyFAME!J111=0,"",MonthlyFAME!J111)</f>
        <v/>
      </c>
      <c r="J109" s="24"/>
      <c r="K109" s="21">
        <f>IF(MonthlyFAME!L111=0,"",MonthlyFAME!L111)</f>
        <v>15.2426343433222</v>
      </c>
      <c r="L109" s="21" t="str">
        <f>IF(MonthlyFAME!M111=0,"",MonthlyFAME!M111)</f>
        <v/>
      </c>
      <c r="M109" s="21" t="str">
        <f>IF(MonthlyFAME!N111=0,"",MonthlyFAME!N111)</f>
        <v/>
      </c>
      <c r="N109" s="21" t="str">
        <f>IF(MonthlyFAME!O111=0,"",MonthlyFAME!O111)</f>
        <v/>
      </c>
      <c r="O109" s="21" t="str">
        <f>IF(MonthlyFAME!P111=0,"",MonthlyFAME!P111)</f>
        <v/>
      </c>
      <c r="P109" s="21" t="str">
        <f>IF(MonthlyFAME!Q111=0,"",MonthlyFAME!Q111)</f>
        <v/>
      </c>
      <c r="Q109" s="21" t="str">
        <f>IF(MonthlyFAME!R111=0,"",MonthlyFAME!R111)</f>
        <v/>
      </c>
      <c r="R109" s="21" t="str">
        <f>IF(MonthlyFAME!S111=0,"",MonthlyFAME!S111)</f>
        <v/>
      </c>
      <c r="S109" s="21" t="str">
        <f>IF(MonthlyFAME!T111=0,"",MonthlyFAME!T111)</f>
        <v/>
      </c>
      <c r="T109" s="21" t="str">
        <f>IF(MonthlyFAME!U111=0,"",MonthlyFAME!U111)</f>
        <v/>
      </c>
    </row>
    <row r="110" spans="1:20" x14ac:dyDescent="0.2">
      <c r="A110" s="23">
        <f>IF(MonthlyFAME!A112=0,"",MonthlyFAME!A112)</f>
        <v>25142</v>
      </c>
      <c r="B110" s="21" t="str">
        <f>IF(MonthlyFAME!B112=0,"",MonthlyFAME!B112)</f>
        <v/>
      </c>
      <c r="C110" s="21">
        <f>IF(MonthlyFAME!C112=0,"",MonthlyFAME!C112)</f>
        <v>53.1</v>
      </c>
      <c r="D110" s="21" t="str">
        <f>IF(MonthlyFAME!D112=0,"",MonthlyFAME!D112)</f>
        <v/>
      </c>
      <c r="E110" s="21" t="str">
        <f>IF(MonthlyFAME!F112=0,"",MonthlyFAME!F112)</f>
        <v/>
      </c>
      <c r="F110" s="21" t="str">
        <f>IF(MonthlyFAME!G112=0,"",MonthlyFAME!G112)</f>
        <v/>
      </c>
      <c r="G110" s="21" t="str">
        <f>IF(MonthlyFAME!H112=0,"",MonthlyFAME!H112)</f>
        <v/>
      </c>
      <c r="H110" s="21" t="str">
        <f>IF(MonthlyFAME!I112=0,"",MonthlyFAME!I112)</f>
        <v/>
      </c>
      <c r="I110" s="21" t="str">
        <f>IF(MonthlyFAME!J112=0,"",MonthlyFAME!J112)</f>
        <v/>
      </c>
      <c r="J110" s="24"/>
      <c r="K110" s="21">
        <f>IF(MonthlyFAME!L112=0,"",MonthlyFAME!L112)</f>
        <v>15.280232311113</v>
      </c>
      <c r="L110" s="21" t="str">
        <f>IF(MonthlyFAME!M112=0,"",MonthlyFAME!M112)</f>
        <v/>
      </c>
      <c r="M110" s="21" t="str">
        <f>IF(MonthlyFAME!N112=0,"",MonthlyFAME!N112)</f>
        <v/>
      </c>
      <c r="N110" s="21" t="str">
        <f>IF(MonthlyFAME!O112=0,"",MonthlyFAME!O112)</f>
        <v/>
      </c>
      <c r="O110" s="21" t="str">
        <f>IF(MonthlyFAME!P112=0,"",MonthlyFAME!P112)</f>
        <v/>
      </c>
      <c r="P110" s="21" t="str">
        <f>IF(MonthlyFAME!Q112=0,"",MonthlyFAME!Q112)</f>
        <v/>
      </c>
      <c r="Q110" s="21" t="str">
        <f>IF(MonthlyFAME!R112=0,"",MonthlyFAME!R112)</f>
        <v/>
      </c>
      <c r="R110" s="21" t="str">
        <f>IF(MonthlyFAME!S112=0,"",MonthlyFAME!S112)</f>
        <v/>
      </c>
      <c r="S110" s="21" t="str">
        <f>IF(MonthlyFAME!T112=0,"",MonthlyFAME!T112)</f>
        <v/>
      </c>
      <c r="T110" s="21" t="str">
        <f>IF(MonthlyFAME!U112=0,"",MonthlyFAME!U112)</f>
        <v/>
      </c>
    </row>
    <row r="111" spans="1:20" x14ac:dyDescent="0.2">
      <c r="A111" s="23">
        <f>IF(MonthlyFAME!A113=0,"",MonthlyFAME!A113)</f>
        <v>25172</v>
      </c>
      <c r="B111" s="21" t="str">
        <f>IF(MonthlyFAME!B113=0,"",MonthlyFAME!B113)</f>
        <v/>
      </c>
      <c r="C111" s="21">
        <f>IF(MonthlyFAME!C113=0,"",MonthlyFAME!C113)</f>
        <v>53.4</v>
      </c>
      <c r="D111" s="21" t="str">
        <f>IF(MonthlyFAME!D113=0,"",MonthlyFAME!D113)</f>
        <v/>
      </c>
      <c r="E111" s="21" t="str">
        <f>IF(MonthlyFAME!F113=0,"",MonthlyFAME!F113)</f>
        <v/>
      </c>
      <c r="F111" s="21" t="str">
        <f>IF(MonthlyFAME!G113=0,"",MonthlyFAME!G113)</f>
        <v/>
      </c>
      <c r="G111" s="21" t="str">
        <f>IF(MonthlyFAME!H113=0,"",MonthlyFAME!H113)</f>
        <v/>
      </c>
      <c r="H111" s="21" t="str">
        <f>IF(MonthlyFAME!I113=0,"",MonthlyFAME!I113)</f>
        <v/>
      </c>
      <c r="I111" s="21" t="str">
        <f>IF(MonthlyFAME!J113=0,"",MonthlyFAME!J113)</f>
        <v/>
      </c>
      <c r="J111" s="24"/>
      <c r="K111" s="21">
        <f>IF(MonthlyFAME!L113=0,"",MonthlyFAME!L113)</f>
        <v>15.2711964247012</v>
      </c>
      <c r="L111" s="21" t="str">
        <f>IF(MonthlyFAME!M113=0,"",MonthlyFAME!M113)</f>
        <v/>
      </c>
      <c r="M111" s="21" t="str">
        <f>IF(MonthlyFAME!N113=0,"",MonthlyFAME!N113)</f>
        <v/>
      </c>
      <c r="N111" s="21" t="str">
        <f>IF(MonthlyFAME!O113=0,"",MonthlyFAME!O113)</f>
        <v/>
      </c>
      <c r="O111" s="21" t="str">
        <f>IF(MonthlyFAME!P113=0,"",MonthlyFAME!P113)</f>
        <v/>
      </c>
      <c r="P111" s="21" t="str">
        <f>IF(MonthlyFAME!Q113=0,"",MonthlyFAME!Q113)</f>
        <v/>
      </c>
      <c r="Q111" s="21" t="str">
        <f>IF(MonthlyFAME!R113=0,"",MonthlyFAME!R113)</f>
        <v/>
      </c>
      <c r="R111" s="21" t="str">
        <f>IF(MonthlyFAME!S113=0,"",MonthlyFAME!S113)</f>
        <v/>
      </c>
      <c r="S111" s="21" t="str">
        <f>IF(MonthlyFAME!T113=0,"",MonthlyFAME!T113)</f>
        <v/>
      </c>
      <c r="T111" s="21" t="str">
        <f>IF(MonthlyFAME!U113=0,"",MonthlyFAME!U113)</f>
        <v/>
      </c>
    </row>
    <row r="112" spans="1:20" x14ac:dyDescent="0.2">
      <c r="A112" s="23">
        <f>IF(MonthlyFAME!A114=0,"",MonthlyFAME!A114)</f>
        <v>25203</v>
      </c>
      <c r="B112" s="21" t="str">
        <f>IF(MonthlyFAME!B114=0,"",MonthlyFAME!B114)</f>
        <v/>
      </c>
      <c r="C112" s="21">
        <f>IF(MonthlyFAME!C114=0,"",MonthlyFAME!C114)</f>
        <v>54</v>
      </c>
      <c r="D112" s="21" t="str">
        <f>IF(MonthlyFAME!D114=0,"",MonthlyFAME!D114)</f>
        <v/>
      </c>
      <c r="E112" s="21" t="str">
        <f>IF(MonthlyFAME!F114=0,"",MonthlyFAME!F114)</f>
        <v/>
      </c>
      <c r="F112" s="21" t="str">
        <f>IF(MonthlyFAME!G114=0,"",MonthlyFAME!G114)</f>
        <v/>
      </c>
      <c r="G112" s="21" t="str">
        <f>IF(MonthlyFAME!H114=0,"",MonthlyFAME!H114)</f>
        <v/>
      </c>
      <c r="H112" s="21" t="str">
        <f>IF(MonthlyFAME!I114=0,"",MonthlyFAME!I114)</f>
        <v/>
      </c>
      <c r="I112" s="21" t="str">
        <f>IF(MonthlyFAME!J114=0,"",MonthlyFAME!J114)</f>
        <v/>
      </c>
      <c r="J112" s="24"/>
      <c r="K112" s="21">
        <f>IF(MonthlyFAME!L114=0,"",MonthlyFAME!L114)</f>
        <v>15.509050448467701</v>
      </c>
      <c r="L112" s="21" t="str">
        <f>IF(MonthlyFAME!M114=0,"",MonthlyFAME!M114)</f>
        <v/>
      </c>
      <c r="M112" s="21" t="str">
        <f>IF(MonthlyFAME!N114=0,"",MonthlyFAME!N114)</f>
        <v/>
      </c>
      <c r="N112" s="21" t="str">
        <f>IF(MonthlyFAME!O114=0,"",MonthlyFAME!O114)</f>
        <v/>
      </c>
      <c r="O112" s="21" t="str">
        <f>IF(MonthlyFAME!P114=0,"",MonthlyFAME!P114)</f>
        <v/>
      </c>
      <c r="P112" s="21" t="str">
        <f>IF(MonthlyFAME!Q114=0,"",MonthlyFAME!Q114)</f>
        <v/>
      </c>
      <c r="Q112" s="21" t="str">
        <f>IF(MonthlyFAME!R114=0,"",MonthlyFAME!R114)</f>
        <v/>
      </c>
      <c r="R112" s="21" t="str">
        <f>IF(MonthlyFAME!S114=0,"",MonthlyFAME!S114)</f>
        <v/>
      </c>
      <c r="S112" s="21" t="str">
        <f>IF(MonthlyFAME!T114=0,"",MonthlyFAME!T114)</f>
        <v/>
      </c>
      <c r="T112" s="21" t="str">
        <f>IF(MonthlyFAME!U114=0,"",MonthlyFAME!U114)</f>
        <v/>
      </c>
    </row>
    <row r="113" spans="1:20" x14ac:dyDescent="0.2">
      <c r="A113" s="23">
        <f>IF(MonthlyFAME!A115=0,"",MonthlyFAME!A115)</f>
        <v>25234</v>
      </c>
      <c r="B113" s="21" t="str">
        <f>IF(MonthlyFAME!B115=0,"",MonthlyFAME!B115)</f>
        <v/>
      </c>
      <c r="C113" s="21">
        <f>IF(MonthlyFAME!C115=0,"",MonthlyFAME!C115)</f>
        <v>54.1</v>
      </c>
      <c r="D113" s="21" t="str">
        <f>IF(MonthlyFAME!D115=0,"",MonthlyFAME!D115)</f>
        <v/>
      </c>
      <c r="E113" s="21" t="str">
        <f>IF(MonthlyFAME!F115=0,"",MonthlyFAME!F115)</f>
        <v/>
      </c>
      <c r="F113" s="21" t="str">
        <f>IF(MonthlyFAME!G115=0,"",MonthlyFAME!G115)</f>
        <v/>
      </c>
      <c r="G113" s="21" t="str">
        <f>IF(MonthlyFAME!H115=0,"",MonthlyFAME!H115)</f>
        <v/>
      </c>
      <c r="H113" s="21" t="str">
        <f>IF(MonthlyFAME!I115=0,"",MonthlyFAME!I115)</f>
        <v/>
      </c>
      <c r="I113" s="21" t="str">
        <f>IF(MonthlyFAME!J115=0,"",MonthlyFAME!J115)</f>
        <v/>
      </c>
      <c r="J113" s="24"/>
      <c r="K113" s="21">
        <f>IF(MonthlyFAME!L115=0,"",MonthlyFAME!L115)</f>
        <v>15.5683571981145</v>
      </c>
      <c r="L113" s="21" t="str">
        <f>IF(MonthlyFAME!M115=0,"",MonthlyFAME!M115)</f>
        <v/>
      </c>
      <c r="M113" s="21" t="str">
        <f>IF(MonthlyFAME!N115=0,"",MonthlyFAME!N115)</f>
        <v/>
      </c>
      <c r="N113" s="21" t="str">
        <f>IF(MonthlyFAME!O115=0,"",MonthlyFAME!O115)</f>
        <v/>
      </c>
      <c r="O113" s="21" t="str">
        <f>IF(MonthlyFAME!P115=0,"",MonthlyFAME!P115)</f>
        <v/>
      </c>
      <c r="P113" s="21" t="str">
        <f>IF(MonthlyFAME!Q115=0,"",MonthlyFAME!Q115)</f>
        <v/>
      </c>
      <c r="Q113" s="21" t="str">
        <f>IF(MonthlyFAME!R115=0,"",MonthlyFAME!R115)</f>
        <v/>
      </c>
      <c r="R113" s="21" t="str">
        <f>IF(MonthlyFAME!S115=0,"",MonthlyFAME!S115)</f>
        <v/>
      </c>
      <c r="S113" s="21" t="str">
        <f>IF(MonthlyFAME!T115=0,"",MonthlyFAME!T115)</f>
        <v/>
      </c>
      <c r="T113" s="21" t="str">
        <f>IF(MonthlyFAME!U115=0,"",MonthlyFAME!U115)</f>
        <v/>
      </c>
    </row>
    <row r="114" spans="1:20" x14ac:dyDescent="0.2">
      <c r="A114" s="23">
        <f>IF(MonthlyFAME!A116=0,"",MonthlyFAME!A116)</f>
        <v>25262</v>
      </c>
      <c r="B114" s="21" t="str">
        <f>IF(MonthlyFAME!B116=0,"",MonthlyFAME!B116)</f>
        <v/>
      </c>
      <c r="C114" s="21">
        <f>IF(MonthlyFAME!C116=0,"",MonthlyFAME!C116)</f>
        <v>54.4</v>
      </c>
      <c r="D114" s="21" t="str">
        <f>IF(MonthlyFAME!D116=0,"",MonthlyFAME!D116)</f>
        <v/>
      </c>
      <c r="E114" s="21" t="str">
        <f>IF(MonthlyFAME!F116=0,"",MonthlyFAME!F116)</f>
        <v/>
      </c>
      <c r="F114" s="21" t="str">
        <f>IF(MonthlyFAME!G116=0,"",MonthlyFAME!G116)</f>
        <v/>
      </c>
      <c r="G114" s="21" t="str">
        <f>IF(MonthlyFAME!H116=0,"",MonthlyFAME!H116)</f>
        <v/>
      </c>
      <c r="H114" s="21" t="str">
        <f>IF(MonthlyFAME!I116=0,"",MonthlyFAME!I116)</f>
        <v/>
      </c>
      <c r="I114" s="21" t="str">
        <f>IF(MonthlyFAME!J116=0,"",MonthlyFAME!J116)</f>
        <v/>
      </c>
      <c r="J114" s="24"/>
      <c r="K114" s="21">
        <f>IF(MonthlyFAME!L116=0,"",MonthlyFAME!L116)</f>
        <v>15.329910350351801</v>
      </c>
      <c r="L114" s="21" t="str">
        <f>IF(MonthlyFAME!M116=0,"",MonthlyFAME!M116)</f>
        <v/>
      </c>
      <c r="M114" s="21" t="str">
        <f>IF(MonthlyFAME!N116=0,"",MonthlyFAME!N116)</f>
        <v/>
      </c>
      <c r="N114" s="21" t="str">
        <f>IF(MonthlyFAME!O116=0,"",MonthlyFAME!O116)</f>
        <v/>
      </c>
      <c r="O114" s="21" t="str">
        <f>IF(MonthlyFAME!P116=0,"",MonthlyFAME!P116)</f>
        <v/>
      </c>
      <c r="P114" s="21" t="str">
        <f>IF(MonthlyFAME!Q116=0,"",MonthlyFAME!Q116)</f>
        <v/>
      </c>
      <c r="Q114" s="21" t="str">
        <f>IF(MonthlyFAME!R116=0,"",MonthlyFAME!R116)</f>
        <v/>
      </c>
      <c r="R114" s="21" t="str">
        <f>IF(MonthlyFAME!S116=0,"",MonthlyFAME!S116)</f>
        <v/>
      </c>
      <c r="S114" s="21" t="str">
        <f>IF(MonthlyFAME!T116=0,"",MonthlyFAME!T116)</f>
        <v/>
      </c>
      <c r="T114" s="21" t="str">
        <f>IF(MonthlyFAME!U116=0,"",MonthlyFAME!U116)</f>
        <v/>
      </c>
    </row>
    <row r="115" spans="1:20" x14ac:dyDescent="0.2">
      <c r="A115" s="23">
        <f>IF(MonthlyFAME!A117=0,"",MonthlyFAME!A117)</f>
        <v>25293</v>
      </c>
      <c r="B115" s="21" t="str">
        <f>IF(MonthlyFAME!B117=0,"",MonthlyFAME!B117)</f>
        <v/>
      </c>
      <c r="C115" s="21">
        <f>IF(MonthlyFAME!C117=0,"",MonthlyFAME!C117)</f>
        <v>54.3</v>
      </c>
      <c r="D115" s="21" t="str">
        <f>IF(MonthlyFAME!D117=0,"",MonthlyFAME!D117)</f>
        <v/>
      </c>
      <c r="E115" s="21" t="str">
        <f>IF(MonthlyFAME!F117=0,"",MonthlyFAME!F117)</f>
        <v/>
      </c>
      <c r="F115" s="21" t="str">
        <f>IF(MonthlyFAME!G117=0,"",MonthlyFAME!G117)</f>
        <v/>
      </c>
      <c r="G115" s="21" t="str">
        <f>IF(MonthlyFAME!H117=0,"",MonthlyFAME!H117)</f>
        <v/>
      </c>
      <c r="H115" s="21" t="str">
        <f>IF(MonthlyFAME!I117=0,"",MonthlyFAME!I117)</f>
        <v/>
      </c>
      <c r="I115" s="21" t="str">
        <f>IF(MonthlyFAME!J117=0,"",MonthlyFAME!J117)</f>
        <v/>
      </c>
      <c r="J115" s="24"/>
      <c r="K115" s="21">
        <f>IF(MonthlyFAME!L117=0,"",MonthlyFAME!L117)</f>
        <v>15.9096247112762</v>
      </c>
      <c r="L115" s="21" t="str">
        <f>IF(MonthlyFAME!M117=0,"",MonthlyFAME!M117)</f>
        <v/>
      </c>
      <c r="M115" s="21" t="str">
        <f>IF(MonthlyFAME!N117=0,"",MonthlyFAME!N117)</f>
        <v/>
      </c>
      <c r="N115" s="21" t="str">
        <f>IF(MonthlyFAME!O117=0,"",MonthlyFAME!O117)</f>
        <v/>
      </c>
      <c r="O115" s="21" t="str">
        <f>IF(MonthlyFAME!P117=0,"",MonthlyFAME!P117)</f>
        <v/>
      </c>
      <c r="P115" s="21" t="str">
        <f>IF(MonthlyFAME!Q117=0,"",MonthlyFAME!Q117)</f>
        <v/>
      </c>
      <c r="Q115" s="21" t="str">
        <f>IF(MonthlyFAME!R117=0,"",MonthlyFAME!R117)</f>
        <v/>
      </c>
      <c r="R115" s="21" t="str">
        <f>IF(MonthlyFAME!S117=0,"",MonthlyFAME!S117)</f>
        <v/>
      </c>
      <c r="S115" s="21" t="str">
        <f>IF(MonthlyFAME!T117=0,"",MonthlyFAME!T117)</f>
        <v/>
      </c>
      <c r="T115" s="21" t="str">
        <f>IF(MonthlyFAME!U117=0,"",MonthlyFAME!U117)</f>
        <v/>
      </c>
    </row>
    <row r="116" spans="1:20" x14ac:dyDescent="0.2">
      <c r="A116" s="23">
        <f>IF(MonthlyFAME!A118=0,"",MonthlyFAME!A118)</f>
        <v>25323</v>
      </c>
      <c r="B116" s="21" t="str">
        <f>IF(MonthlyFAME!B118=0,"",MonthlyFAME!B118)</f>
        <v/>
      </c>
      <c r="C116" s="21">
        <f>IF(MonthlyFAME!C118=0,"",MonthlyFAME!C118)</f>
        <v>55.2</v>
      </c>
      <c r="D116" s="21" t="str">
        <f>IF(MonthlyFAME!D118=0,"",MonthlyFAME!D118)</f>
        <v/>
      </c>
      <c r="E116" s="21" t="str">
        <f>IF(MonthlyFAME!F118=0,"",MonthlyFAME!F118)</f>
        <v/>
      </c>
      <c r="F116" s="21" t="str">
        <f>IF(MonthlyFAME!G118=0,"",MonthlyFAME!G118)</f>
        <v/>
      </c>
      <c r="G116" s="21" t="str">
        <f>IF(MonthlyFAME!H118=0,"",MonthlyFAME!H118)</f>
        <v/>
      </c>
      <c r="H116" s="21" t="str">
        <f>IF(MonthlyFAME!I118=0,"",MonthlyFAME!I118)</f>
        <v/>
      </c>
      <c r="I116" s="21" t="str">
        <f>IF(MonthlyFAME!J118=0,"",MonthlyFAME!J118)</f>
        <v/>
      </c>
      <c r="J116" s="24"/>
      <c r="K116" s="21">
        <f>IF(MonthlyFAME!L118=0,"",MonthlyFAME!L118)</f>
        <v>15.9314937176238</v>
      </c>
      <c r="L116" s="21" t="str">
        <f>IF(MonthlyFAME!M118=0,"",MonthlyFAME!M118)</f>
        <v/>
      </c>
      <c r="M116" s="21" t="str">
        <f>IF(MonthlyFAME!N118=0,"",MonthlyFAME!N118)</f>
        <v/>
      </c>
      <c r="N116" s="21" t="str">
        <f>IF(MonthlyFAME!O118=0,"",MonthlyFAME!O118)</f>
        <v/>
      </c>
      <c r="O116" s="21" t="str">
        <f>IF(MonthlyFAME!P118=0,"",MonthlyFAME!P118)</f>
        <v/>
      </c>
      <c r="P116" s="21" t="str">
        <f>IF(MonthlyFAME!Q118=0,"",MonthlyFAME!Q118)</f>
        <v/>
      </c>
      <c r="Q116" s="21" t="str">
        <f>IF(MonthlyFAME!R118=0,"",MonthlyFAME!R118)</f>
        <v/>
      </c>
      <c r="R116" s="21" t="str">
        <f>IF(MonthlyFAME!S118=0,"",MonthlyFAME!S118)</f>
        <v/>
      </c>
      <c r="S116" s="21" t="str">
        <f>IF(MonthlyFAME!T118=0,"",MonthlyFAME!T118)</f>
        <v/>
      </c>
      <c r="T116" s="21" t="str">
        <f>IF(MonthlyFAME!U118=0,"",MonthlyFAME!U118)</f>
        <v/>
      </c>
    </row>
    <row r="117" spans="1:20" x14ac:dyDescent="0.2">
      <c r="A117" s="23">
        <f>IF(MonthlyFAME!A119=0,"",MonthlyFAME!A119)</f>
        <v>25354</v>
      </c>
      <c r="B117" s="21" t="str">
        <f>IF(MonthlyFAME!B119=0,"",MonthlyFAME!B119)</f>
        <v/>
      </c>
      <c r="C117" s="21">
        <f>IF(MonthlyFAME!C119=0,"",MonthlyFAME!C119)</f>
        <v>55.2</v>
      </c>
      <c r="D117" s="21" t="str">
        <f>IF(MonthlyFAME!D119=0,"",MonthlyFAME!D119)</f>
        <v/>
      </c>
      <c r="E117" s="21" t="str">
        <f>IF(MonthlyFAME!F119=0,"",MonthlyFAME!F119)</f>
        <v/>
      </c>
      <c r="F117" s="21" t="str">
        <f>IF(MonthlyFAME!G119=0,"",MonthlyFAME!G119)</f>
        <v/>
      </c>
      <c r="G117" s="21" t="str">
        <f>IF(MonthlyFAME!H119=0,"",MonthlyFAME!H119)</f>
        <v/>
      </c>
      <c r="H117" s="21" t="str">
        <f>IF(MonthlyFAME!I119=0,"",MonthlyFAME!I119)</f>
        <v/>
      </c>
      <c r="I117" s="21" t="str">
        <f>IF(MonthlyFAME!J119=0,"",MonthlyFAME!J119)</f>
        <v/>
      </c>
      <c r="J117" s="24"/>
      <c r="K117" s="21">
        <f>IF(MonthlyFAME!L119=0,"",MonthlyFAME!L119)</f>
        <v>15.810627469315801</v>
      </c>
      <c r="L117" s="21" t="str">
        <f>IF(MonthlyFAME!M119=0,"",MonthlyFAME!M119)</f>
        <v/>
      </c>
      <c r="M117" s="21" t="str">
        <f>IF(MonthlyFAME!N119=0,"",MonthlyFAME!N119)</f>
        <v/>
      </c>
      <c r="N117" s="21" t="str">
        <f>IF(MonthlyFAME!O119=0,"",MonthlyFAME!O119)</f>
        <v/>
      </c>
      <c r="O117" s="21" t="str">
        <f>IF(MonthlyFAME!P119=0,"",MonthlyFAME!P119)</f>
        <v/>
      </c>
      <c r="P117" s="21" t="str">
        <f>IF(MonthlyFAME!Q119=0,"",MonthlyFAME!Q119)</f>
        <v/>
      </c>
      <c r="Q117" s="21" t="str">
        <f>IF(MonthlyFAME!R119=0,"",MonthlyFAME!R119)</f>
        <v/>
      </c>
      <c r="R117" s="21" t="str">
        <f>IF(MonthlyFAME!S119=0,"",MonthlyFAME!S119)</f>
        <v/>
      </c>
      <c r="S117" s="21" t="str">
        <f>IF(MonthlyFAME!T119=0,"",MonthlyFAME!T119)</f>
        <v/>
      </c>
      <c r="T117" s="21" t="str">
        <f>IF(MonthlyFAME!U119=0,"",MonthlyFAME!U119)</f>
        <v/>
      </c>
    </row>
    <row r="118" spans="1:20" x14ac:dyDescent="0.2">
      <c r="A118" s="23">
        <f>IF(MonthlyFAME!A120=0,"",MonthlyFAME!A120)</f>
        <v>25384</v>
      </c>
      <c r="B118" s="21" t="str">
        <f>IF(MonthlyFAME!B120=0,"",MonthlyFAME!B120)</f>
        <v/>
      </c>
      <c r="C118" s="21">
        <f>IF(MonthlyFAME!C120=0,"",MonthlyFAME!C120)</f>
        <v>55.6</v>
      </c>
      <c r="D118" s="21" t="str">
        <f>IF(MonthlyFAME!D120=0,"",MonthlyFAME!D120)</f>
        <v/>
      </c>
      <c r="E118" s="21" t="str">
        <f>IF(MonthlyFAME!F120=0,"",MonthlyFAME!F120)</f>
        <v/>
      </c>
      <c r="F118" s="21" t="str">
        <f>IF(MonthlyFAME!G120=0,"",MonthlyFAME!G120)</f>
        <v/>
      </c>
      <c r="G118" s="21" t="str">
        <f>IF(MonthlyFAME!H120=0,"",MonthlyFAME!H120)</f>
        <v/>
      </c>
      <c r="H118" s="21" t="str">
        <f>IF(MonthlyFAME!I120=0,"",MonthlyFAME!I120)</f>
        <v/>
      </c>
      <c r="I118" s="21" t="str">
        <f>IF(MonthlyFAME!J120=0,"",MonthlyFAME!J120)</f>
        <v/>
      </c>
      <c r="J118" s="24"/>
      <c r="K118" s="21">
        <f>IF(MonthlyFAME!L120=0,"",MonthlyFAME!L120)</f>
        <v>16.051684732414799</v>
      </c>
      <c r="L118" s="21" t="str">
        <f>IF(MonthlyFAME!M120=0,"",MonthlyFAME!M120)</f>
        <v/>
      </c>
      <c r="M118" s="21" t="str">
        <f>IF(MonthlyFAME!N120=0,"",MonthlyFAME!N120)</f>
        <v/>
      </c>
      <c r="N118" s="21" t="str">
        <f>IF(MonthlyFAME!O120=0,"",MonthlyFAME!O120)</f>
        <v/>
      </c>
      <c r="O118" s="21" t="str">
        <f>IF(MonthlyFAME!P120=0,"",MonthlyFAME!P120)</f>
        <v/>
      </c>
      <c r="P118" s="21" t="str">
        <f>IF(MonthlyFAME!Q120=0,"",MonthlyFAME!Q120)</f>
        <v/>
      </c>
      <c r="Q118" s="21" t="str">
        <f>IF(MonthlyFAME!R120=0,"",MonthlyFAME!R120)</f>
        <v/>
      </c>
      <c r="R118" s="21" t="str">
        <f>IF(MonthlyFAME!S120=0,"",MonthlyFAME!S120)</f>
        <v/>
      </c>
      <c r="S118" s="21" t="str">
        <f>IF(MonthlyFAME!T120=0,"",MonthlyFAME!T120)</f>
        <v/>
      </c>
      <c r="T118" s="21" t="str">
        <f>IF(MonthlyFAME!U120=0,"",MonthlyFAME!U120)</f>
        <v/>
      </c>
    </row>
    <row r="119" spans="1:20" x14ac:dyDescent="0.2">
      <c r="A119" s="23">
        <f>IF(MonthlyFAME!A121=0,"",MonthlyFAME!A121)</f>
        <v>25415</v>
      </c>
      <c r="B119" s="21" t="str">
        <f>IF(MonthlyFAME!B121=0,"",MonthlyFAME!B121)</f>
        <v/>
      </c>
      <c r="C119" s="21">
        <f>IF(MonthlyFAME!C121=0,"",MonthlyFAME!C121)</f>
        <v>55.4</v>
      </c>
      <c r="D119" s="21" t="str">
        <f>IF(MonthlyFAME!D121=0,"",MonthlyFAME!D121)</f>
        <v/>
      </c>
      <c r="E119" s="21" t="str">
        <f>IF(MonthlyFAME!F121=0,"",MonthlyFAME!F121)</f>
        <v/>
      </c>
      <c r="F119" s="21" t="str">
        <f>IF(MonthlyFAME!G121=0,"",MonthlyFAME!G121)</f>
        <v/>
      </c>
      <c r="G119" s="21" t="str">
        <f>IF(MonthlyFAME!H121=0,"",MonthlyFAME!H121)</f>
        <v/>
      </c>
      <c r="H119" s="21" t="str">
        <f>IF(MonthlyFAME!I121=0,"",MonthlyFAME!I121)</f>
        <v/>
      </c>
      <c r="I119" s="21" t="str">
        <f>IF(MonthlyFAME!J121=0,"",MonthlyFAME!J121)</f>
        <v/>
      </c>
      <c r="J119" s="24"/>
      <c r="K119" s="21">
        <f>IF(MonthlyFAME!L121=0,"",MonthlyFAME!L121)</f>
        <v>16.1998516962033</v>
      </c>
      <c r="L119" s="21" t="str">
        <f>IF(MonthlyFAME!M121=0,"",MonthlyFAME!M121)</f>
        <v/>
      </c>
      <c r="M119" s="21" t="str">
        <f>IF(MonthlyFAME!N121=0,"",MonthlyFAME!N121)</f>
        <v/>
      </c>
      <c r="N119" s="21" t="str">
        <f>IF(MonthlyFAME!O121=0,"",MonthlyFAME!O121)</f>
        <v/>
      </c>
      <c r="O119" s="21" t="str">
        <f>IF(MonthlyFAME!P121=0,"",MonthlyFAME!P121)</f>
        <v/>
      </c>
      <c r="P119" s="21" t="str">
        <f>IF(MonthlyFAME!Q121=0,"",MonthlyFAME!Q121)</f>
        <v/>
      </c>
      <c r="Q119" s="21" t="str">
        <f>IF(MonthlyFAME!R121=0,"",MonthlyFAME!R121)</f>
        <v/>
      </c>
      <c r="R119" s="21" t="str">
        <f>IF(MonthlyFAME!S121=0,"",MonthlyFAME!S121)</f>
        <v/>
      </c>
      <c r="S119" s="21" t="str">
        <f>IF(MonthlyFAME!T121=0,"",MonthlyFAME!T121)</f>
        <v/>
      </c>
      <c r="T119" s="21" t="str">
        <f>IF(MonthlyFAME!U121=0,"",MonthlyFAME!U121)</f>
        <v/>
      </c>
    </row>
    <row r="120" spans="1:20" x14ac:dyDescent="0.2">
      <c r="A120" s="23">
        <f>IF(MonthlyFAME!A122=0,"",MonthlyFAME!A122)</f>
        <v>25446</v>
      </c>
      <c r="B120" s="21" t="str">
        <f>IF(MonthlyFAME!B122=0,"",MonthlyFAME!B122)</f>
        <v/>
      </c>
      <c r="C120" s="21">
        <f>IF(MonthlyFAME!C122=0,"",MonthlyFAME!C122)</f>
        <v>54.6</v>
      </c>
      <c r="D120" s="21" t="str">
        <f>IF(MonthlyFAME!D122=0,"",MonthlyFAME!D122)</f>
        <v/>
      </c>
      <c r="E120" s="21" t="str">
        <f>IF(MonthlyFAME!F122=0,"",MonthlyFAME!F122)</f>
        <v/>
      </c>
      <c r="F120" s="21" t="str">
        <f>IF(MonthlyFAME!G122=0,"",MonthlyFAME!G122)</f>
        <v/>
      </c>
      <c r="G120" s="21" t="str">
        <f>IF(MonthlyFAME!H122=0,"",MonthlyFAME!H122)</f>
        <v/>
      </c>
      <c r="H120" s="21" t="str">
        <f>IF(MonthlyFAME!I122=0,"",MonthlyFAME!I122)</f>
        <v/>
      </c>
      <c r="I120" s="21" t="str">
        <f>IF(MonthlyFAME!J122=0,"",MonthlyFAME!J122)</f>
        <v/>
      </c>
      <c r="J120" s="24"/>
      <c r="K120" s="21">
        <f>IF(MonthlyFAME!L122=0,"",MonthlyFAME!L122)</f>
        <v>16.234290764127199</v>
      </c>
      <c r="L120" s="21" t="str">
        <f>IF(MonthlyFAME!M122=0,"",MonthlyFAME!M122)</f>
        <v/>
      </c>
      <c r="M120" s="21" t="str">
        <f>IF(MonthlyFAME!N122=0,"",MonthlyFAME!N122)</f>
        <v/>
      </c>
      <c r="N120" s="21" t="str">
        <f>IF(MonthlyFAME!O122=0,"",MonthlyFAME!O122)</f>
        <v/>
      </c>
      <c r="O120" s="21" t="str">
        <f>IF(MonthlyFAME!P122=0,"",MonthlyFAME!P122)</f>
        <v/>
      </c>
      <c r="P120" s="21" t="str">
        <f>IF(MonthlyFAME!Q122=0,"",MonthlyFAME!Q122)</f>
        <v/>
      </c>
      <c r="Q120" s="21" t="str">
        <f>IF(MonthlyFAME!R122=0,"",MonthlyFAME!R122)</f>
        <v/>
      </c>
      <c r="R120" s="21" t="str">
        <f>IF(MonthlyFAME!S122=0,"",MonthlyFAME!S122)</f>
        <v/>
      </c>
      <c r="S120" s="21" t="str">
        <f>IF(MonthlyFAME!T122=0,"",MonthlyFAME!T122)</f>
        <v/>
      </c>
      <c r="T120" s="21" t="str">
        <f>IF(MonthlyFAME!U122=0,"",MonthlyFAME!U122)</f>
        <v/>
      </c>
    </row>
    <row r="121" spans="1:20" x14ac:dyDescent="0.2">
      <c r="A121" s="23">
        <f>IF(MonthlyFAME!A123=0,"",MonthlyFAME!A123)</f>
        <v>25476</v>
      </c>
      <c r="B121" s="21" t="str">
        <f>IF(MonthlyFAME!B123=0,"",MonthlyFAME!B123)</f>
        <v/>
      </c>
      <c r="C121" s="21">
        <f>IF(MonthlyFAME!C123=0,"",MonthlyFAME!C123)</f>
        <v>54.7</v>
      </c>
      <c r="D121" s="21" t="str">
        <f>IF(MonthlyFAME!D123=0,"",MonthlyFAME!D123)</f>
        <v/>
      </c>
      <c r="E121" s="21" t="str">
        <f>IF(MonthlyFAME!F123=0,"",MonthlyFAME!F123)</f>
        <v/>
      </c>
      <c r="F121" s="21" t="str">
        <f>IF(MonthlyFAME!G123=0,"",MonthlyFAME!G123)</f>
        <v/>
      </c>
      <c r="G121" s="21" t="str">
        <f>IF(MonthlyFAME!H123=0,"",MonthlyFAME!H123)</f>
        <v/>
      </c>
      <c r="H121" s="21" t="str">
        <f>IF(MonthlyFAME!I123=0,"",MonthlyFAME!I123)</f>
        <v/>
      </c>
      <c r="I121" s="21" t="str">
        <f>IF(MonthlyFAME!J123=0,"",MonthlyFAME!J123)</f>
        <v/>
      </c>
      <c r="J121" s="24"/>
      <c r="K121" s="21">
        <f>IF(MonthlyFAME!L123=0,"",MonthlyFAME!L123)</f>
        <v>16.3660913971414</v>
      </c>
      <c r="L121" s="21" t="str">
        <f>IF(MonthlyFAME!M123=0,"",MonthlyFAME!M123)</f>
        <v/>
      </c>
      <c r="M121" s="21" t="str">
        <f>IF(MonthlyFAME!N123=0,"",MonthlyFAME!N123)</f>
        <v/>
      </c>
      <c r="N121" s="21" t="str">
        <f>IF(MonthlyFAME!O123=0,"",MonthlyFAME!O123)</f>
        <v/>
      </c>
      <c r="O121" s="21" t="str">
        <f>IF(MonthlyFAME!P123=0,"",MonthlyFAME!P123)</f>
        <v/>
      </c>
      <c r="P121" s="21" t="str">
        <f>IF(MonthlyFAME!Q123=0,"",MonthlyFAME!Q123)</f>
        <v/>
      </c>
      <c r="Q121" s="21" t="str">
        <f>IF(MonthlyFAME!R123=0,"",MonthlyFAME!R123)</f>
        <v/>
      </c>
      <c r="R121" s="21" t="str">
        <f>IF(MonthlyFAME!S123=0,"",MonthlyFAME!S123)</f>
        <v/>
      </c>
      <c r="S121" s="21" t="str">
        <f>IF(MonthlyFAME!T123=0,"",MonthlyFAME!T123)</f>
        <v/>
      </c>
      <c r="T121" s="21" t="str">
        <f>IF(MonthlyFAME!U123=0,"",MonthlyFAME!U123)</f>
        <v/>
      </c>
    </row>
    <row r="122" spans="1:20" x14ac:dyDescent="0.2">
      <c r="A122" s="23">
        <f>IF(MonthlyFAME!A124=0,"",MonthlyFAME!A124)</f>
        <v>25507</v>
      </c>
      <c r="B122" s="21" t="str">
        <f>IF(MonthlyFAME!B124=0,"",MonthlyFAME!B124)</f>
        <v/>
      </c>
      <c r="C122" s="21">
        <f>IF(MonthlyFAME!C124=0,"",MonthlyFAME!C124)</f>
        <v>53.8</v>
      </c>
      <c r="D122" s="21" t="str">
        <f>IF(MonthlyFAME!D124=0,"",MonthlyFAME!D124)</f>
        <v/>
      </c>
      <c r="E122" s="21" t="str">
        <f>IF(MonthlyFAME!F124=0,"",MonthlyFAME!F124)</f>
        <v/>
      </c>
      <c r="F122" s="21" t="str">
        <f>IF(MonthlyFAME!G124=0,"",MonthlyFAME!G124)</f>
        <v/>
      </c>
      <c r="G122" s="21" t="str">
        <f>IF(MonthlyFAME!H124=0,"",MonthlyFAME!H124)</f>
        <v/>
      </c>
      <c r="H122" s="21" t="str">
        <f>IF(MonthlyFAME!I124=0,"",MonthlyFAME!I124)</f>
        <v/>
      </c>
      <c r="I122" s="21" t="str">
        <f>IF(MonthlyFAME!J124=0,"",MonthlyFAME!J124)</f>
        <v/>
      </c>
      <c r="J122" s="24"/>
      <c r="K122" s="21">
        <f>IF(MonthlyFAME!L124=0,"",MonthlyFAME!L124)</f>
        <v>16.369652606426001</v>
      </c>
      <c r="L122" s="21" t="str">
        <f>IF(MonthlyFAME!M124=0,"",MonthlyFAME!M124)</f>
        <v/>
      </c>
      <c r="M122" s="21" t="str">
        <f>IF(MonthlyFAME!N124=0,"",MonthlyFAME!N124)</f>
        <v/>
      </c>
      <c r="N122" s="21" t="str">
        <f>IF(MonthlyFAME!O124=0,"",MonthlyFAME!O124)</f>
        <v/>
      </c>
      <c r="O122" s="21" t="str">
        <f>IF(MonthlyFAME!P124=0,"",MonthlyFAME!P124)</f>
        <v/>
      </c>
      <c r="P122" s="21" t="str">
        <f>IF(MonthlyFAME!Q124=0,"",MonthlyFAME!Q124)</f>
        <v/>
      </c>
      <c r="Q122" s="21" t="str">
        <f>IF(MonthlyFAME!R124=0,"",MonthlyFAME!R124)</f>
        <v/>
      </c>
      <c r="R122" s="21" t="str">
        <f>IF(MonthlyFAME!S124=0,"",MonthlyFAME!S124)</f>
        <v/>
      </c>
      <c r="S122" s="21" t="str">
        <f>IF(MonthlyFAME!T124=0,"",MonthlyFAME!T124)</f>
        <v/>
      </c>
      <c r="T122" s="21" t="str">
        <f>IF(MonthlyFAME!U124=0,"",MonthlyFAME!U124)</f>
        <v/>
      </c>
    </row>
    <row r="123" spans="1:20" x14ac:dyDescent="0.2">
      <c r="A123" s="23">
        <f>IF(MonthlyFAME!A125=0,"",MonthlyFAME!A125)</f>
        <v>25537</v>
      </c>
      <c r="B123" s="21" t="str">
        <f>IF(MonthlyFAME!B125=0,"",MonthlyFAME!B125)</f>
        <v/>
      </c>
      <c r="C123" s="21">
        <f>IF(MonthlyFAME!C125=0,"",MonthlyFAME!C125)</f>
        <v>54.9</v>
      </c>
      <c r="D123" s="21" t="str">
        <f>IF(MonthlyFAME!D125=0,"",MonthlyFAME!D125)</f>
        <v/>
      </c>
      <c r="E123" s="21" t="str">
        <f>IF(MonthlyFAME!F125=0,"",MonthlyFAME!F125)</f>
        <v/>
      </c>
      <c r="F123" s="21" t="str">
        <f>IF(MonthlyFAME!G125=0,"",MonthlyFAME!G125)</f>
        <v/>
      </c>
      <c r="G123" s="21" t="str">
        <f>IF(MonthlyFAME!H125=0,"",MonthlyFAME!H125)</f>
        <v/>
      </c>
      <c r="H123" s="21" t="str">
        <f>IF(MonthlyFAME!I125=0,"",MonthlyFAME!I125)</f>
        <v/>
      </c>
      <c r="I123" s="21" t="str">
        <f>IF(MonthlyFAME!J125=0,"",MonthlyFAME!J125)</f>
        <v/>
      </c>
      <c r="J123" s="24"/>
      <c r="K123" s="21">
        <f>IF(MonthlyFAME!L125=0,"",MonthlyFAME!L125)</f>
        <v>16.643978299267498</v>
      </c>
      <c r="L123" s="21" t="str">
        <f>IF(MonthlyFAME!M125=0,"",MonthlyFAME!M125)</f>
        <v/>
      </c>
      <c r="M123" s="21" t="str">
        <f>IF(MonthlyFAME!N125=0,"",MonthlyFAME!N125)</f>
        <v/>
      </c>
      <c r="N123" s="21" t="str">
        <f>IF(MonthlyFAME!O125=0,"",MonthlyFAME!O125)</f>
        <v/>
      </c>
      <c r="O123" s="21" t="str">
        <f>IF(MonthlyFAME!P125=0,"",MonthlyFAME!P125)</f>
        <v/>
      </c>
      <c r="P123" s="21" t="str">
        <f>IF(MonthlyFAME!Q125=0,"",MonthlyFAME!Q125)</f>
        <v/>
      </c>
      <c r="Q123" s="21" t="str">
        <f>IF(MonthlyFAME!R125=0,"",MonthlyFAME!R125)</f>
        <v/>
      </c>
      <c r="R123" s="21" t="str">
        <f>IF(MonthlyFAME!S125=0,"",MonthlyFAME!S125)</f>
        <v/>
      </c>
      <c r="S123" s="21" t="str">
        <f>IF(MonthlyFAME!T125=0,"",MonthlyFAME!T125)</f>
        <v/>
      </c>
      <c r="T123" s="21" t="str">
        <f>IF(MonthlyFAME!U125=0,"",MonthlyFAME!U125)</f>
        <v/>
      </c>
    </row>
    <row r="124" spans="1:20" x14ac:dyDescent="0.2">
      <c r="A124" s="23">
        <f>IF(MonthlyFAME!A126=0,"",MonthlyFAME!A126)</f>
        <v>25568</v>
      </c>
      <c r="B124" s="21" t="str">
        <f>IF(MonthlyFAME!B126=0,"",MonthlyFAME!B126)</f>
        <v/>
      </c>
      <c r="C124" s="21">
        <f>IF(MonthlyFAME!C126=0,"",MonthlyFAME!C126)</f>
        <v>55.4</v>
      </c>
      <c r="D124" s="21" t="str">
        <f>IF(MonthlyFAME!D126=0,"",MonthlyFAME!D126)</f>
        <v/>
      </c>
      <c r="E124" s="21" t="str">
        <f>IF(MonthlyFAME!F126=0,"",MonthlyFAME!F126)</f>
        <v/>
      </c>
      <c r="F124" s="21" t="str">
        <f>IF(MonthlyFAME!G126=0,"",MonthlyFAME!G126)</f>
        <v/>
      </c>
      <c r="G124" s="21" t="str">
        <f>IF(MonthlyFAME!H126=0,"",MonthlyFAME!H126)</f>
        <v/>
      </c>
      <c r="H124" s="21" t="str">
        <f>IF(MonthlyFAME!I126=0,"",MonthlyFAME!I126)</f>
        <v/>
      </c>
      <c r="I124" s="21" t="str">
        <f>IF(MonthlyFAME!J126=0,"",MonthlyFAME!J126)</f>
        <v/>
      </c>
      <c r="J124" s="24"/>
      <c r="K124" s="21">
        <f>IF(MonthlyFAME!L126=0,"",MonthlyFAME!L126)</f>
        <v>16.932831570698902</v>
      </c>
      <c r="L124" s="21" t="str">
        <f>IF(MonthlyFAME!M126=0,"",MonthlyFAME!M126)</f>
        <v/>
      </c>
      <c r="M124" s="21" t="str">
        <f>IF(MonthlyFAME!N126=0,"",MonthlyFAME!N126)</f>
        <v/>
      </c>
      <c r="N124" s="21" t="str">
        <f>IF(MonthlyFAME!O126=0,"",MonthlyFAME!O126)</f>
        <v/>
      </c>
      <c r="O124" s="21" t="str">
        <f>IF(MonthlyFAME!P126=0,"",MonthlyFAME!P126)</f>
        <v/>
      </c>
      <c r="P124" s="21" t="str">
        <f>IF(MonthlyFAME!Q126=0,"",MonthlyFAME!Q126)</f>
        <v/>
      </c>
      <c r="Q124" s="21" t="str">
        <f>IF(MonthlyFAME!R126=0,"",MonthlyFAME!R126)</f>
        <v/>
      </c>
      <c r="R124" s="21" t="str">
        <f>IF(MonthlyFAME!S126=0,"",MonthlyFAME!S126)</f>
        <v/>
      </c>
      <c r="S124" s="21" t="str">
        <f>IF(MonthlyFAME!T126=0,"",MonthlyFAME!T126)</f>
        <v/>
      </c>
      <c r="T124" s="21" t="str">
        <f>IF(MonthlyFAME!U126=0,"",MonthlyFAME!U126)</f>
        <v/>
      </c>
    </row>
    <row r="125" spans="1:20" x14ac:dyDescent="0.2">
      <c r="A125" s="23">
        <f>IF(MonthlyFAME!A127=0,"",MonthlyFAME!A127)</f>
        <v>25599</v>
      </c>
      <c r="B125" s="21" t="str">
        <f>IF(MonthlyFAME!B127=0,"",MonthlyFAME!B127)</f>
        <v/>
      </c>
      <c r="C125" s="21">
        <f>IF(MonthlyFAME!C127=0,"",MonthlyFAME!C127)</f>
        <v>54</v>
      </c>
      <c r="D125" s="21" t="str">
        <f>IF(MonthlyFAME!D127=0,"",MonthlyFAME!D127)</f>
        <v/>
      </c>
      <c r="E125" s="21" t="str">
        <f>IF(MonthlyFAME!F127=0,"",MonthlyFAME!F127)</f>
        <v/>
      </c>
      <c r="F125" s="21" t="str">
        <f>IF(MonthlyFAME!G127=0,"",MonthlyFAME!G127)</f>
        <v/>
      </c>
      <c r="G125" s="21" t="str">
        <f>IF(MonthlyFAME!H127=0,"",MonthlyFAME!H127)</f>
        <v/>
      </c>
      <c r="H125" s="21" t="str">
        <f>IF(MonthlyFAME!I127=0,"",MonthlyFAME!I127)</f>
        <v/>
      </c>
      <c r="I125" s="21" t="str">
        <f>IF(MonthlyFAME!J127=0,"",MonthlyFAME!J127)</f>
        <v/>
      </c>
      <c r="J125" s="24"/>
      <c r="K125" s="21">
        <f>IF(MonthlyFAME!L127=0,"",MonthlyFAME!L127)</f>
        <v>17.005696345735299</v>
      </c>
      <c r="L125" s="21" t="str">
        <f>IF(MonthlyFAME!M127=0,"",MonthlyFAME!M127)</f>
        <v/>
      </c>
      <c r="M125" s="21" t="str">
        <f>IF(MonthlyFAME!N127=0,"",MonthlyFAME!N127)</f>
        <v/>
      </c>
      <c r="N125" s="21" t="str">
        <f>IF(MonthlyFAME!O127=0,"",MonthlyFAME!O127)</f>
        <v/>
      </c>
      <c r="O125" s="21" t="str">
        <f>IF(MonthlyFAME!P127=0,"",MonthlyFAME!P127)</f>
        <v/>
      </c>
      <c r="P125" s="21" t="str">
        <f>IF(MonthlyFAME!Q127=0,"",MonthlyFAME!Q127)</f>
        <v/>
      </c>
      <c r="Q125" s="21" t="str">
        <f>IF(MonthlyFAME!R127=0,"",MonthlyFAME!R127)</f>
        <v/>
      </c>
      <c r="R125" s="21" t="str">
        <f>IF(MonthlyFAME!S127=0,"",MonthlyFAME!S127)</f>
        <v/>
      </c>
      <c r="S125" s="21" t="str">
        <f>IF(MonthlyFAME!T127=0,"",MonthlyFAME!T127)</f>
        <v/>
      </c>
      <c r="T125" s="21" t="str">
        <f>IF(MonthlyFAME!U127=0,"",MonthlyFAME!U127)</f>
        <v/>
      </c>
    </row>
    <row r="126" spans="1:20" x14ac:dyDescent="0.2">
      <c r="A126" s="23">
        <f>IF(MonthlyFAME!A128=0,"",MonthlyFAME!A128)</f>
        <v>25627</v>
      </c>
      <c r="B126" s="21" t="str">
        <f>IF(MonthlyFAME!B128=0,"",MonthlyFAME!B128)</f>
        <v/>
      </c>
      <c r="C126" s="21">
        <f>IF(MonthlyFAME!C128=0,"",MonthlyFAME!C128)</f>
        <v>55</v>
      </c>
      <c r="D126" s="21" t="str">
        <f>IF(MonthlyFAME!D128=0,"",MonthlyFAME!D128)</f>
        <v/>
      </c>
      <c r="E126" s="21" t="str">
        <f>IF(MonthlyFAME!F128=0,"",MonthlyFAME!F128)</f>
        <v/>
      </c>
      <c r="F126" s="21" t="str">
        <f>IF(MonthlyFAME!G128=0,"",MonthlyFAME!G128)</f>
        <v/>
      </c>
      <c r="G126" s="21" t="str">
        <f>IF(MonthlyFAME!H128=0,"",MonthlyFAME!H128)</f>
        <v/>
      </c>
      <c r="H126" s="21" t="str">
        <f>IF(MonthlyFAME!I128=0,"",MonthlyFAME!I128)</f>
        <v/>
      </c>
      <c r="I126" s="21" t="str">
        <f>IF(MonthlyFAME!J128=0,"",MonthlyFAME!J128)</f>
        <v/>
      </c>
      <c r="J126" s="24"/>
      <c r="K126" s="21">
        <f>IF(MonthlyFAME!L128=0,"",MonthlyFAME!L128)</f>
        <v>17.347958811879401</v>
      </c>
      <c r="L126" s="21" t="str">
        <f>IF(MonthlyFAME!M128=0,"",MonthlyFAME!M128)</f>
        <v/>
      </c>
      <c r="M126" s="21" t="str">
        <f>IF(MonthlyFAME!N128=0,"",MonthlyFAME!N128)</f>
        <v/>
      </c>
      <c r="N126" s="21" t="str">
        <f>IF(MonthlyFAME!O128=0,"",MonthlyFAME!O128)</f>
        <v/>
      </c>
      <c r="O126" s="21" t="str">
        <f>IF(MonthlyFAME!P128=0,"",MonthlyFAME!P128)</f>
        <v/>
      </c>
      <c r="P126" s="21" t="str">
        <f>IF(MonthlyFAME!Q128=0,"",MonthlyFAME!Q128)</f>
        <v/>
      </c>
      <c r="Q126" s="21" t="str">
        <f>IF(MonthlyFAME!R128=0,"",MonthlyFAME!R128)</f>
        <v/>
      </c>
      <c r="R126" s="21" t="str">
        <f>IF(MonthlyFAME!S128=0,"",MonthlyFAME!S128)</f>
        <v/>
      </c>
      <c r="S126" s="21" t="str">
        <f>IF(MonthlyFAME!T128=0,"",MonthlyFAME!T128)</f>
        <v/>
      </c>
      <c r="T126" s="21" t="str">
        <f>IF(MonthlyFAME!U128=0,"",MonthlyFAME!U128)</f>
        <v/>
      </c>
    </row>
    <row r="127" spans="1:20" x14ac:dyDescent="0.2">
      <c r="A127" s="23">
        <f>IF(MonthlyFAME!A129=0,"",MonthlyFAME!A129)</f>
        <v>25658</v>
      </c>
      <c r="B127" s="21" t="str">
        <f>IF(MonthlyFAME!B129=0,"",MonthlyFAME!B129)</f>
        <v/>
      </c>
      <c r="C127" s="21">
        <f>IF(MonthlyFAME!C129=0,"",MonthlyFAME!C129)</f>
        <v>55.6</v>
      </c>
      <c r="D127" s="21" t="str">
        <f>IF(MonthlyFAME!D129=0,"",MonthlyFAME!D129)</f>
        <v/>
      </c>
      <c r="E127" s="21" t="str">
        <f>IF(MonthlyFAME!F129=0,"",MonthlyFAME!F129)</f>
        <v/>
      </c>
      <c r="F127" s="21" t="str">
        <f>IF(MonthlyFAME!G129=0,"",MonthlyFAME!G129)</f>
        <v/>
      </c>
      <c r="G127" s="21" t="str">
        <f>IF(MonthlyFAME!H129=0,"",MonthlyFAME!H129)</f>
        <v/>
      </c>
      <c r="H127" s="21" t="str">
        <f>IF(MonthlyFAME!I129=0,"",MonthlyFAME!I129)</f>
        <v/>
      </c>
      <c r="I127" s="21" t="str">
        <f>IF(MonthlyFAME!J129=0,"",MonthlyFAME!J129)</f>
        <v/>
      </c>
      <c r="J127" s="24"/>
      <c r="K127" s="21">
        <f>IF(MonthlyFAME!L129=0,"",MonthlyFAME!L129)</f>
        <v>17.379632682928701</v>
      </c>
      <c r="L127" s="21" t="str">
        <f>IF(MonthlyFAME!M129=0,"",MonthlyFAME!M129)</f>
        <v/>
      </c>
      <c r="M127" s="21" t="str">
        <f>IF(MonthlyFAME!N129=0,"",MonthlyFAME!N129)</f>
        <v/>
      </c>
      <c r="N127" s="21" t="str">
        <f>IF(MonthlyFAME!O129=0,"",MonthlyFAME!O129)</f>
        <v/>
      </c>
      <c r="O127" s="21" t="str">
        <f>IF(MonthlyFAME!P129=0,"",MonthlyFAME!P129)</f>
        <v/>
      </c>
      <c r="P127" s="21" t="str">
        <f>IF(MonthlyFAME!Q129=0,"",MonthlyFAME!Q129)</f>
        <v/>
      </c>
      <c r="Q127" s="21" t="str">
        <f>IF(MonthlyFAME!R129=0,"",MonthlyFAME!R129)</f>
        <v/>
      </c>
      <c r="R127" s="21" t="str">
        <f>IF(MonthlyFAME!S129=0,"",MonthlyFAME!S129)</f>
        <v/>
      </c>
      <c r="S127" s="21" t="str">
        <f>IF(MonthlyFAME!T129=0,"",MonthlyFAME!T129)</f>
        <v/>
      </c>
      <c r="T127" s="21" t="str">
        <f>IF(MonthlyFAME!U129=0,"",MonthlyFAME!U129)</f>
        <v/>
      </c>
    </row>
    <row r="128" spans="1:20" x14ac:dyDescent="0.2">
      <c r="A128" s="23">
        <f>IF(MonthlyFAME!A130=0,"",MonthlyFAME!A130)</f>
        <v>25688</v>
      </c>
      <c r="B128" s="21" t="str">
        <f>IF(MonthlyFAME!B130=0,"",MonthlyFAME!B130)</f>
        <v/>
      </c>
      <c r="C128" s="21">
        <f>IF(MonthlyFAME!C130=0,"",MonthlyFAME!C130)</f>
        <v>55.3</v>
      </c>
      <c r="D128" s="21" t="str">
        <f>IF(MonthlyFAME!D130=0,"",MonthlyFAME!D130)</f>
        <v/>
      </c>
      <c r="E128" s="21" t="str">
        <f>IF(MonthlyFAME!F130=0,"",MonthlyFAME!F130)</f>
        <v/>
      </c>
      <c r="F128" s="21" t="str">
        <f>IF(MonthlyFAME!G130=0,"",MonthlyFAME!G130)</f>
        <v/>
      </c>
      <c r="G128" s="21" t="str">
        <f>IF(MonthlyFAME!H130=0,"",MonthlyFAME!H130)</f>
        <v/>
      </c>
      <c r="H128" s="21" t="str">
        <f>IF(MonthlyFAME!I130=0,"",MonthlyFAME!I130)</f>
        <v/>
      </c>
      <c r="I128" s="21" t="str">
        <f>IF(MonthlyFAME!J130=0,"",MonthlyFAME!J130)</f>
        <v/>
      </c>
      <c r="J128" s="24"/>
      <c r="K128" s="21">
        <f>IF(MonthlyFAME!L130=0,"",MonthlyFAME!L130)</f>
        <v>17.712054412484299</v>
      </c>
      <c r="L128" s="21" t="str">
        <f>IF(MonthlyFAME!M130=0,"",MonthlyFAME!M130)</f>
        <v/>
      </c>
      <c r="M128" s="21" t="str">
        <f>IF(MonthlyFAME!N130=0,"",MonthlyFAME!N130)</f>
        <v/>
      </c>
      <c r="N128" s="21" t="str">
        <f>IF(MonthlyFAME!O130=0,"",MonthlyFAME!O130)</f>
        <v/>
      </c>
      <c r="O128" s="21" t="str">
        <f>IF(MonthlyFAME!P130=0,"",MonthlyFAME!P130)</f>
        <v/>
      </c>
      <c r="P128" s="21" t="str">
        <f>IF(MonthlyFAME!Q130=0,"",MonthlyFAME!Q130)</f>
        <v/>
      </c>
      <c r="Q128" s="21" t="str">
        <f>IF(MonthlyFAME!R130=0,"",MonthlyFAME!R130)</f>
        <v/>
      </c>
      <c r="R128" s="21" t="str">
        <f>IF(MonthlyFAME!S130=0,"",MonthlyFAME!S130)</f>
        <v/>
      </c>
      <c r="S128" s="21" t="str">
        <f>IF(MonthlyFAME!T130=0,"",MonthlyFAME!T130)</f>
        <v/>
      </c>
      <c r="T128" s="21" t="str">
        <f>IF(MonthlyFAME!U130=0,"",MonthlyFAME!U130)</f>
        <v/>
      </c>
    </row>
    <row r="129" spans="1:20" x14ac:dyDescent="0.2">
      <c r="A129" s="23">
        <f>IF(MonthlyFAME!A131=0,"",MonthlyFAME!A131)</f>
        <v>25719</v>
      </c>
      <c r="B129" s="21" t="str">
        <f>IF(MonthlyFAME!B131=0,"",MonthlyFAME!B131)</f>
        <v/>
      </c>
      <c r="C129" s="21">
        <f>IF(MonthlyFAME!C131=0,"",MonthlyFAME!C131)</f>
        <v>54.8</v>
      </c>
      <c r="D129" s="21" t="str">
        <f>IF(MonthlyFAME!D131=0,"",MonthlyFAME!D131)</f>
        <v/>
      </c>
      <c r="E129" s="21" t="str">
        <f>IF(MonthlyFAME!F131=0,"",MonthlyFAME!F131)</f>
        <v/>
      </c>
      <c r="F129" s="21" t="str">
        <f>IF(MonthlyFAME!G131=0,"",MonthlyFAME!G131)</f>
        <v/>
      </c>
      <c r="G129" s="21" t="str">
        <f>IF(MonthlyFAME!H131=0,"",MonthlyFAME!H131)</f>
        <v/>
      </c>
      <c r="H129" s="21" t="str">
        <f>IF(MonthlyFAME!I131=0,"",MonthlyFAME!I131)</f>
        <v/>
      </c>
      <c r="I129" s="21" t="str">
        <f>IF(MonthlyFAME!J131=0,"",MonthlyFAME!J131)</f>
        <v/>
      </c>
      <c r="J129" s="24"/>
      <c r="K129" s="21">
        <f>IF(MonthlyFAME!L131=0,"",MonthlyFAME!L131)</f>
        <v>17.7989499080998</v>
      </c>
      <c r="L129" s="21" t="str">
        <f>IF(MonthlyFAME!M131=0,"",MonthlyFAME!M131)</f>
        <v/>
      </c>
      <c r="M129" s="21" t="str">
        <f>IF(MonthlyFAME!N131=0,"",MonthlyFAME!N131)</f>
        <v/>
      </c>
      <c r="N129" s="21" t="str">
        <f>IF(MonthlyFAME!O131=0,"",MonthlyFAME!O131)</f>
        <v/>
      </c>
      <c r="O129" s="21" t="str">
        <f>IF(MonthlyFAME!P131=0,"",MonthlyFAME!P131)</f>
        <v/>
      </c>
      <c r="P129" s="21" t="str">
        <f>IF(MonthlyFAME!Q131=0,"",MonthlyFAME!Q131)</f>
        <v/>
      </c>
      <c r="Q129" s="21" t="str">
        <f>IF(MonthlyFAME!R131=0,"",MonthlyFAME!R131)</f>
        <v/>
      </c>
      <c r="R129" s="21" t="str">
        <f>IF(MonthlyFAME!S131=0,"",MonthlyFAME!S131)</f>
        <v/>
      </c>
      <c r="S129" s="21" t="str">
        <f>IF(MonthlyFAME!T131=0,"",MonthlyFAME!T131)</f>
        <v/>
      </c>
      <c r="T129" s="21" t="str">
        <f>IF(MonthlyFAME!U131=0,"",MonthlyFAME!U131)</f>
        <v/>
      </c>
    </row>
    <row r="130" spans="1:20" x14ac:dyDescent="0.2">
      <c r="A130" s="23">
        <f>IF(MonthlyFAME!A132=0,"",MonthlyFAME!A132)</f>
        <v>25749</v>
      </c>
      <c r="B130" s="21" t="str">
        <f>IF(MonthlyFAME!B132=0,"",MonthlyFAME!B132)</f>
        <v/>
      </c>
      <c r="C130" s="21">
        <f>IF(MonthlyFAME!C132=0,"",MonthlyFAME!C132)</f>
        <v>54.9</v>
      </c>
      <c r="D130" s="21" t="str">
        <f>IF(MonthlyFAME!D132=0,"",MonthlyFAME!D132)</f>
        <v/>
      </c>
      <c r="E130" s="21" t="str">
        <f>IF(MonthlyFAME!F132=0,"",MonthlyFAME!F132)</f>
        <v/>
      </c>
      <c r="F130" s="21" t="str">
        <f>IF(MonthlyFAME!G132=0,"",MonthlyFAME!G132)</f>
        <v/>
      </c>
      <c r="G130" s="21" t="str">
        <f>IF(MonthlyFAME!H132=0,"",MonthlyFAME!H132)</f>
        <v/>
      </c>
      <c r="H130" s="21" t="str">
        <f>IF(MonthlyFAME!I132=0,"",MonthlyFAME!I132)</f>
        <v/>
      </c>
      <c r="I130" s="21" t="str">
        <f>IF(MonthlyFAME!J132=0,"",MonthlyFAME!J132)</f>
        <v/>
      </c>
      <c r="J130" s="24"/>
      <c r="K130" s="21">
        <f>IF(MonthlyFAME!L132=0,"",MonthlyFAME!L132)</f>
        <v>18.0557153782337</v>
      </c>
      <c r="L130" s="21" t="str">
        <f>IF(MonthlyFAME!M132=0,"",MonthlyFAME!M132)</f>
        <v/>
      </c>
      <c r="M130" s="21" t="str">
        <f>IF(MonthlyFAME!N132=0,"",MonthlyFAME!N132)</f>
        <v/>
      </c>
      <c r="N130" s="21" t="str">
        <f>IF(MonthlyFAME!O132=0,"",MonthlyFAME!O132)</f>
        <v/>
      </c>
      <c r="O130" s="21" t="str">
        <f>IF(MonthlyFAME!P132=0,"",MonthlyFAME!P132)</f>
        <v/>
      </c>
      <c r="P130" s="21" t="str">
        <f>IF(MonthlyFAME!Q132=0,"",MonthlyFAME!Q132)</f>
        <v/>
      </c>
      <c r="Q130" s="21" t="str">
        <f>IF(MonthlyFAME!R132=0,"",MonthlyFAME!R132)</f>
        <v/>
      </c>
      <c r="R130" s="21" t="str">
        <f>IF(MonthlyFAME!S132=0,"",MonthlyFAME!S132)</f>
        <v/>
      </c>
      <c r="S130" s="21" t="str">
        <f>IF(MonthlyFAME!T132=0,"",MonthlyFAME!T132)</f>
        <v/>
      </c>
      <c r="T130" s="21" t="str">
        <f>IF(MonthlyFAME!U132=0,"",MonthlyFAME!U132)</f>
        <v/>
      </c>
    </row>
    <row r="131" spans="1:20" x14ac:dyDescent="0.2">
      <c r="A131" s="23">
        <f>IF(MonthlyFAME!A133=0,"",MonthlyFAME!A133)</f>
        <v>25780</v>
      </c>
      <c r="B131" s="21" t="str">
        <f>IF(MonthlyFAME!B133=0,"",MonthlyFAME!B133)</f>
        <v/>
      </c>
      <c r="C131" s="21">
        <f>IF(MonthlyFAME!C133=0,"",MonthlyFAME!C133)</f>
        <v>55.2</v>
      </c>
      <c r="D131" s="21" t="str">
        <f>IF(MonthlyFAME!D133=0,"",MonthlyFAME!D133)</f>
        <v/>
      </c>
      <c r="E131" s="21" t="str">
        <f>IF(MonthlyFAME!F133=0,"",MonthlyFAME!F133)</f>
        <v/>
      </c>
      <c r="F131" s="21" t="str">
        <f>IF(MonthlyFAME!G133=0,"",MonthlyFAME!G133)</f>
        <v/>
      </c>
      <c r="G131" s="21" t="str">
        <f>IF(MonthlyFAME!H133=0,"",MonthlyFAME!H133)</f>
        <v/>
      </c>
      <c r="H131" s="21" t="str">
        <f>IF(MonthlyFAME!I133=0,"",MonthlyFAME!I133)</f>
        <v/>
      </c>
      <c r="I131" s="21" t="str">
        <f>IF(MonthlyFAME!J133=0,"",MonthlyFAME!J133)</f>
        <v/>
      </c>
      <c r="J131" s="24"/>
      <c r="K131" s="21">
        <f>IF(MonthlyFAME!L133=0,"",MonthlyFAME!L133)</f>
        <v>18.224874302361201</v>
      </c>
      <c r="L131" s="21" t="str">
        <f>IF(MonthlyFAME!M133=0,"",MonthlyFAME!M133)</f>
        <v/>
      </c>
      <c r="M131" s="21" t="str">
        <f>IF(MonthlyFAME!N133=0,"",MonthlyFAME!N133)</f>
        <v/>
      </c>
      <c r="N131" s="21" t="str">
        <f>IF(MonthlyFAME!O133=0,"",MonthlyFAME!O133)</f>
        <v/>
      </c>
      <c r="O131" s="21" t="str">
        <f>IF(MonthlyFAME!P133=0,"",MonthlyFAME!P133)</f>
        <v/>
      </c>
      <c r="P131" s="21" t="str">
        <f>IF(MonthlyFAME!Q133=0,"",MonthlyFAME!Q133)</f>
        <v/>
      </c>
      <c r="Q131" s="21" t="str">
        <f>IF(MonthlyFAME!R133=0,"",MonthlyFAME!R133)</f>
        <v/>
      </c>
      <c r="R131" s="21" t="str">
        <f>IF(MonthlyFAME!S133=0,"",MonthlyFAME!S133)</f>
        <v/>
      </c>
      <c r="S131" s="21" t="str">
        <f>IF(MonthlyFAME!T133=0,"",MonthlyFAME!T133)</f>
        <v/>
      </c>
      <c r="T131" s="21" t="str">
        <f>IF(MonthlyFAME!U133=0,"",MonthlyFAME!U133)</f>
        <v/>
      </c>
    </row>
    <row r="132" spans="1:20" x14ac:dyDescent="0.2">
      <c r="A132" s="23">
        <f>IF(MonthlyFAME!A134=0,"",MonthlyFAME!A134)</f>
        <v>25811</v>
      </c>
      <c r="B132" s="21" t="str">
        <f>IF(MonthlyFAME!B134=0,"",MonthlyFAME!B134)</f>
        <v/>
      </c>
      <c r="C132" s="21">
        <f>IF(MonthlyFAME!C134=0,"",MonthlyFAME!C134)</f>
        <v>55.2</v>
      </c>
      <c r="D132" s="21" t="str">
        <f>IF(MonthlyFAME!D134=0,"",MonthlyFAME!D134)</f>
        <v/>
      </c>
      <c r="E132" s="21" t="str">
        <f>IF(MonthlyFAME!F134=0,"",MonthlyFAME!F134)</f>
        <v/>
      </c>
      <c r="F132" s="21" t="str">
        <f>IF(MonthlyFAME!G134=0,"",MonthlyFAME!G134)</f>
        <v/>
      </c>
      <c r="G132" s="21" t="str">
        <f>IF(MonthlyFAME!H134=0,"",MonthlyFAME!H134)</f>
        <v/>
      </c>
      <c r="H132" s="21" t="str">
        <f>IF(MonthlyFAME!I134=0,"",MonthlyFAME!I134)</f>
        <v/>
      </c>
      <c r="I132" s="21" t="str">
        <f>IF(MonthlyFAME!J134=0,"",MonthlyFAME!J134)</f>
        <v/>
      </c>
      <c r="J132" s="24"/>
      <c r="K132" s="21">
        <f>IF(MonthlyFAME!L134=0,"",MonthlyFAME!L134)</f>
        <v>18.5492631341241</v>
      </c>
      <c r="L132" s="21" t="str">
        <f>IF(MonthlyFAME!M134=0,"",MonthlyFAME!M134)</f>
        <v/>
      </c>
      <c r="M132" s="21" t="str">
        <f>IF(MonthlyFAME!N134=0,"",MonthlyFAME!N134)</f>
        <v/>
      </c>
      <c r="N132" s="21" t="str">
        <f>IF(MonthlyFAME!O134=0,"",MonthlyFAME!O134)</f>
        <v/>
      </c>
      <c r="O132" s="21" t="str">
        <f>IF(MonthlyFAME!P134=0,"",MonthlyFAME!P134)</f>
        <v/>
      </c>
      <c r="P132" s="21" t="str">
        <f>IF(MonthlyFAME!Q134=0,"",MonthlyFAME!Q134)</f>
        <v/>
      </c>
      <c r="Q132" s="21" t="str">
        <f>IF(MonthlyFAME!R134=0,"",MonthlyFAME!R134)</f>
        <v/>
      </c>
      <c r="R132" s="21" t="str">
        <f>IF(MonthlyFAME!S134=0,"",MonthlyFAME!S134)</f>
        <v/>
      </c>
      <c r="S132" s="21" t="str">
        <f>IF(MonthlyFAME!T134=0,"",MonthlyFAME!T134)</f>
        <v/>
      </c>
      <c r="T132" s="21" t="str">
        <f>IF(MonthlyFAME!U134=0,"",MonthlyFAME!U134)</f>
        <v/>
      </c>
    </row>
    <row r="133" spans="1:20" x14ac:dyDescent="0.2">
      <c r="A133" s="23">
        <f>IF(MonthlyFAME!A135=0,"",MonthlyFAME!A135)</f>
        <v>25841</v>
      </c>
      <c r="B133" s="21" t="str">
        <f>IF(MonthlyFAME!B135=0,"",MonthlyFAME!B135)</f>
        <v/>
      </c>
      <c r="C133" s="21">
        <f>IF(MonthlyFAME!C135=0,"",MonthlyFAME!C135)</f>
        <v>55</v>
      </c>
      <c r="D133" s="21" t="str">
        <f>IF(MonthlyFAME!D135=0,"",MonthlyFAME!D135)</f>
        <v/>
      </c>
      <c r="E133" s="21" t="str">
        <f>IF(MonthlyFAME!F135=0,"",MonthlyFAME!F135)</f>
        <v/>
      </c>
      <c r="F133" s="21" t="str">
        <f>IF(MonthlyFAME!G135=0,"",MonthlyFAME!G135)</f>
        <v/>
      </c>
      <c r="G133" s="21" t="str">
        <f>IF(MonthlyFAME!H135=0,"",MonthlyFAME!H135)</f>
        <v/>
      </c>
      <c r="H133" s="21" t="str">
        <f>IF(MonthlyFAME!I135=0,"",MonthlyFAME!I135)</f>
        <v/>
      </c>
      <c r="I133" s="21" t="str">
        <f>IF(MonthlyFAME!J135=0,"",MonthlyFAME!J135)</f>
        <v/>
      </c>
      <c r="J133" s="24"/>
      <c r="K133" s="21">
        <f>IF(MonthlyFAME!L135=0,"",MonthlyFAME!L135)</f>
        <v>18.652773340741</v>
      </c>
      <c r="L133" s="21" t="str">
        <f>IF(MonthlyFAME!M135=0,"",MonthlyFAME!M135)</f>
        <v/>
      </c>
      <c r="M133" s="21" t="str">
        <f>IF(MonthlyFAME!N135=0,"",MonthlyFAME!N135)</f>
        <v/>
      </c>
      <c r="N133" s="21" t="str">
        <f>IF(MonthlyFAME!O135=0,"",MonthlyFAME!O135)</f>
        <v/>
      </c>
      <c r="O133" s="21" t="str">
        <f>IF(MonthlyFAME!P135=0,"",MonthlyFAME!P135)</f>
        <v/>
      </c>
      <c r="P133" s="21" t="str">
        <f>IF(MonthlyFAME!Q135=0,"",MonthlyFAME!Q135)</f>
        <v/>
      </c>
      <c r="Q133" s="21" t="str">
        <f>IF(MonthlyFAME!R135=0,"",MonthlyFAME!R135)</f>
        <v/>
      </c>
      <c r="R133" s="21" t="str">
        <f>IF(MonthlyFAME!S135=0,"",MonthlyFAME!S135)</f>
        <v/>
      </c>
      <c r="S133" s="21" t="str">
        <f>IF(MonthlyFAME!T135=0,"",MonthlyFAME!T135)</f>
        <v/>
      </c>
      <c r="T133" s="21" t="str">
        <f>IF(MonthlyFAME!U135=0,"",MonthlyFAME!U135)</f>
        <v/>
      </c>
    </row>
    <row r="134" spans="1:20" x14ac:dyDescent="0.2">
      <c r="A134" s="23">
        <f>IF(MonthlyFAME!A136=0,"",MonthlyFAME!A136)</f>
        <v>25872</v>
      </c>
      <c r="B134" s="21" t="str">
        <f>IF(MonthlyFAME!B136=0,"",MonthlyFAME!B136)</f>
        <v/>
      </c>
      <c r="C134" s="21">
        <f>IF(MonthlyFAME!C136=0,"",MonthlyFAME!C136)</f>
        <v>55.8</v>
      </c>
      <c r="D134" s="21" t="str">
        <f>IF(MonthlyFAME!D136=0,"",MonthlyFAME!D136)</f>
        <v/>
      </c>
      <c r="E134" s="21" t="str">
        <f>IF(MonthlyFAME!F136=0,"",MonthlyFAME!F136)</f>
        <v/>
      </c>
      <c r="F134" s="21" t="str">
        <f>IF(MonthlyFAME!G136=0,"",MonthlyFAME!G136)</f>
        <v/>
      </c>
      <c r="G134" s="21" t="str">
        <f>IF(MonthlyFAME!H136=0,"",MonthlyFAME!H136)</f>
        <v/>
      </c>
      <c r="H134" s="21" t="str">
        <f>IF(MonthlyFAME!I136=0,"",MonthlyFAME!I136)</f>
        <v/>
      </c>
      <c r="I134" s="21" t="str">
        <f>IF(MonthlyFAME!J136=0,"",MonthlyFAME!J136)</f>
        <v/>
      </c>
      <c r="J134" s="24"/>
      <c r="K134" s="21">
        <f>IF(MonthlyFAME!L136=0,"",MonthlyFAME!L136)</f>
        <v>18.945961728239801</v>
      </c>
      <c r="L134" s="21" t="str">
        <f>IF(MonthlyFAME!M136=0,"",MonthlyFAME!M136)</f>
        <v/>
      </c>
      <c r="M134" s="21" t="str">
        <f>IF(MonthlyFAME!N136=0,"",MonthlyFAME!N136)</f>
        <v/>
      </c>
      <c r="N134" s="21" t="str">
        <f>IF(MonthlyFAME!O136=0,"",MonthlyFAME!O136)</f>
        <v/>
      </c>
      <c r="O134" s="21" t="str">
        <f>IF(MonthlyFAME!P136=0,"",MonthlyFAME!P136)</f>
        <v/>
      </c>
      <c r="P134" s="21" t="str">
        <f>IF(MonthlyFAME!Q136=0,"",MonthlyFAME!Q136)</f>
        <v/>
      </c>
      <c r="Q134" s="21" t="str">
        <f>IF(MonthlyFAME!R136=0,"",MonthlyFAME!R136)</f>
        <v/>
      </c>
      <c r="R134" s="21" t="str">
        <f>IF(MonthlyFAME!S136=0,"",MonthlyFAME!S136)</f>
        <v/>
      </c>
      <c r="S134" s="21" t="str">
        <f>IF(MonthlyFAME!T136=0,"",MonthlyFAME!T136)</f>
        <v/>
      </c>
      <c r="T134" s="21" t="str">
        <f>IF(MonthlyFAME!U136=0,"",MonthlyFAME!U136)</f>
        <v/>
      </c>
    </row>
    <row r="135" spans="1:20" x14ac:dyDescent="0.2">
      <c r="A135" s="23">
        <f>IF(MonthlyFAME!A137=0,"",MonthlyFAME!A137)</f>
        <v>25902</v>
      </c>
      <c r="B135" s="21" t="str">
        <f>IF(MonthlyFAME!B137=0,"",MonthlyFAME!B137)</f>
        <v/>
      </c>
      <c r="C135" s="21">
        <f>IF(MonthlyFAME!C137=0,"",MonthlyFAME!C137)</f>
        <v>54.9</v>
      </c>
      <c r="D135" s="21" t="str">
        <f>IF(MonthlyFAME!D137=0,"",MonthlyFAME!D137)</f>
        <v/>
      </c>
      <c r="E135" s="21" t="str">
        <f>IF(MonthlyFAME!F137=0,"",MonthlyFAME!F137)</f>
        <v/>
      </c>
      <c r="F135" s="21" t="str">
        <f>IF(MonthlyFAME!G137=0,"",MonthlyFAME!G137)</f>
        <v/>
      </c>
      <c r="G135" s="21" t="str">
        <f>IF(MonthlyFAME!H137=0,"",MonthlyFAME!H137)</f>
        <v/>
      </c>
      <c r="H135" s="21" t="str">
        <f>IF(MonthlyFAME!I137=0,"",MonthlyFAME!I137)</f>
        <v/>
      </c>
      <c r="I135" s="21" t="str">
        <f>IF(MonthlyFAME!J137=0,"",MonthlyFAME!J137)</f>
        <v/>
      </c>
      <c r="J135" s="24"/>
      <c r="K135" s="21">
        <f>IF(MonthlyFAME!L137=0,"",MonthlyFAME!L137)</f>
        <v>18.913993049676701</v>
      </c>
      <c r="L135" s="21" t="str">
        <f>IF(MonthlyFAME!M137=0,"",MonthlyFAME!M137)</f>
        <v/>
      </c>
      <c r="M135" s="21" t="str">
        <f>IF(MonthlyFAME!N137=0,"",MonthlyFAME!N137)</f>
        <v/>
      </c>
      <c r="N135" s="21" t="str">
        <f>IF(MonthlyFAME!O137=0,"",MonthlyFAME!O137)</f>
        <v/>
      </c>
      <c r="O135" s="21" t="str">
        <f>IF(MonthlyFAME!P137=0,"",MonthlyFAME!P137)</f>
        <v/>
      </c>
      <c r="P135" s="21" t="str">
        <f>IF(MonthlyFAME!Q137=0,"",MonthlyFAME!Q137)</f>
        <v/>
      </c>
      <c r="Q135" s="21" t="str">
        <f>IF(MonthlyFAME!R137=0,"",MonthlyFAME!R137)</f>
        <v/>
      </c>
      <c r="R135" s="21" t="str">
        <f>IF(MonthlyFAME!S137=0,"",MonthlyFAME!S137)</f>
        <v/>
      </c>
      <c r="S135" s="21" t="str">
        <f>IF(MonthlyFAME!T137=0,"",MonthlyFAME!T137)</f>
        <v/>
      </c>
      <c r="T135" s="21" t="str">
        <f>IF(MonthlyFAME!U137=0,"",MonthlyFAME!U137)</f>
        <v/>
      </c>
    </row>
    <row r="136" spans="1:20" x14ac:dyDescent="0.2">
      <c r="A136" s="23">
        <f>IF(MonthlyFAME!A138=0,"",MonthlyFAME!A138)</f>
        <v>25933</v>
      </c>
      <c r="B136" s="21" t="str">
        <f>IF(MonthlyFAME!B138=0,"",MonthlyFAME!B138)</f>
        <v/>
      </c>
      <c r="C136" s="21">
        <f>IF(MonthlyFAME!C138=0,"",MonthlyFAME!C138)</f>
        <v>55.5</v>
      </c>
      <c r="D136" s="21" t="str">
        <f>IF(MonthlyFAME!D138=0,"",MonthlyFAME!D138)</f>
        <v/>
      </c>
      <c r="E136" s="21" t="str">
        <f>IF(MonthlyFAME!F138=0,"",MonthlyFAME!F138)</f>
        <v/>
      </c>
      <c r="F136" s="21" t="str">
        <f>IF(MonthlyFAME!G138=0,"",MonthlyFAME!G138)</f>
        <v/>
      </c>
      <c r="G136" s="21" t="str">
        <f>IF(MonthlyFAME!H138=0,"",MonthlyFAME!H138)</f>
        <v/>
      </c>
      <c r="H136" s="21" t="str">
        <f>IF(MonthlyFAME!I138=0,"",MonthlyFAME!I138)</f>
        <v/>
      </c>
      <c r="I136" s="21" t="str">
        <f>IF(MonthlyFAME!J138=0,"",MonthlyFAME!J138)</f>
        <v/>
      </c>
      <c r="J136" s="24"/>
      <c r="K136" s="21">
        <f>IF(MonthlyFAME!L138=0,"",MonthlyFAME!L138)</f>
        <v>19.2899369466273</v>
      </c>
      <c r="L136" s="21" t="str">
        <f>IF(MonthlyFAME!M138=0,"",MonthlyFAME!M138)</f>
        <v/>
      </c>
      <c r="M136" s="21" t="str">
        <f>IF(MonthlyFAME!N138=0,"",MonthlyFAME!N138)</f>
        <v/>
      </c>
      <c r="N136" s="21" t="str">
        <f>IF(MonthlyFAME!O138=0,"",MonthlyFAME!O138)</f>
        <v/>
      </c>
      <c r="O136" s="21" t="str">
        <f>IF(MonthlyFAME!P138=0,"",MonthlyFAME!P138)</f>
        <v/>
      </c>
      <c r="P136" s="21" t="str">
        <f>IF(MonthlyFAME!Q138=0,"",MonthlyFAME!Q138)</f>
        <v/>
      </c>
      <c r="Q136" s="21" t="str">
        <f>IF(MonthlyFAME!R138=0,"",MonthlyFAME!R138)</f>
        <v/>
      </c>
      <c r="R136" s="21" t="str">
        <f>IF(MonthlyFAME!S138=0,"",MonthlyFAME!S138)</f>
        <v/>
      </c>
      <c r="S136" s="21" t="str">
        <f>IF(MonthlyFAME!T138=0,"",MonthlyFAME!T138)</f>
        <v/>
      </c>
      <c r="T136" s="21" t="str">
        <f>IF(MonthlyFAME!U138=0,"",MonthlyFAME!U138)</f>
        <v/>
      </c>
    </row>
    <row r="137" spans="1:20" x14ac:dyDescent="0.2">
      <c r="A137" s="23">
        <f>IF(MonthlyFAME!A139=0,"",MonthlyFAME!A139)</f>
        <v>25964</v>
      </c>
      <c r="B137" s="21" t="str">
        <f>IF(MonthlyFAME!B139=0,"",MonthlyFAME!B139)</f>
        <v/>
      </c>
      <c r="C137" s="21">
        <f>IF(MonthlyFAME!C139=0,"",MonthlyFAME!C139)</f>
        <v>55.8</v>
      </c>
      <c r="D137" s="21" t="str">
        <f>IF(MonthlyFAME!D139=0,"",MonthlyFAME!D139)</f>
        <v/>
      </c>
      <c r="E137" s="21" t="str">
        <f>IF(MonthlyFAME!F139=0,"",MonthlyFAME!F139)</f>
        <v/>
      </c>
      <c r="F137" s="21" t="str">
        <f>IF(MonthlyFAME!G139=0,"",MonthlyFAME!G139)</f>
        <v/>
      </c>
      <c r="G137" s="21" t="str">
        <f>IF(MonthlyFAME!H139=0,"",MonthlyFAME!H139)</f>
        <v/>
      </c>
      <c r="H137" s="21" t="str">
        <f>IF(MonthlyFAME!I139=0,"",MonthlyFAME!I139)</f>
        <v/>
      </c>
      <c r="I137" s="21" t="str">
        <f>IF(MonthlyFAME!J139=0,"",MonthlyFAME!J139)</f>
        <v/>
      </c>
      <c r="J137" s="24"/>
      <c r="K137" s="21">
        <f>IF(MonthlyFAME!L139=0,"",MonthlyFAME!L139)</f>
        <v>19.667394205574599</v>
      </c>
      <c r="L137" s="21">
        <f>IF(MonthlyFAME!M139=0,"",MonthlyFAME!M139)</f>
        <v>533.6</v>
      </c>
      <c r="M137" s="21" t="str">
        <f>IF(MonthlyFAME!N139=0,"",MonthlyFAME!N139)</f>
        <v/>
      </c>
      <c r="N137" s="21" t="str">
        <f>IF(MonthlyFAME!O139=0,"",MonthlyFAME!O139)</f>
        <v/>
      </c>
      <c r="O137" s="21" t="str">
        <f>IF(MonthlyFAME!P139=0,"",MonthlyFAME!P139)</f>
        <v/>
      </c>
      <c r="P137" s="21" t="str">
        <f>IF(MonthlyFAME!Q139=0,"",MonthlyFAME!Q139)</f>
        <v/>
      </c>
      <c r="Q137" s="21" t="str">
        <f>IF(MonthlyFAME!R139=0,"",MonthlyFAME!R139)</f>
        <v/>
      </c>
      <c r="R137" s="21" t="str">
        <f>IF(MonthlyFAME!S139=0,"",MonthlyFAME!S139)</f>
        <v/>
      </c>
      <c r="S137" s="21" t="str">
        <f>IF(MonthlyFAME!T139=0,"",MonthlyFAME!T139)</f>
        <v/>
      </c>
      <c r="T137" s="21" t="str">
        <f>IF(MonthlyFAME!U139=0,"",MonthlyFAME!U139)</f>
        <v/>
      </c>
    </row>
    <row r="138" spans="1:20" x14ac:dyDescent="0.2">
      <c r="A138" s="23">
        <f>IF(MonthlyFAME!A140=0,"",MonthlyFAME!A140)</f>
        <v>25992</v>
      </c>
      <c r="B138" s="21" t="str">
        <f>IF(MonthlyFAME!B140=0,"",MonthlyFAME!B140)</f>
        <v/>
      </c>
      <c r="C138" s="21">
        <f>IF(MonthlyFAME!C140=0,"",MonthlyFAME!C140)</f>
        <v>54.7</v>
      </c>
      <c r="D138" s="21" t="str">
        <f>IF(MonthlyFAME!D140=0,"",MonthlyFAME!D140)</f>
        <v/>
      </c>
      <c r="E138" s="21" t="str">
        <f>IF(MonthlyFAME!F140=0,"",MonthlyFAME!F140)</f>
        <v/>
      </c>
      <c r="F138" s="21" t="str">
        <f>IF(MonthlyFAME!G140=0,"",MonthlyFAME!G140)</f>
        <v/>
      </c>
      <c r="G138" s="21" t="str">
        <f>IF(MonthlyFAME!H140=0,"",MonthlyFAME!H140)</f>
        <v/>
      </c>
      <c r="H138" s="21" t="str">
        <f>IF(MonthlyFAME!I140=0,"",MonthlyFAME!I140)</f>
        <v/>
      </c>
      <c r="I138" s="21" t="str">
        <f>IF(MonthlyFAME!J140=0,"",MonthlyFAME!J140)</f>
        <v/>
      </c>
      <c r="J138" s="24"/>
      <c r="K138" s="21">
        <f>IF(MonthlyFAME!L140=0,"",MonthlyFAME!L140)</f>
        <v>19.759731441199701</v>
      </c>
      <c r="L138" s="21">
        <f>IF(MonthlyFAME!M140=0,"",MonthlyFAME!M140)</f>
        <v>552.29999999999995</v>
      </c>
      <c r="M138" s="21" t="str">
        <f>IF(MonthlyFAME!N140=0,"",MonthlyFAME!N140)</f>
        <v/>
      </c>
      <c r="N138" s="21" t="str">
        <f>IF(MonthlyFAME!O140=0,"",MonthlyFAME!O140)</f>
        <v/>
      </c>
      <c r="O138" s="21" t="str">
        <f>IF(MonthlyFAME!P140=0,"",MonthlyFAME!P140)</f>
        <v/>
      </c>
      <c r="P138" s="21" t="str">
        <f>IF(MonthlyFAME!Q140=0,"",MonthlyFAME!Q140)</f>
        <v/>
      </c>
      <c r="Q138" s="21" t="str">
        <f>IF(MonthlyFAME!R140=0,"",MonthlyFAME!R140)</f>
        <v/>
      </c>
      <c r="R138" s="21" t="str">
        <f>IF(MonthlyFAME!S140=0,"",MonthlyFAME!S140)</f>
        <v/>
      </c>
      <c r="S138" s="21" t="str">
        <f>IF(MonthlyFAME!T140=0,"",MonthlyFAME!T140)</f>
        <v/>
      </c>
      <c r="T138" s="21" t="str">
        <f>IF(MonthlyFAME!U140=0,"",MonthlyFAME!U140)</f>
        <v/>
      </c>
    </row>
    <row r="139" spans="1:20" x14ac:dyDescent="0.2">
      <c r="A139" s="23">
        <f>IF(MonthlyFAME!A141=0,"",MonthlyFAME!A141)</f>
        <v>26023</v>
      </c>
      <c r="B139" s="21" t="str">
        <f>IF(MonthlyFAME!B141=0,"",MonthlyFAME!B141)</f>
        <v/>
      </c>
      <c r="C139" s="21">
        <f>IF(MonthlyFAME!C141=0,"",MonthlyFAME!C141)</f>
        <v>54</v>
      </c>
      <c r="D139" s="21" t="str">
        <f>IF(MonthlyFAME!D141=0,"",MonthlyFAME!D141)</f>
        <v/>
      </c>
      <c r="E139" s="21" t="str">
        <f>IF(MonthlyFAME!F141=0,"",MonthlyFAME!F141)</f>
        <v/>
      </c>
      <c r="F139" s="21" t="str">
        <f>IF(MonthlyFAME!G141=0,"",MonthlyFAME!G141)</f>
        <v/>
      </c>
      <c r="G139" s="21">
        <f>IF(MonthlyFAME!H141=0,"",MonthlyFAME!H141)</f>
        <v>3.8291720392294768</v>
      </c>
      <c r="H139" s="21">
        <f>IF(MonthlyFAME!I141=0,"",MonthlyFAME!I141)</f>
        <v>24613</v>
      </c>
      <c r="I139" s="21">
        <f>IF(MonthlyFAME!J141=0,"",MonthlyFAME!J141)</f>
        <v>864.3</v>
      </c>
      <c r="J139" s="24"/>
      <c r="K139" s="21">
        <f>IF(MonthlyFAME!L141=0,"",MonthlyFAME!L141)</f>
        <v>19.821441635276599</v>
      </c>
      <c r="L139" s="21">
        <f>IF(MonthlyFAME!M141=0,"",MonthlyFAME!M141)</f>
        <v>573.5</v>
      </c>
      <c r="M139" s="21" t="str">
        <f>IF(MonthlyFAME!N141=0,"",MonthlyFAME!N141)</f>
        <v/>
      </c>
      <c r="N139" s="21" t="str">
        <f>IF(MonthlyFAME!O141=0,"",MonthlyFAME!O141)</f>
        <v/>
      </c>
      <c r="O139" s="21" t="str">
        <f>IF(MonthlyFAME!P141=0,"",MonthlyFAME!P141)</f>
        <v/>
      </c>
      <c r="P139" s="21" t="str">
        <f>IF(MonthlyFAME!Q141=0,"",MonthlyFAME!Q141)</f>
        <v/>
      </c>
      <c r="Q139" s="21" t="str">
        <f>IF(MonthlyFAME!R141=0,"",MonthlyFAME!R141)</f>
        <v/>
      </c>
      <c r="R139" s="21" t="str">
        <f>IF(MonthlyFAME!S141=0,"",MonthlyFAME!S141)</f>
        <v/>
      </c>
      <c r="S139" s="21" t="str">
        <f>IF(MonthlyFAME!T141=0,"",MonthlyFAME!T141)</f>
        <v/>
      </c>
      <c r="T139" s="21" t="str">
        <f>IF(MonthlyFAME!U141=0,"",MonthlyFAME!U141)</f>
        <v/>
      </c>
    </row>
    <row r="140" spans="1:20" x14ac:dyDescent="0.2">
      <c r="A140" s="23">
        <f>IF(MonthlyFAME!A142=0,"",MonthlyFAME!A142)</f>
        <v>26053</v>
      </c>
      <c r="B140" s="21" t="str">
        <f>IF(MonthlyFAME!B142=0,"",MonthlyFAME!B142)</f>
        <v/>
      </c>
      <c r="C140" s="21">
        <f>IF(MonthlyFAME!C142=0,"",MonthlyFAME!C142)</f>
        <v>54.8</v>
      </c>
      <c r="D140" s="21" t="str">
        <f>IF(MonthlyFAME!D142=0,"",MonthlyFAME!D142)</f>
        <v/>
      </c>
      <c r="E140" s="21" t="str">
        <f>IF(MonthlyFAME!F142=0,"",MonthlyFAME!F142)</f>
        <v/>
      </c>
      <c r="F140" s="21" t="str">
        <f>IF(MonthlyFAME!G142=0,"",MonthlyFAME!G142)</f>
        <v/>
      </c>
      <c r="G140" s="21">
        <f>IF(MonthlyFAME!H142=0,"",MonthlyFAME!H142)</f>
        <v>3.902553474367497</v>
      </c>
      <c r="H140" s="21">
        <f>IF(MonthlyFAME!I142=0,"",MonthlyFAME!I142)</f>
        <v>24575</v>
      </c>
      <c r="I140" s="21">
        <f>IF(MonthlyFAME!J142=0,"",MonthlyFAME!J142)</f>
        <v>862.7</v>
      </c>
      <c r="J140" s="24"/>
      <c r="K140" s="21">
        <f>IF(MonthlyFAME!L142=0,"",MonthlyFAME!L142)</f>
        <v>19.8465146572746</v>
      </c>
      <c r="L140" s="21">
        <f>IF(MonthlyFAME!M142=0,"",MonthlyFAME!M142)</f>
        <v>599.1</v>
      </c>
      <c r="M140" s="21" t="str">
        <f>IF(MonthlyFAME!N142=0,"",MonthlyFAME!N142)</f>
        <v/>
      </c>
      <c r="N140" s="21" t="str">
        <f>IF(MonthlyFAME!O142=0,"",MonthlyFAME!O142)</f>
        <v/>
      </c>
      <c r="O140" s="21" t="str">
        <f>IF(MonthlyFAME!P142=0,"",MonthlyFAME!P142)</f>
        <v/>
      </c>
      <c r="P140" s="21" t="str">
        <f>IF(MonthlyFAME!Q142=0,"",MonthlyFAME!Q142)</f>
        <v/>
      </c>
      <c r="Q140" s="21" t="str">
        <f>IF(MonthlyFAME!R142=0,"",MonthlyFAME!R142)</f>
        <v/>
      </c>
      <c r="R140" s="21" t="str">
        <f>IF(MonthlyFAME!S142=0,"",MonthlyFAME!S142)</f>
        <v/>
      </c>
      <c r="S140" s="21" t="str">
        <f>IF(MonthlyFAME!T142=0,"",MonthlyFAME!T142)</f>
        <v/>
      </c>
      <c r="T140" s="21" t="str">
        <f>IF(MonthlyFAME!U142=0,"",MonthlyFAME!U142)</f>
        <v/>
      </c>
    </row>
    <row r="141" spans="1:20" x14ac:dyDescent="0.2">
      <c r="A141" s="23">
        <f>IF(MonthlyFAME!A143=0,"",MonthlyFAME!A143)</f>
        <v>26084</v>
      </c>
      <c r="B141" s="21" t="str">
        <f>IF(MonthlyFAME!B143=0,"",MonthlyFAME!B143)</f>
        <v/>
      </c>
      <c r="C141" s="21">
        <f>IF(MonthlyFAME!C143=0,"",MonthlyFAME!C143)</f>
        <v>55.1</v>
      </c>
      <c r="D141" s="21" t="str">
        <f>IF(MonthlyFAME!D143=0,"",MonthlyFAME!D143)</f>
        <v/>
      </c>
      <c r="E141" s="21" t="str">
        <f>IF(MonthlyFAME!F143=0,"",MonthlyFAME!F143)</f>
        <v/>
      </c>
      <c r="F141" s="21" t="str">
        <f>IF(MonthlyFAME!G143=0,"",MonthlyFAME!G143)</f>
        <v/>
      </c>
      <c r="G141" s="21">
        <f>IF(MonthlyFAME!H143=0,"",MonthlyFAME!H143)</f>
        <v>3.9989054804159174</v>
      </c>
      <c r="H141" s="21">
        <f>IF(MonthlyFAME!I143=0,"",MonthlyFAME!I143)</f>
        <v>24559</v>
      </c>
      <c r="I141" s="21">
        <f>IF(MonthlyFAME!J143=0,"",MonthlyFAME!J143)</f>
        <v>862.5</v>
      </c>
      <c r="J141" s="24"/>
      <c r="K141" s="21">
        <f>IF(MonthlyFAME!L143=0,"",MonthlyFAME!L143)</f>
        <v>20.2113092259195</v>
      </c>
      <c r="L141" s="21">
        <f>IF(MonthlyFAME!M143=0,"",MonthlyFAME!M143)</f>
        <v>641.70000000000005</v>
      </c>
      <c r="M141" s="21" t="str">
        <f>IF(MonthlyFAME!N143=0,"",MonthlyFAME!N143)</f>
        <v/>
      </c>
      <c r="N141" s="21" t="str">
        <f>IF(MonthlyFAME!O143=0,"",MonthlyFAME!O143)</f>
        <v/>
      </c>
      <c r="O141" s="21" t="str">
        <f>IF(MonthlyFAME!P143=0,"",MonthlyFAME!P143)</f>
        <v/>
      </c>
      <c r="P141" s="21" t="str">
        <f>IF(MonthlyFAME!Q143=0,"",MonthlyFAME!Q143)</f>
        <v/>
      </c>
      <c r="Q141" s="21" t="str">
        <f>IF(MonthlyFAME!R143=0,"",MonthlyFAME!R143)</f>
        <v/>
      </c>
      <c r="R141" s="21" t="str">
        <f>IF(MonthlyFAME!S143=0,"",MonthlyFAME!S143)</f>
        <v/>
      </c>
      <c r="S141" s="21" t="str">
        <f>IF(MonthlyFAME!T143=0,"",MonthlyFAME!T143)</f>
        <v/>
      </c>
      <c r="T141" s="21" t="str">
        <f>IF(MonthlyFAME!U143=0,"",MonthlyFAME!U143)</f>
        <v/>
      </c>
    </row>
    <row r="142" spans="1:20" x14ac:dyDescent="0.2">
      <c r="A142" s="23">
        <f>IF(MonthlyFAME!A144=0,"",MonthlyFAME!A144)</f>
        <v>26114</v>
      </c>
      <c r="B142" s="21" t="str">
        <f>IF(MonthlyFAME!B144=0,"",MonthlyFAME!B144)</f>
        <v/>
      </c>
      <c r="C142" s="21">
        <f>IF(MonthlyFAME!C144=0,"",MonthlyFAME!C144)</f>
        <v>54.9</v>
      </c>
      <c r="D142" s="21" t="str">
        <f>IF(MonthlyFAME!D144=0,"",MonthlyFAME!D144)</f>
        <v/>
      </c>
      <c r="E142" s="21" t="str">
        <f>IF(MonthlyFAME!F144=0,"",MonthlyFAME!F144)</f>
        <v/>
      </c>
      <c r="F142" s="21" t="str">
        <f>IF(MonthlyFAME!G144=0,"",MonthlyFAME!G144)</f>
        <v/>
      </c>
      <c r="G142" s="21">
        <f>IF(MonthlyFAME!H144=0,"",MonthlyFAME!H144)</f>
        <v>4.0818718018827393</v>
      </c>
      <c r="H142" s="21">
        <f>IF(MonthlyFAME!I144=0,"",MonthlyFAME!I144)</f>
        <v>24556</v>
      </c>
      <c r="I142" s="21">
        <f>IF(MonthlyFAME!J144=0,"",MonthlyFAME!J144)</f>
        <v>862.8</v>
      </c>
      <c r="J142" s="24"/>
      <c r="K142" s="21">
        <f>IF(MonthlyFAME!L144=0,"",MonthlyFAME!L144)</f>
        <v>20.371229592094</v>
      </c>
      <c r="L142" s="21">
        <f>IF(MonthlyFAME!M144=0,"",MonthlyFAME!M144)</f>
        <v>655.20000000000005</v>
      </c>
      <c r="M142" s="21" t="str">
        <f>IF(MonthlyFAME!N144=0,"",MonthlyFAME!N144)</f>
        <v/>
      </c>
      <c r="N142" s="21" t="str">
        <f>IF(MonthlyFAME!O144=0,"",MonthlyFAME!O144)</f>
        <v/>
      </c>
      <c r="O142" s="21" t="str">
        <f>IF(MonthlyFAME!P144=0,"",MonthlyFAME!P144)</f>
        <v/>
      </c>
      <c r="P142" s="21" t="str">
        <f>IF(MonthlyFAME!Q144=0,"",MonthlyFAME!Q144)</f>
        <v/>
      </c>
      <c r="Q142" s="21" t="str">
        <f>IF(MonthlyFAME!R144=0,"",MonthlyFAME!R144)</f>
        <v/>
      </c>
      <c r="R142" s="21" t="str">
        <f>IF(MonthlyFAME!S144=0,"",MonthlyFAME!S144)</f>
        <v/>
      </c>
      <c r="S142" s="21" t="str">
        <f>IF(MonthlyFAME!T144=0,"",MonthlyFAME!T144)</f>
        <v/>
      </c>
      <c r="T142" s="21" t="str">
        <f>IF(MonthlyFAME!U144=0,"",MonthlyFAME!U144)</f>
        <v/>
      </c>
    </row>
    <row r="143" spans="1:20" x14ac:dyDescent="0.2">
      <c r="A143" s="23">
        <f>IF(MonthlyFAME!A145=0,"",MonthlyFAME!A145)</f>
        <v>26145</v>
      </c>
      <c r="B143" s="21" t="str">
        <f>IF(MonthlyFAME!B145=0,"",MonthlyFAME!B145)</f>
        <v/>
      </c>
      <c r="C143" s="21">
        <f>IF(MonthlyFAME!C145=0,"",MonthlyFAME!C145)</f>
        <v>54.7</v>
      </c>
      <c r="D143" s="21" t="str">
        <f>IF(MonthlyFAME!D145=0,"",MonthlyFAME!D145)</f>
        <v/>
      </c>
      <c r="E143" s="21" t="str">
        <f>IF(MonthlyFAME!F145=0,"",MonthlyFAME!F145)</f>
        <v/>
      </c>
      <c r="F143" s="21" t="str">
        <f>IF(MonthlyFAME!G145=0,"",MonthlyFAME!G145)</f>
        <v/>
      </c>
      <c r="G143" s="21">
        <f>IF(MonthlyFAME!H145=0,"",MonthlyFAME!H145)</f>
        <v>4.1479514119439127</v>
      </c>
      <c r="H143" s="21">
        <f>IF(MonthlyFAME!I145=0,"",MonthlyFAME!I145)</f>
        <v>24541</v>
      </c>
      <c r="I143" s="21">
        <f>IF(MonthlyFAME!J145=0,"",MonthlyFAME!J145)</f>
        <v>862.6</v>
      </c>
      <c r="J143" s="24"/>
      <c r="K143" s="21">
        <f>IF(MonthlyFAME!L145=0,"",MonthlyFAME!L145)</f>
        <v>20.266637313824699</v>
      </c>
      <c r="L143" s="21">
        <f>IF(MonthlyFAME!M145=0,"",MonthlyFAME!M145)</f>
        <v>662.9</v>
      </c>
      <c r="M143" s="21" t="str">
        <f>IF(MonthlyFAME!N145=0,"",MonthlyFAME!N145)</f>
        <v/>
      </c>
      <c r="N143" s="21" t="str">
        <f>IF(MonthlyFAME!O145=0,"",MonthlyFAME!O145)</f>
        <v/>
      </c>
      <c r="O143" s="21" t="str">
        <f>IF(MonthlyFAME!P145=0,"",MonthlyFAME!P145)</f>
        <v/>
      </c>
      <c r="P143" s="21" t="str">
        <f>IF(MonthlyFAME!Q145=0,"",MonthlyFAME!Q145)</f>
        <v/>
      </c>
      <c r="Q143" s="21" t="str">
        <f>IF(MonthlyFAME!R145=0,"",MonthlyFAME!R145)</f>
        <v/>
      </c>
      <c r="R143" s="21" t="str">
        <f>IF(MonthlyFAME!S145=0,"",MonthlyFAME!S145)</f>
        <v/>
      </c>
      <c r="S143" s="21" t="str">
        <f>IF(MonthlyFAME!T145=0,"",MonthlyFAME!T145)</f>
        <v/>
      </c>
      <c r="T143" s="21" t="str">
        <f>IF(MonthlyFAME!U145=0,"",MonthlyFAME!U145)</f>
        <v/>
      </c>
    </row>
    <row r="144" spans="1:20" x14ac:dyDescent="0.2">
      <c r="A144" s="23">
        <f>IF(MonthlyFAME!A146=0,"",MonthlyFAME!A146)</f>
        <v>26176</v>
      </c>
      <c r="B144" s="21" t="str">
        <f>IF(MonthlyFAME!B146=0,"",MonthlyFAME!B146)</f>
        <v/>
      </c>
      <c r="C144" s="21">
        <f>IF(MonthlyFAME!C146=0,"",MonthlyFAME!C146)</f>
        <v>55</v>
      </c>
      <c r="D144" s="21" t="str">
        <f>IF(MonthlyFAME!D146=0,"",MonthlyFAME!D146)</f>
        <v/>
      </c>
      <c r="E144" s="21" t="str">
        <f>IF(MonthlyFAME!F146=0,"",MonthlyFAME!F146)</f>
        <v/>
      </c>
      <c r="F144" s="21" t="str">
        <f>IF(MonthlyFAME!G146=0,"",MonthlyFAME!G146)</f>
        <v/>
      </c>
      <c r="G144" s="21">
        <f>IF(MonthlyFAME!H146=0,"",MonthlyFAME!H146)</f>
        <v>4.1757898029402565</v>
      </c>
      <c r="H144" s="21">
        <f>IF(MonthlyFAME!I146=0,"",MonthlyFAME!I146)</f>
        <v>24508</v>
      </c>
      <c r="I144" s="21">
        <f>IF(MonthlyFAME!J146=0,"",MonthlyFAME!J146)</f>
        <v>862.3</v>
      </c>
      <c r="J144" s="24"/>
      <c r="K144" s="21">
        <f>IF(MonthlyFAME!L146=0,"",MonthlyFAME!L146)</f>
        <v>20.568735894763499</v>
      </c>
      <c r="L144" s="21">
        <f>IF(MonthlyFAME!M146=0,"",MonthlyFAME!M146)</f>
        <v>664.1</v>
      </c>
      <c r="M144" s="21" t="str">
        <f>IF(MonthlyFAME!N146=0,"",MonthlyFAME!N146)</f>
        <v/>
      </c>
      <c r="N144" s="21" t="str">
        <f>IF(MonthlyFAME!O146=0,"",MonthlyFAME!O146)</f>
        <v/>
      </c>
      <c r="O144" s="21" t="str">
        <f>IF(MonthlyFAME!P146=0,"",MonthlyFAME!P146)</f>
        <v/>
      </c>
      <c r="P144" s="21" t="str">
        <f>IF(MonthlyFAME!Q146=0,"",MonthlyFAME!Q146)</f>
        <v/>
      </c>
      <c r="Q144" s="21" t="str">
        <f>IF(MonthlyFAME!R146=0,"",MonthlyFAME!R146)</f>
        <v/>
      </c>
      <c r="R144" s="21" t="str">
        <f>IF(MonthlyFAME!S146=0,"",MonthlyFAME!S146)</f>
        <v/>
      </c>
      <c r="S144" s="21" t="str">
        <f>IF(MonthlyFAME!T146=0,"",MonthlyFAME!T146)</f>
        <v/>
      </c>
      <c r="T144" s="21" t="str">
        <f>IF(MonthlyFAME!U146=0,"",MonthlyFAME!U146)</f>
        <v/>
      </c>
    </row>
    <row r="145" spans="1:20" x14ac:dyDescent="0.2">
      <c r="A145" s="23">
        <f>IF(MonthlyFAME!A147=0,"",MonthlyFAME!A147)</f>
        <v>26206</v>
      </c>
      <c r="B145" s="21" t="str">
        <f>IF(MonthlyFAME!B147=0,"",MonthlyFAME!B147)</f>
        <v/>
      </c>
      <c r="C145" s="21">
        <f>IF(MonthlyFAME!C147=0,"",MonthlyFAME!C147)</f>
        <v>54.5</v>
      </c>
      <c r="D145" s="21" t="str">
        <f>IF(MonthlyFAME!D147=0,"",MonthlyFAME!D147)</f>
        <v/>
      </c>
      <c r="E145" s="21" t="str">
        <f>IF(MonthlyFAME!F147=0,"",MonthlyFAME!F147)</f>
        <v/>
      </c>
      <c r="F145" s="21" t="str">
        <f>IF(MonthlyFAME!G147=0,"",MonthlyFAME!G147)</f>
        <v/>
      </c>
      <c r="G145" s="21">
        <f>IF(MonthlyFAME!H147=0,"",MonthlyFAME!H147)</f>
        <v>4.2129992169146435</v>
      </c>
      <c r="H145" s="21">
        <f>IF(MonthlyFAME!I147=0,"",MonthlyFAME!I147)</f>
        <v>24464</v>
      </c>
      <c r="I145" s="21">
        <f>IF(MonthlyFAME!J147=0,"",MonthlyFAME!J147)</f>
        <v>861.3</v>
      </c>
      <c r="J145" s="24"/>
      <c r="K145" s="21">
        <f>IF(MonthlyFAME!L147=0,"",MonthlyFAME!L147)</f>
        <v>20.6541110256792</v>
      </c>
      <c r="L145" s="21">
        <f>IF(MonthlyFAME!M147=0,"",MonthlyFAME!M147)</f>
        <v>684</v>
      </c>
      <c r="M145" s="21" t="str">
        <f>IF(MonthlyFAME!N147=0,"",MonthlyFAME!N147)</f>
        <v/>
      </c>
      <c r="N145" s="21" t="str">
        <f>IF(MonthlyFAME!O147=0,"",MonthlyFAME!O147)</f>
        <v/>
      </c>
      <c r="O145" s="21" t="str">
        <f>IF(MonthlyFAME!P147=0,"",MonthlyFAME!P147)</f>
        <v/>
      </c>
      <c r="P145" s="21" t="str">
        <f>IF(MonthlyFAME!Q147=0,"",MonthlyFAME!Q147)</f>
        <v/>
      </c>
      <c r="Q145" s="21" t="str">
        <f>IF(MonthlyFAME!R147=0,"",MonthlyFAME!R147)</f>
        <v/>
      </c>
      <c r="R145" s="21" t="str">
        <f>IF(MonthlyFAME!S147=0,"",MonthlyFAME!S147)</f>
        <v/>
      </c>
      <c r="S145" s="21" t="str">
        <f>IF(MonthlyFAME!T147=0,"",MonthlyFAME!T147)</f>
        <v/>
      </c>
      <c r="T145" s="21" t="str">
        <f>IF(MonthlyFAME!U147=0,"",MonthlyFAME!U147)</f>
        <v/>
      </c>
    </row>
    <row r="146" spans="1:20" x14ac:dyDescent="0.2">
      <c r="A146" s="23">
        <f>IF(MonthlyFAME!A148=0,"",MonthlyFAME!A148)</f>
        <v>26237</v>
      </c>
      <c r="B146" s="21" t="str">
        <f>IF(MonthlyFAME!B148=0,"",MonthlyFAME!B148)</f>
        <v/>
      </c>
      <c r="C146" s="21">
        <f>IF(MonthlyFAME!C148=0,"",MonthlyFAME!C148)</f>
        <v>54.6</v>
      </c>
      <c r="D146" s="21" t="str">
        <f>IF(MonthlyFAME!D148=0,"",MonthlyFAME!D148)</f>
        <v/>
      </c>
      <c r="E146" s="21" t="str">
        <f>IF(MonthlyFAME!F148=0,"",MonthlyFAME!F148)</f>
        <v/>
      </c>
      <c r="F146" s="21" t="str">
        <f>IF(MonthlyFAME!G148=0,"",MonthlyFAME!G148)</f>
        <v/>
      </c>
      <c r="G146" s="21">
        <f>IF(MonthlyFAME!H148=0,"",MonthlyFAME!H148)</f>
        <v>4.2721643019518698</v>
      </c>
      <c r="H146" s="21">
        <f>IF(MonthlyFAME!I148=0,"",MonthlyFAME!I148)</f>
        <v>24424</v>
      </c>
      <c r="I146" s="21">
        <f>IF(MonthlyFAME!J148=0,"",MonthlyFAME!J148)</f>
        <v>860.8</v>
      </c>
      <c r="J146" s="24"/>
      <c r="K146" s="21">
        <f>IF(MonthlyFAME!L148=0,"",MonthlyFAME!L148)</f>
        <v>20.937855577415998</v>
      </c>
      <c r="L146" s="21">
        <f>IF(MonthlyFAME!M148=0,"",MonthlyFAME!M148)</f>
        <v>715.8</v>
      </c>
      <c r="M146" s="21" t="str">
        <f>IF(MonthlyFAME!N148=0,"",MonthlyFAME!N148)</f>
        <v/>
      </c>
      <c r="N146" s="21" t="str">
        <f>IF(MonthlyFAME!O148=0,"",MonthlyFAME!O148)</f>
        <v/>
      </c>
      <c r="O146" s="21" t="str">
        <f>IF(MonthlyFAME!P148=0,"",MonthlyFAME!P148)</f>
        <v/>
      </c>
      <c r="P146" s="21" t="str">
        <f>IF(MonthlyFAME!Q148=0,"",MonthlyFAME!Q148)</f>
        <v/>
      </c>
      <c r="Q146" s="21" t="str">
        <f>IF(MonthlyFAME!R148=0,"",MonthlyFAME!R148)</f>
        <v/>
      </c>
      <c r="R146" s="21" t="str">
        <f>IF(MonthlyFAME!S148=0,"",MonthlyFAME!S148)</f>
        <v/>
      </c>
      <c r="S146" s="21" t="str">
        <f>IF(MonthlyFAME!T148=0,"",MonthlyFAME!T148)</f>
        <v/>
      </c>
      <c r="T146" s="21" t="str">
        <f>IF(MonthlyFAME!U148=0,"",MonthlyFAME!U148)</f>
        <v/>
      </c>
    </row>
    <row r="147" spans="1:20" x14ac:dyDescent="0.2">
      <c r="A147" s="23">
        <f>IF(MonthlyFAME!A149=0,"",MonthlyFAME!A149)</f>
        <v>26267</v>
      </c>
      <c r="B147" s="21" t="str">
        <f>IF(MonthlyFAME!B149=0,"",MonthlyFAME!B149)</f>
        <v/>
      </c>
      <c r="C147" s="21">
        <f>IF(MonthlyFAME!C149=0,"",MonthlyFAME!C149)</f>
        <v>54.5</v>
      </c>
      <c r="D147" s="21" t="str">
        <f>IF(MonthlyFAME!D149=0,"",MonthlyFAME!D149)</f>
        <v/>
      </c>
      <c r="E147" s="21" t="str">
        <f>IF(MonthlyFAME!F149=0,"",MonthlyFAME!F149)</f>
        <v/>
      </c>
      <c r="F147" s="21" t="str">
        <f>IF(MonthlyFAME!G149=0,"",MonthlyFAME!G149)</f>
        <v/>
      </c>
      <c r="G147" s="21">
        <f>IF(MonthlyFAME!H149=0,"",MonthlyFAME!H149)</f>
        <v>4.3628238798949477</v>
      </c>
      <c r="H147" s="21">
        <f>IF(MonthlyFAME!I149=0,"",MonthlyFAME!I149)</f>
        <v>24398</v>
      </c>
      <c r="I147" s="21">
        <f>IF(MonthlyFAME!J149=0,"",MonthlyFAME!J149)</f>
        <v>860.8</v>
      </c>
      <c r="J147" s="24"/>
      <c r="K147" s="21">
        <f>IF(MonthlyFAME!L149=0,"",MonthlyFAME!L149)</f>
        <v>20.910337267069998</v>
      </c>
      <c r="L147" s="21">
        <f>IF(MonthlyFAME!M149=0,"",MonthlyFAME!M149)</f>
        <v>747.6</v>
      </c>
      <c r="M147" s="21" t="str">
        <f>IF(MonthlyFAME!N149=0,"",MonthlyFAME!N149)</f>
        <v/>
      </c>
      <c r="N147" s="21" t="str">
        <f>IF(MonthlyFAME!O149=0,"",MonthlyFAME!O149)</f>
        <v/>
      </c>
      <c r="O147" s="21" t="str">
        <f>IF(MonthlyFAME!P149=0,"",MonthlyFAME!P149)</f>
        <v/>
      </c>
      <c r="P147" s="21" t="str">
        <f>IF(MonthlyFAME!Q149=0,"",MonthlyFAME!Q149)</f>
        <v/>
      </c>
      <c r="Q147" s="21" t="str">
        <f>IF(MonthlyFAME!R149=0,"",MonthlyFAME!R149)</f>
        <v/>
      </c>
      <c r="R147" s="21" t="str">
        <f>IF(MonthlyFAME!S149=0,"",MonthlyFAME!S149)</f>
        <v/>
      </c>
      <c r="S147" s="21" t="str">
        <f>IF(MonthlyFAME!T149=0,"",MonthlyFAME!T149)</f>
        <v/>
      </c>
      <c r="T147" s="21" t="str">
        <f>IF(MonthlyFAME!U149=0,"",MonthlyFAME!U149)</f>
        <v/>
      </c>
    </row>
    <row r="148" spans="1:20" x14ac:dyDescent="0.2">
      <c r="A148" s="23">
        <f>IF(MonthlyFAME!A150=0,"",MonthlyFAME!A150)</f>
        <v>26298</v>
      </c>
      <c r="B148" s="21" t="str">
        <f>IF(MonthlyFAME!B150=0,"",MonthlyFAME!B150)</f>
        <v/>
      </c>
      <c r="C148" s="21">
        <f>IF(MonthlyFAME!C150=0,"",MonthlyFAME!C150)</f>
        <v>54.8</v>
      </c>
      <c r="D148" s="21" t="str">
        <f>IF(MonthlyFAME!D150=0,"",MonthlyFAME!D150)</f>
        <v/>
      </c>
      <c r="E148" s="21" t="str">
        <f>IF(MonthlyFAME!F150=0,"",MonthlyFAME!F150)</f>
        <v/>
      </c>
      <c r="F148" s="21" t="str">
        <f>IF(MonthlyFAME!G150=0,"",MonthlyFAME!G150)</f>
        <v/>
      </c>
      <c r="G148" s="21">
        <f>IF(MonthlyFAME!H150=0,"",MonthlyFAME!H150)</f>
        <v>4.4382638671262926</v>
      </c>
      <c r="H148" s="21">
        <f>IF(MonthlyFAME!I150=0,"",MonthlyFAME!I150)</f>
        <v>24395</v>
      </c>
      <c r="I148" s="21">
        <f>IF(MonthlyFAME!J150=0,"",MonthlyFAME!J150)</f>
        <v>861.7</v>
      </c>
      <c r="J148" s="24"/>
      <c r="K148" s="21">
        <f>IF(MonthlyFAME!L150=0,"",MonthlyFAME!L150)</f>
        <v>21.000458211289899</v>
      </c>
      <c r="L148" s="21">
        <f>IF(MonthlyFAME!M150=0,"",MonthlyFAME!M150)</f>
        <v>757.7</v>
      </c>
      <c r="M148" s="21" t="str">
        <f>IF(MonthlyFAME!N150=0,"",MonthlyFAME!N150)</f>
        <v/>
      </c>
      <c r="N148" s="21" t="str">
        <f>IF(MonthlyFAME!O150=0,"",MonthlyFAME!O150)</f>
        <v/>
      </c>
      <c r="O148" s="21" t="str">
        <f>IF(MonthlyFAME!P150=0,"",MonthlyFAME!P150)</f>
        <v/>
      </c>
      <c r="P148" s="21" t="str">
        <f>IF(MonthlyFAME!Q150=0,"",MonthlyFAME!Q150)</f>
        <v/>
      </c>
      <c r="Q148" s="21" t="str">
        <f>IF(MonthlyFAME!R150=0,"",MonthlyFAME!R150)</f>
        <v/>
      </c>
      <c r="R148" s="21" t="str">
        <f>IF(MonthlyFAME!S150=0,"",MonthlyFAME!S150)</f>
        <v/>
      </c>
      <c r="S148" s="21" t="str">
        <f>IF(MonthlyFAME!T150=0,"",MonthlyFAME!T150)</f>
        <v/>
      </c>
      <c r="T148" s="21" t="str">
        <f>IF(MonthlyFAME!U150=0,"",MonthlyFAME!U150)</f>
        <v/>
      </c>
    </row>
    <row r="149" spans="1:20" x14ac:dyDescent="0.2">
      <c r="A149" s="23">
        <f>IF(MonthlyFAME!A151=0,"",MonthlyFAME!A151)</f>
        <v>26329</v>
      </c>
      <c r="B149" s="21" t="str">
        <f>IF(MonthlyFAME!B151=0,"",MonthlyFAME!B151)</f>
        <v/>
      </c>
      <c r="C149" s="21">
        <f>IF(MonthlyFAME!C151=0,"",MonthlyFAME!C151)</f>
        <v>53.3</v>
      </c>
      <c r="D149" s="21" t="str">
        <f>IF(MonthlyFAME!D151=0,"",MonthlyFAME!D151)</f>
        <v/>
      </c>
      <c r="E149" s="21" t="str">
        <f>IF(MonthlyFAME!F151=0,"",MonthlyFAME!F151)</f>
        <v/>
      </c>
      <c r="F149" s="21" t="str">
        <f>IF(MonthlyFAME!G151=0,"",MonthlyFAME!G151)</f>
        <v/>
      </c>
      <c r="G149" s="21">
        <f>IF(MonthlyFAME!H151=0,"",MonthlyFAME!H151)</f>
        <v>4.4720059470245319</v>
      </c>
      <c r="H149" s="21">
        <f>IF(MonthlyFAME!I151=0,"",MonthlyFAME!I151)</f>
        <v>24416</v>
      </c>
      <c r="I149" s="21">
        <f>IF(MonthlyFAME!J151=0,"",MonthlyFAME!J151)</f>
        <v>863.5</v>
      </c>
      <c r="J149" s="24"/>
      <c r="K149" s="21">
        <f>IF(MonthlyFAME!L151=0,"",MonthlyFAME!L151)</f>
        <v>21.399953557441901</v>
      </c>
      <c r="L149" s="21">
        <f>IF(MonthlyFAME!M151=0,"",MonthlyFAME!M151)</f>
        <v>754.1</v>
      </c>
      <c r="M149" s="21" t="str">
        <f>IF(MonthlyFAME!N151=0,"",MonthlyFAME!N151)</f>
        <v/>
      </c>
      <c r="N149" s="21" t="str">
        <f>IF(MonthlyFAME!O151=0,"",MonthlyFAME!O151)</f>
        <v/>
      </c>
      <c r="O149" s="21" t="str">
        <f>IF(MonthlyFAME!P151=0,"",MonthlyFAME!P151)</f>
        <v/>
      </c>
      <c r="P149" s="21" t="str">
        <f>IF(MonthlyFAME!Q151=0,"",MonthlyFAME!Q151)</f>
        <v/>
      </c>
      <c r="Q149" s="21" t="str">
        <f>IF(MonthlyFAME!R151=0,"",MonthlyFAME!R151)</f>
        <v/>
      </c>
      <c r="R149" s="21" t="str">
        <f>IF(MonthlyFAME!S151=0,"",MonthlyFAME!S151)</f>
        <v/>
      </c>
      <c r="S149" s="21" t="str">
        <f>IF(MonthlyFAME!T151=0,"",MonthlyFAME!T151)</f>
        <v/>
      </c>
      <c r="T149" s="21" t="str">
        <f>IF(MonthlyFAME!U151=0,"",MonthlyFAME!U151)</f>
        <v/>
      </c>
    </row>
    <row r="150" spans="1:20" x14ac:dyDescent="0.2">
      <c r="A150" s="23">
        <f>IF(MonthlyFAME!A152=0,"",MonthlyFAME!A152)</f>
        <v>26358</v>
      </c>
      <c r="B150" s="21" t="str">
        <f>IF(MonthlyFAME!B152=0,"",MonthlyFAME!B152)</f>
        <v/>
      </c>
      <c r="C150" s="21">
        <f>IF(MonthlyFAME!C152=0,"",MonthlyFAME!C152)</f>
        <v>49</v>
      </c>
      <c r="D150" s="21" t="str">
        <f>IF(MonthlyFAME!D152=0,"",MonthlyFAME!D152)</f>
        <v/>
      </c>
      <c r="E150" s="21" t="str">
        <f>IF(MonthlyFAME!F152=0,"",MonthlyFAME!F152)</f>
        <v/>
      </c>
      <c r="F150" s="21" t="str">
        <f>IF(MonthlyFAME!G152=0,"",MonthlyFAME!G152)</f>
        <v/>
      </c>
      <c r="G150" s="21">
        <f>IF(MonthlyFAME!H152=0,"",MonthlyFAME!H152)</f>
        <v>4.4875800656147478</v>
      </c>
      <c r="H150" s="21">
        <f>IF(MonthlyFAME!I152=0,"",MonthlyFAME!I152)</f>
        <v>24455</v>
      </c>
      <c r="I150" s="21">
        <f>IF(MonthlyFAME!J152=0,"",MonthlyFAME!J152)</f>
        <v>866.1</v>
      </c>
      <c r="J150" s="24"/>
      <c r="K150" s="21">
        <f>IF(MonthlyFAME!L152=0,"",MonthlyFAME!L152)</f>
        <v>21.478132919639101</v>
      </c>
      <c r="L150" s="21">
        <f>IF(MonthlyFAME!M152=0,"",MonthlyFAME!M152)</f>
        <v>768.5</v>
      </c>
      <c r="M150" s="21" t="str">
        <f>IF(MonthlyFAME!N152=0,"",MonthlyFAME!N152)</f>
        <v/>
      </c>
      <c r="N150" s="21" t="str">
        <f>IF(MonthlyFAME!O152=0,"",MonthlyFAME!O152)</f>
        <v/>
      </c>
      <c r="O150" s="21" t="str">
        <f>IF(MonthlyFAME!P152=0,"",MonthlyFAME!P152)</f>
        <v/>
      </c>
      <c r="P150" s="21" t="str">
        <f>IF(MonthlyFAME!Q152=0,"",MonthlyFAME!Q152)</f>
        <v/>
      </c>
      <c r="Q150" s="21" t="str">
        <f>IF(MonthlyFAME!R152=0,"",MonthlyFAME!R152)</f>
        <v/>
      </c>
      <c r="R150" s="21" t="str">
        <f>IF(MonthlyFAME!S152=0,"",MonthlyFAME!S152)</f>
        <v/>
      </c>
      <c r="S150" s="21" t="str">
        <f>IF(MonthlyFAME!T152=0,"",MonthlyFAME!T152)</f>
        <v/>
      </c>
      <c r="T150" s="21" t="str">
        <f>IF(MonthlyFAME!U152=0,"",MonthlyFAME!U152)</f>
        <v/>
      </c>
    </row>
    <row r="151" spans="1:20" x14ac:dyDescent="0.2">
      <c r="A151" s="23">
        <f>IF(MonthlyFAME!A153=0,"",MonthlyFAME!A153)</f>
        <v>26389</v>
      </c>
      <c r="B151" s="21" t="str">
        <f>IF(MonthlyFAME!B153=0,"",MonthlyFAME!B153)</f>
        <v/>
      </c>
      <c r="C151" s="21">
        <f>IF(MonthlyFAME!C153=0,"",MonthlyFAME!C153)</f>
        <v>53.8</v>
      </c>
      <c r="D151" s="21" t="str">
        <f>IF(MonthlyFAME!D153=0,"",MonthlyFAME!D153)</f>
        <v/>
      </c>
      <c r="E151" s="21" t="str">
        <f>IF(MonthlyFAME!F153=0,"",MonthlyFAME!F153)</f>
        <v/>
      </c>
      <c r="F151" s="21" t="str">
        <f>IF(MonthlyFAME!G153=0,"",MonthlyFAME!G153)</f>
        <v/>
      </c>
      <c r="G151" s="21">
        <f>IF(MonthlyFAME!H153=0,"",MonthlyFAME!H153)</f>
        <v>4.5018709073900842</v>
      </c>
      <c r="H151" s="21">
        <f>IF(MonthlyFAME!I153=0,"",MonthlyFAME!I153)</f>
        <v>24501</v>
      </c>
      <c r="I151" s="21">
        <f>IF(MonthlyFAME!J153=0,"",MonthlyFAME!J153)</f>
        <v>868.7</v>
      </c>
      <c r="J151" s="24"/>
      <c r="K151" s="21">
        <f>IF(MonthlyFAME!L153=0,"",MonthlyFAME!L153)</f>
        <v>22.0553870505471</v>
      </c>
      <c r="L151" s="21">
        <f>IF(MonthlyFAME!M153=0,"",MonthlyFAME!M153)</f>
        <v>779.6</v>
      </c>
      <c r="M151" s="21" t="str">
        <f>IF(MonthlyFAME!N153=0,"",MonthlyFAME!N153)</f>
        <v/>
      </c>
      <c r="N151" s="21" t="str">
        <f>IF(MonthlyFAME!O153=0,"",MonthlyFAME!O153)</f>
        <v/>
      </c>
      <c r="O151" s="21" t="str">
        <f>IF(MonthlyFAME!P153=0,"",MonthlyFAME!P153)</f>
        <v/>
      </c>
      <c r="P151" s="21" t="str">
        <f>IF(MonthlyFAME!Q153=0,"",MonthlyFAME!Q153)</f>
        <v/>
      </c>
      <c r="Q151" s="21" t="str">
        <f>IF(MonthlyFAME!R153=0,"",MonthlyFAME!R153)</f>
        <v/>
      </c>
      <c r="R151" s="21" t="str">
        <f>IF(MonthlyFAME!S153=0,"",MonthlyFAME!S153)</f>
        <v/>
      </c>
      <c r="S151" s="21" t="str">
        <f>IF(MonthlyFAME!T153=0,"",MonthlyFAME!T153)</f>
        <v/>
      </c>
      <c r="T151" s="21" t="str">
        <f>IF(MonthlyFAME!U153=0,"",MonthlyFAME!U153)</f>
        <v/>
      </c>
    </row>
    <row r="152" spans="1:20" x14ac:dyDescent="0.2">
      <c r="A152" s="23">
        <f>IF(MonthlyFAME!A154=0,"",MonthlyFAME!A154)</f>
        <v>26419</v>
      </c>
      <c r="B152" s="21" t="str">
        <f>IF(MonthlyFAME!B154=0,"",MonthlyFAME!B154)</f>
        <v/>
      </c>
      <c r="C152" s="21">
        <f>IF(MonthlyFAME!C154=0,"",MonthlyFAME!C154)</f>
        <v>55.2</v>
      </c>
      <c r="D152" s="21" t="str">
        <f>IF(MonthlyFAME!D154=0,"",MonthlyFAME!D154)</f>
        <v/>
      </c>
      <c r="E152" s="21" t="str">
        <f>IF(MonthlyFAME!F154=0,"",MonthlyFAME!F154)</f>
        <v/>
      </c>
      <c r="F152" s="21" t="str">
        <f>IF(MonthlyFAME!G154=0,"",MonthlyFAME!G154)</f>
        <v/>
      </c>
      <c r="G152" s="21">
        <f>IF(MonthlyFAME!H154=0,"",MonthlyFAME!H154)</f>
        <v>4.5192681977423126</v>
      </c>
      <c r="H152" s="21">
        <f>IF(MonthlyFAME!I154=0,"",MonthlyFAME!I154)</f>
        <v>24529</v>
      </c>
      <c r="I152" s="21">
        <f>IF(MonthlyFAME!J154=0,"",MonthlyFAME!J154)</f>
        <v>870.7</v>
      </c>
      <c r="J152" s="24"/>
      <c r="K152" s="21">
        <f>IF(MonthlyFAME!L154=0,"",MonthlyFAME!L154)</f>
        <v>22.4160929707039</v>
      </c>
      <c r="L152" s="21">
        <f>IF(MonthlyFAME!M154=0,"",MonthlyFAME!M154)</f>
        <v>775.9</v>
      </c>
      <c r="M152" s="21" t="str">
        <f>IF(MonthlyFAME!N154=0,"",MonthlyFAME!N154)</f>
        <v/>
      </c>
      <c r="N152" s="21" t="str">
        <f>IF(MonthlyFAME!O154=0,"",MonthlyFAME!O154)</f>
        <v/>
      </c>
      <c r="O152" s="21" t="str">
        <f>IF(MonthlyFAME!P154=0,"",MonthlyFAME!P154)</f>
        <v/>
      </c>
      <c r="P152" s="21" t="str">
        <f>IF(MonthlyFAME!Q154=0,"",MonthlyFAME!Q154)</f>
        <v/>
      </c>
      <c r="Q152" s="21" t="str">
        <f>IF(MonthlyFAME!R154=0,"",MonthlyFAME!R154)</f>
        <v/>
      </c>
      <c r="R152" s="21" t="str">
        <f>IF(MonthlyFAME!S154=0,"",MonthlyFAME!S154)</f>
        <v/>
      </c>
      <c r="S152" s="21" t="str">
        <f>IF(MonthlyFAME!T154=0,"",MonthlyFAME!T154)</f>
        <v/>
      </c>
      <c r="T152" s="21" t="str">
        <f>IF(MonthlyFAME!U154=0,"",MonthlyFAME!U154)</f>
        <v/>
      </c>
    </row>
    <row r="153" spans="1:20" x14ac:dyDescent="0.2">
      <c r="A153" s="23">
        <f>IF(MonthlyFAME!A155=0,"",MonthlyFAME!A155)</f>
        <v>26450</v>
      </c>
      <c r="B153" s="21" t="str">
        <f>IF(MonthlyFAME!B155=0,"",MonthlyFAME!B155)</f>
        <v/>
      </c>
      <c r="C153" s="21">
        <f>IF(MonthlyFAME!C155=0,"",MonthlyFAME!C155)</f>
        <v>56.2</v>
      </c>
      <c r="D153" s="21" t="str">
        <f>IF(MonthlyFAME!D155=0,"",MonthlyFAME!D155)</f>
        <v/>
      </c>
      <c r="E153" s="21" t="str">
        <f>IF(MonthlyFAME!F155=0,"",MonthlyFAME!F155)</f>
        <v/>
      </c>
      <c r="F153" s="21" t="str">
        <f>IF(MonthlyFAME!G155=0,"",MonthlyFAME!G155)</f>
        <v/>
      </c>
      <c r="G153" s="21">
        <f>IF(MonthlyFAME!H155=0,"",MonthlyFAME!H155)</f>
        <v>4.4952128901689115</v>
      </c>
      <c r="H153" s="21">
        <f>IF(MonthlyFAME!I155=0,"",MonthlyFAME!I155)</f>
        <v>24539</v>
      </c>
      <c r="I153" s="21">
        <f>IF(MonthlyFAME!J155=0,"",MonthlyFAME!J155)</f>
        <v>872</v>
      </c>
      <c r="J153" s="24"/>
      <c r="K153" s="21">
        <f>IF(MonthlyFAME!L155=0,"",MonthlyFAME!L155)</f>
        <v>22.477109426537599</v>
      </c>
      <c r="L153" s="21">
        <f>IF(MonthlyFAME!M155=0,"",MonthlyFAME!M155)</f>
        <v>745.8</v>
      </c>
      <c r="M153" s="21" t="str">
        <f>IF(MonthlyFAME!N155=0,"",MonthlyFAME!N155)</f>
        <v/>
      </c>
      <c r="N153" s="21" t="str">
        <f>IF(MonthlyFAME!O155=0,"",MonthlyFAME!O155)</f>
        <v/>
      </c>
      <c r="O153" s="21" t="str">
        <f>IF(MonthlyFAME!P155=0,"",MonthlyFAME!P155)</f>
        <v/>
      </c>
      <c r="P153" s="21" t="str">
        <f>IF(MonthlyFAME!Q155=0,"",MonthlyFAME!Q155)</f>
        <v/>
      </c>
      <c r="Q153" s="21" t="str">
        <f>IF(MonthlyFAME!R155=0,"",MonthlyFAME!R155)</f>
        <v/>
      </c>
      <c r="R153" s="21" t="str">
        <f>IF(MonthlyFAME!S155=0,"",MonthlyFAME!S155)</f>
        <v/>
      </c>
      <c r="S153" s="21" t="str">
        <f>IF(MonthlyFAME!T155=0,"",MonthlyFAME!T155)</f>
        <v/>
      </c>
      <c r="T153" s="21" t="str">
        <f>IF(MonthlyFAME!U155=0,"",MonthlyFAME!U155)</f>
        <v/>
      </c>
    </row>
    <row r="154" spans="1:20" x14ac:dyDescent="0.2">
      <c r="A154" s="23">
        <f>IF(MonthlyFAME!A156=0,"",MonthlyFAME!A156)</f>
        <v>26480</v>
      </c>
      <c r="B154" s="21" t="str">
        <f>IF(MonthlyFAME!B156=0,"",MonthlyFAME!B156)</f>
        <v/>
      </c>
      <c r="C154" s="21">
        <f>IF(MonthlyFAME!C156=0,"",MonthlyFAME!C156)</f>
        <v>56.5</v>
      </c>
      <c r="D154" s="21" t="str">
        <f>IF(MonthlyFAME!D156=0,"",MonthlyFAME!D156)</f>
        <v/>
      </c>
      <c r="E154" s="21" t="str">
        <f>IF(MonthlyFAME!F156=0,"",MonthlyFAME!F156)</f>
        <v/>
      </c>
      <c r="F154" s="21" t="str">
        <f>IF(MonthlyFAME!G156=0,"",MonthlyFAME!G156)</f>
        <v/>
      </c>
      <c r="G154" s="21">
        <f>IF(MonthlyFAME!H156=0,"",MonthlyFAME!H156)</f>
        <v>4.4389066272097191</v>
      </c>
      <c r="H154" s="21">
        <f>IF(MonthlyFAME!I156=0,"",MonthlyFAME!I156)</f>
        <v>24542</v>
      </c>
      <c r="I154" s="21">
        <f>IF(MonthlyFAME!J156=0,"",MonthlyFAME!J156)</f>
        <v>873.1</v>
      </c>
      <c r="J154" s="24"/>
      <c r="K154" s="21">
        <f>IF(MonthlyFAME!L156=0,"",MonthlyFAME!L156)</f>
        <v>22.641926930903001</v>
      </c>
      <c r="L154" s="21">
        <f>IF(MonthlyFAME!M156=0,"",MonthlyFAME!M156)</f>
        <v>722.4</v>
      </c>
      <c r="M154" s="21" t="str">
        <f>IF(MonthlyFAME!N156=0,"",MonthlyFAME!N156)</f>
        <v/>
      </c>
      <c r="N154" s="21" t="str">
        <f>IF(MonthlyFAME!O156=0,"",MonthlyFAME!O156)</f>
        <v/>
      </c>
      <c r="O154" s="21" t="str">
        <f>IF(MonthlyFAME!P156=0,"",MonthlyFAME!P156)</f>
        <v/>
      </c>
      <c r="P154" s="21" t="str">
        <f>IF(MonthlyFAME!Q156=0,"",MonthlyFAME!Q156)</f>
        <v/>
      </c>
      <c r="Q154" s="21" t="str">
        <f>IF(MonthlyFAME!R156=0,"",MonthlyFAME!R156)</f>
        <v/>
      </c>
      <c r="R154" s="21" t="str">
        <f>IF(MonthlyFAME!S156=0,"",MonthlyFAME!S156)</f>
        <v/>
      </c>
      <c r="S154" s="21" t="str">
        <f>IF(MonthlyFAME!T156=0,"",MonthlyFAME!T156)</f>
        <v/>
      </c>
      <c r="T154" s="21" t="str">
        <f>IF(MonthlyFAME!U156=0,"",MonthlyFAME!U156)</f>
        <v/>
      </c>
    </row>
    <row r="155" spans="1:20" x14ac:dyDescent="0.2">
      <c r="A155" s="23">
        <f>IF(MonthlyFAME!A157=0,"",MonthlyFAME!A157)</f>
        <v>26511</v>
      </c>
      <c r="B155" s="21" t="str">
        <f>IF(MonthlyFAME!B157=0,"",MonthlyFAME!B157)</f>
        <v/>
      </c>
      <c r="C155" s="21">
        <f>IF(MonthlyFAME!C157=0,"",MonthlyFAME!C157)</f>
        <v>55.9</v>
      </c>
      <c r="D155" s="21" t="str">
        <f>IF(MonthlyFAME!D157=0,"",MonthlyFAME!D157)</f>
        <v/>
      </c>
      <c r="E155" s="21" t="str">
        <f>IF(MonthlyFAME!F157=0,"",MonthlyFAME!F157)</f>
        <v/>
      </c>
      <c r="F155" s="21" t="str">
        <f>IF(MonthlyFAME!G157=0,"",MonthlyFAME!G157)</f>
        <v/>
      </c>
      <c r="G155" s="21">
        <f>IF(MonthlyFAME!H157=0,"",MonthlyFAME!H157)</f>
        <v>4.3720531504500642</v>
      </c>
      <c r="H155" s="21">
        <f>IF(MonthlyFAME!I157=0,"",MonthlyFAME!I157)</f>
        <v>24541</v>
      </c>
      <c r="I155" s="21">
        <f>IF(MonthlyFAME!J157=0,"",MonthlyFAME!J157)</f>
        <v>873.7</v>
      </c>
      <c r="J155" s="24"/>
      <c r="K155" s="21">
        <f>IF(MonthlyFAME!L157=0,"",MonthlyFAME!L157)</f>
        <v>22.936937741656202</v>
      </c>
      <c r="L155" s="21">
        <f>IF(MonthlyFAME!M157=0,"",MonthlyFAME!M157)</f>
        <v>709.8</v>
      </c>
      <c r="M155" s="21" t="str">
        <f>IF(MonthlyFAME!N157=0,"",MonthlyFAME!N157)</f>
        <v/>
      </c>
      <c r="N155" s="21" t="str">
        <f>IF(MonthlyFAME!O157=0,"",MonthlyFAME!O157)</f>
        <v/>
      </c>
      <c r="O155" s="21" t="str">
        <f>IF(MonthlyFAME!P157=0,"",MonthlyFAME!P157)</f>
        <v/>
      </c>
      <c r="P155" s="21" t="str">
        <f>IF(MonthlyFAME!Q157=0,"",MonthlyFAME!Q157)</f>
        <v/>
      </c>
      <c r="Q155" s="21" t="str">
        <f>IF(MonthlyFAME!R157=0,"",MonthlyFAME!R157)</f>
        <v/>
      </c>
      <c r="R155" s="21" t="str">
        <f>IF(MonthlyFAME!S157=0,"",MonthlyFAME!S157)</f>
        <v/>
      </c>
      <c r="S155" s="21" t="str">
        <f>IF(MonthlyFAME!T157=0,"",MonthlyFAME!T157)</f>
        <v/>
      </c>
      <c r="T155" s="21" t="str">
        <f>IF(MonthlyFAME!U157=0,"",MonthlyFAME!U157)</f>
        <v/>
      </c>
    </row>
    <row r="156" spans="1:20" x14ac:dyDescent="0.2">
      <c r="A156" s="23">
        <f>IF(MonthlyFAME!A158=0,"",MonthlyFAME!A158)</f>
        <v>26542</v>
      </c>
      <c r="B156" s="21" t="str">
        <f>IF(MonthlyFAME!B158=0,"",MonthlyFAME!B158)</f>
        <v/>
      </c>
      <c r="C156" s="21">
        <f>IF(MonthlyFAME!C158=0,"",MonthlyFAME!C158)</f>
        <v>56.4</v>
      </c>
      <c r="D156" s="21" t="str">
        <f>IF(MonthlyFAME!D158=0,"",MonthlyFAME!D158)</f>
        <v/>
      </c>
      <c r="E156" s="21" t="str">
        <f>IF(MonthlyFAME!F158=0,"",MonthlyFAME!F158)</f>
        <v/>
      </c>
      <c r="F156" s="21" t="str">
        <f>IF(MonthlyFAME!G158=0,"",MonthlyFAME!G158)</f>
        <v/>
      </c>
      <c r="G156" s="21">
        <f>IF(MonthlyFAME!H158=0,"",MonthlyFAME!H158)</f>
        <v>4.3134351620947635</v>
      </c>
      <c r="H156" s="21">
        <f>IF(MonthlyFAME!I158=0,"",MonthlyFAME!I158)</f>
        <v>24557</v>
      </c>
      <c r="I156" s="21">
        <f>IF(MonthlyFAME!J158=0,"",MonthlyFAME!J158)</f>
        <v>875</v>
      </c>
      <c r="J156" s="24"/>
      <c r="K156" s="21">
        <f>IF(MonthlyFAME!L158=0,"",MonthlyFAME!L158)</f>
        <v>23.194520267139499</v>
      </c>
      <c r="L156" s="21">
        <f>IF(MonthlyFAME!M158=0,"",MonthlyFAME!M158)</f>
        <v>692.7</v>
      </c>
      <c r="M156" s="21" t="str">
        <f>IF(MonthlyFAME!N158=0,"",MonthlyFAME!N158)</f>
        <v/>
      </c>
      <c r="N156" s="21" t="str">
        <f>IF(MonthlyFAME!O158=0,"",MonthlyFAME!O158)</f>
        <v/>
      </c>
      <c r="O156" s="21" t="str">
        <f>IF(MonthlyFAME!P158=0,"",MonthlyFAME!P158)</f>
        <v/>
      </c>
      <c r="P156" s="21" t="str">
        <f>IF(MonthlyFAME!Q158=0,"",MonthlyFAME!Q158)</f>
        <v/>
      </c>
      <c r="Q156" s="21" t="str">
        <f>IF(MonthlyFAME!R158=0,"",MonthlyFAME!R158)</f>
        <v/>
      </c>
      <c r="R156" s="21" t="str">
        <f>IF(MonthlyFAME!S158=0,"",MonthlyFAME!S158)</f>
        <v/>
      </c>
      <c r="S156" s="21" t="str">
        <f>IF(MonthlyFAME!T158=0,"",MonthlyFAME!T158)</f>
        <v/>
      </c>
      <c r="T156" s="21" t="str">
        <f>IF(MonthlyFAME!U158=0,"",MonthlyFAME!U158)</f>
        <v/>
      </c>
    </row>
    <row r="157" spans="1:20" x14ac:dyDescent="0.2">
      <c r="A157" s="23">
        <f>IF(MonthlyFAME!A159=0,"",MonthlyFAME!A159)</f>
        <v>26572</v>
      </c>
      <c r="B157" s="21" t="str">
        <f>IF(MonthlyFAME!B159=0,"",MonthlyFAME!B159)</f>
        <v/>
      </c>
      <c r="C157" s="21">
        <f>IF(MonthlyFAME!C159=0,"",MonthlyFAME!C159)</f>
        <v>57.3</v>
      </c>
      <c r="D157" s="21" t="str">
        <f>IF(MonthlyFAME!D159=0,"",MonthlyFAME!D159)</f>
        <v/>
      </c>
      <c r="E157" s="21" t="str">
        <f>IF(MonthlyFAME!F159=0,"",MonthlyFAME!F159)</f>
        <v/>
      </c>
      <c r="F157" s="21" t="str">
        <f>IF(MonthlyFAME!G159=0,"",MonthlyFAME!G159)</f>
        <v/>
      </c>
      <c r="G157" s="21">
        <f>IF(MonthlyFAME!H159=0,"",MonthlyFAME!H159)</f>
        <v>4.282655246252677</v>
      </c>
      <c r="H157" s="21">
        <f>IF(MonthlyFAME!I159=0,"",MonthlyFAME!I159)</f>
        <v>24585</v>
      </c>
      <c r="I157" s="21">
        <f>IF(MonthlyFAME!J159=0,"",MonthlyFAME!J159)</f>
        <v>876.7</v>
      </c>
      <c r="J157" s="24"/>
      <c r="K157" s="21">
        <f>IF(MonthlyFAME!L159=0,"",MonthlyFAME!L159)</f>
        <v>23.552278321103501</v>
      </c>
      <c r="L157" s="21">
        <f>IF(MonthlyFAME!M159=0,"",MonthlyFAME!M159)</f>
        <v>696.7</v>
      </c>
      <c r="M157" s="21" t="str">
        <f>IF(MonthlyFAME!N159=0,"",MonthlyFAME!N159)</f>
        <v/>
      </c>
      <c r="N157" s="21" t="str">
        <f>IF(MonthlyFAME!O159=0,"",MonthlyFAME!O159)</f>
        <v/>
      </c>
      <c r="O157" s="21" t="str">
        <f>IF(MonthlyFAME!P159=0,"",MonthlyFAME!P159)</f>
        <v/>
      </c>
      <c r="P157" s="21" t="str">
        <f>IF(MonthlyFAME!Q159=0,"",MonthlyFAME!Q159)</f>
        <v/>
      </c>
      <c r="Q157" s="21" t="str">
        <f>IF(MonthlyFAME!R159=0,"",MonthlyFAME!R159)</f>
        <v/>
      </c>
      <c r="R157" s="21" t="str">
        <f>IF(MonthlyFAME!S159=0,"",MonthlyFAME!S159)</f>
        <v/>
      </c>
      <c r="S157" s="21" t="str">
        <f>IF(MonthlyFAME!T159=0,"",MonthlyFAME!T159)</f>
        <v/>
      </c>
      <c r="T157" s="21" t="str">
        <f>IF(MonthlyFAME!U159=0,"",MonthlyFAME!U159)</f>
        <v/>
      </c>
    </row>
    <row r="158" spans="1:20" x14ac:dyDescent="0.2">
      <c r="A158" s="23">
        <f>IF(MonthlyFAME!A160=0,"",MonthlyFAME!A160)</f>
        <v>26603</v>
      </c>
      <c r="B158" s="21" t="str">
        <f>IF(MonthlyFAME!B160=0,"",MonthlyFAME!B160)</f>
        <v/>
      </c>
      <c r="C158" s="21">
        <f>IF(MonthlyFAME!C160=0,"",MonthlyFAME!C160)</f>
        <v>58</v>
      </c>
      <c r="D158" s="21" t="str">
        <f>IF(MonthlyFAME!D160=0,"",MonthlyFAME!D160)</f>
        <v/>
      </c>
      <c r="E158" s="21" t="str">
        <f>IF(MonthlyFAME!F160=0,"",MonthlyFAME!F160)</f>
        <v/>
      </c>
      <c r="F158" s="21" t="str">
        <f>IF(MonthlyFAME!G160=0,"",MonthlyFAME!G160)</f>
        <v/>
      </c>
      <c r="G158" s="21">
        <f>IF(MonthlyFAME!H160=0,"",MonthlyFAME!H160)</f>
        <v>4.2480354780984984</v>
      </c>
      <c r="H158" s="21">
        <f>IF(MonthlyFAME!I160=0,"",MonthlyFAME!I160)</f>
        <v>24614</v>
      </c>
      <c r="I158" s="21">
        <f>IF(MonthlyFAME!J160=0,"",MonthlyFAME!J160)</f>
        <v>878.3</v>
      </c>
      <c r="J158" s="24"/>
      <c r="K158" s="21">
        <f>IF(MonthlyFAME!L160=0,"",MonthlyFAME!L160)</f>
        <v>24.0561521340361</v>
      </c>
      <c r="L158" s="21">
        <f>IF(MonthlyFAME!M160=0,"",MonthlyFAME!M160)</f>
        <v>680.7</v>
      </c>
      <c r="M158" s="21" t="str">
        <f>IF(MonthlyFAME!N160=0,"",MonthlyFAME!N160)</f>
        <v/>
      </c>
      <c r="N158" s="21" t="str">
        <f>IF(MonthlyFAME!O160=0,"",MonthlyFAME!O160)</f>
        <v/>
      </c>
      <c r="O158" s="21" t="str">
        <f>IF(MonthlyFAME!P160=0,"",MonthlyFAME!P160)</f>
        <v/>
      </c>
      <c r="P158" s="21" t="str">
        <f>IF(MonthlyFAME!Q160=0,"",MonthlyFAME!Q160)</f>
        <v/>
      </c>
      <c r="Q158" s="21" t="str">
        <f>IF(MonthlyFAME!R160=0,"",MonthlyFAME!R160)</f>
        <v/>
      </c>
      <c r="R158" s="21" t="str">
        <f>IF(MonthlyFAME!S160=0,"",MonthlyFAME!S160)</f>
        <v/>
      </c>
      <c r="S158" s="21" t="str">
        <f>IF(MonthlyFAME!T160=0,"",MonthlyFAME!T160)</f>
        <v/>
      </c>
      <c r="T158" s="21" t="str">
        <f>IF(MonthlyFAME!U160=0,"",MonthlyFAME!U160)</f>
        <v/>
      </c>
    </row>
    <row r="159" spans="1:20" x14ac:dyDescent="0.2">
      <c r="A159" s="23">
        <f>IF(MonthlyFAME!A161=0,"",MonthlyFAME!A161)</f>
        <v>26633</v>
      </c>
      <c r="B159" s="21" t="str">
        <f>IF(MonthlyFAME!B161=0,"",MonthlyFAME!B161)</f>
        <v/>
      </c>
      <c r="C159" s="21">
        <f>IF(MonthlyFAME!C161=0,"",MonthlyFAME!C161)</f>
        <v>58.5</v>
      </c>
      <c r="D159" s="21" t="str">
        <f>IF(MonthlyFAME!D161=0,"",MonthlyFAME!D161)</f>
        <v/>
      </c>
      <c r="E159" s="21" t="str">
        <f>IF(MonthlyFAME!F161=0,"",MonthlyFAME!F161)</f>
        <v/>
      </c>
      <c r="F159" s="21" t="str">
        <f>IF(MonthlyFAME!G161=0,"",MonthlyFAME!G161)</f>
        <v/>
      </c>
      <c r="G159" s="21">
        <f>IF(MonthlyFAME!H161=0,"",MonthlyFAME!H161)</f>
        <v>4.217195273631841</v>
      </c>
      <c r="H159" s="21">
        <f>IF(MonthlyFAME!I161=0,"",MonthlyFAME!I161)</f>
        <v>24643</v>
      </c>
      <c r="I159" s="21">
        <f>IF(MonthlyFAME!J161=0,"",MonthlyFAME!J161)</f>
        <v>879.8</v>
      </c>
      <c r="J159" s="24"/>
      <c r="K159" s="21">
        <f>IF(MonthlyFAME!L161=0,"",MonthlyFAME!L161)</f>
        <v>24.218340886101899</v>
      </c>
      <c r="L159" s="21">
        <f>IF(MonthlyFAME!M161=0,"",MonthlyFAME!M161)</f>
        <v>666.2</v>
      </c>
      <c r="M159" s="21" t="str">
        <f>IF(MonthlyFAME!N161=0,"",MonthlyFAME!N161)</f>
        <v/>
      </c>
      <c r="N159" s="21" t="str">
        <f>IF(MonthlyFAME!O161=0,"",MonthlyFAME!O161)</f>
        <v/>
      </c>
      <c r="O159" s="21" t="str">
        <f>IF(MonthlyFAME!P161=0,"",MonthlyFAME!P161)</f>
        <v/>
      </c>
      <c r="P159" s="21" t="str">
        <f>IF(MonthlyFAME!Q161=0,"",MonthlyFAME!Q161)</f>
        <v/>
      </c>
      <c r="Q159" s="21" t="str">
        <f>IF(MonthlyFAME!R161=0,"",MonthlyFAME!R161)</f>
        <v/>
      </c>
      <c r="R159" s="21" t="str">
        <f>IF(MonthlyFAME!S161=0,"",MonthlyFAME!S161)</f>
        <v/>
      </c>
      <c r="S159" s="21" t="str">
        <f>IF(MonthlyFAME!T161=0,"",MonthlyFAME!T161)</f>
        <v/>
      </c>
      <c r="T159" s="21" t="str">
        <f>IF(MonthlyFAME!U161=0,"",MonthlyFAME!U161)</f>
        <v/>
      </c>
    </row>
    <row r="160" spans="1:20" x14ac:dyDescent="0.2">
      <c r="A160" s="23">
        <f>IF(MonthlyFAME!A162=0,"",MonthlyFAME!A162)</f>
        <v>26664</v>
      </c>
      <c r="B160" s="21" t="str">
        <f>IF(MonthlyFAME!B162=0,"",MonthlyFAME!B162)</f>
        <v/>
      </c>
      <c r="C160" s="21">
        <f>IF(MonthlyFAME!C162=0,"",MonthlyFAME!C162)</f>
        <v>58.9</v>
      </c>
      <c r="D160" s="21" t="str">
        <f>IF(MonthlyFAME!D162=0,"",MonthlyFAME!D162)</f>
        <v/>
      </c>
      <c r="E160" s="21" t="str">
        <f>IF(MonthlyFAME!F162=0,"",MonthlyFAME!F162)</f>
        <v/>
      </c>
      <c r="F160" s="21" t="str">
        <f>IF(MonthlyFAME!G162=0,"",MonthlyFAME!G162)</f>
        <v/>
      </c>
      <c r="G160" s="21">
        <f>IF(MonthlyFAME!H162=0,"",MonthlyFAME!H162)</f>
        <v>4.1538879614891879</v>
      </c>
      <c r="H160" s="21">
        <f>IF(MonthlyFAME!I162=0,"",MonthlyFAME!I162)</f>
        <v>24689</v>
      </c>
      <c r="I160" s="21">
        <f>IF(MonthlyFAME!J162=0,"",MonthlyFAME!J162)</f>
        <v>881.9</v>
      </c>
      <c r="J160" s="24"/>
      <c r="K160" s="21">
        <f>IF(MonthlyFAME!L162=0,"",MonthlyFAME!L162)</f>
        <v>24.3892134373808</v>
      </c>
      <c r="L160" s="21">
        <f>IF(MonthlyFAME!M162=0,"",MonthlyFAME!M162)</f>
        <v>639.4</v>
      </c>
      <c r="M160" s="21" t="str">
        <f>IF(MonthlyFAME!N162=0,"",MonthlyFAME!N162)</f>
        <v/>
      </c>
      <c r="N160" s="21" t="str">
        <f>IF(MonthlyFAME!O162=0,"",MonthlyFAME!O162)</f>
        <v/>
      </c>
      <c r="O160" s="21" t="str">
        <f>IF(MonthlyFAME!P162=0,"",MonthlyFAME!P162)</f>
        <v/>
      </c>
      <c r="P160" s="21" t="str">
        <f>IF(MonthlyFAME!Q162=0,"",MonthlyFAME!Q162)</f>
        <v/>
      </c>
      <c r="Q160" s="21" t="str">
        <f>IF(MonthlyFAME!R162=0,"",MonthlyFAME!R162)</f>
        <v/>
      </c>
      <c r="R160" s="21" t="str">
        <f>IF(MonthlyFAME!S162=0,"",MonthlyFAME!S162)</f>
        <v/>
      </c>
      <c r="S160" s="21" t="str">
        <f>IF(MonthlyFAME!T162=0,"",MonthlyFAME!T162)</f>
        <v/>
      </c>
      <c r="T160" s="21" t="str">
        <f>IF(MonthlyFAME!U162=0,"",MonthlyFAME!U162)</f>
        <v/>
      </c>
    </row>
    <row r="161" spans="1:20" x14ac:dyDescent="0.2">
      <c r="A161" s="23">
        <f>IF(MonthlyFAME!A163=0,"",MonthlyFAME!A163)</f>
        <v>26695</v>
      </c>
      <c r="B161" s="21" t="str">
        <f>IF(MonthlyFAME!B163=0,"",MonthlyFAME!B163)</f>
        <v/>
      </c>
      <c r="C161" s="21">
        <f>IF(MonthlyFAME!C163=0,"",MonthlyFAME!C163)</f>
        <v>60.7</v>
      </c>
      <c r="D161" s="21" t="str">
        <f>IF(MonthlyFAME!D163=0,"",MonthlyFAME!D163)</f>
        <v/>
      </c>
      <c r="E161" s="21" t="str">
        <f>IF(MonthlyFAME!F163=0,"",MonthlyFAME!F163)</f>
        <v/>
      </c>
      <c r="F161" s="21" t="str">
        <f>IF(MonthlyFAME!G163=0,"",MonthlyFAME!G163)</f>
        <v/>
      </c>
      <c r="G161" s="21">
        <f>IF(MonthlyFAME!H163=0,"",MonthlyFAME!H163)</f>
        <v>4.0663643059270456</v>
      </c>
      <c r="H161" s="21">
        <f>IF(MonthlyFAME!I163=0,"",MonthlyFAME!I163)</f>
        <v>24748</v>
      </c>
      <c r="I161" s="21">
        <f>IF(MonthlyFAME!J163=0,"",MonthlyFAME!J163)</f>
        <v>884.4</v>
      </c>
      <c r="J161" s="24"/>
      <c r="K161" s="21">
        <f>IF(MonthlyFAME!L163=0,"",MonthlyFAME!L163)</f>
        <v>24.689405990381001</v>
      </c>
      <c r="L161" s="21">
        <f>IF(MonthlyFAME!M163=0,"",MonthlyFAME!M163)</f>
        <v>603.70000000000005</v>
      </c>
      <c r="M161" s="21" t="str">
        <f>IF(MonthlyFAME!N163=0,"",MonthlyFAME!N163)</f>
        <v/>
      </c>
      <c r="N161" s="21" t="str">
        <f>IF(MonthlyFAME!O163=0,"",MonthlyFAME!O163)</f>
        <v/>
      </c>
      <c r="O161" s="21" t="str">
        <f>IF(MonthlyFAME!P163=0,"",MonthlyFAME!P163)</f>
        <v/>
      </c>
      <c r="P161" s="21" t="str">
        <f>IF(MonthlyFAME!Q163=0,"",MonthlyFAME!Q163)</f>
        <v/>
      </c>
      <c r="Q161" s="21" t="str">
        <f>IF(MonthlyFAME!R163=0,"",MonthlyFAME!R163)</f>
        <v/>
      </c>
      <c r="R161" s="21" t="str">
        <f>IF(MonthlyFAME!S163=0,"",MonthlyFAME!S163)</f>
        <v/>
      </c>
      <c r="S161" s="21" t="str">
        <f>IF(MonthlyFAME!T163=0,"",MonthlyFAME!T163)</f>
        <v/>
      </c>
      <c r="T161" s="21" t="str">
        <f>IF(MonthlyFAME!U163=0,"",MonthlyFAME!U163)</f>
        <v/>
      </c>
    </row>
    <row r="162" spans="1:20" x14ac:dyDescent="0.2">
      <c r="A162" s="23">
        <f>IF(MonthlyFAME!A164=0,"",MonthlyFAME!A164)</f>
        <v>26723</v>
      </c>
      <c r="B162" s="21" t="str">
        <f>IF(MonthlyFAME!B164=0,"",MonthlyFAME!B164)</f>
        <v/>
      </c>
      <c r="C162" s="21">
        <f>IF(MonthlyFAME!C164=0,"",MonthlyFAME!C164)</f>
        <v>60.2</v>
      </c>
      <c r="D162" s="21" t="str">
        <f>IF(MonthlyFAME!D164=0,"",MonthlyFAME!D164)</f>
        <v/>
      </c>
      <c r="E162" s="21" t="str">
        <f>IF(MonthlyFAME!F164=0,"",MonthlyFAME!F164)</f>
        <v/>
      </c>
      <c r="F162" s="21" t="str">
        <f>IF(MonthlyFAME!G164=0,"",MonthlyFAME!G164)</f>
        <v/>
      </c>
      <c r="G162" s="21">
        <f>IF(MonthlyFAME!H164=0,"",MonthlyFAME!H164)</f>
        <v>3.9614685287632017</v>
      </c>
      <c r="H162" s="21">
        <f>IF(MonthlyFAME!I164=0,"",MonthlyFAME!I164)</f>
        <v>24825</v>
      </c>
      <c r="I162" s="21">
        <f>IF(MonthlyFAME!J164=0,"",MonthlyFAME!J164)</f>
        <v>887.7</v>
      </c>
      <c r="J162" s="24"/>
      <c r="K162" s="21">
        <f>IF(MonthlyFAME!L164=0,"",MonthlyFAME!L164)</f>
        <v>25.0580148716632</v>
      </c>
      <c r="L162" s="21">
        <f>IF(MonthlyFAME!M164=0,"",MonthlyFAME!M164)</f>
        <v>574.29999999999995</v>
      </c>
      <c r="M162" s="21" t="str">
        <f>IF(MonthlyFAME!N164=0,"",MonthlyFAME!N164)</f>
        <v/>
      </c>
      <c r="N162" s="21" t="str">
        <f>IF(MonthlyFAME!O164=0,"",MonthlyFAME!O164)</f>
        <v/>
      </c>
      <c r="O162" s="21" t="str">
        <f>IF(MonthlyFAME!P164=0,"",MonthlyFAME!P164)</f>
        <v/>
      </c>
      <c r="P162" s="21" t="str">
        <f>IF(MonthlyFAME!Q164=0,"",MonthlyFAME!Q164)</f>
        <v/>
      </c>
      <c r="Q162" s="21" t="str">
        <f>IF(MonthlyFAME!R164=0,"",MonthlyFAME!R164)</f>
        <v/>
      </c>
      <c r="R162" s="21" t="str">
        <f>IF(MonthlyFAME!S164=0,"",MonthlyFAME!S164)</f>
        <v/>
      </c>
      <c r="S162" s="21" t="str">
        <f>IF(MonthlyFAME!T164=0,"",MonthlyFAME!T164)</f>
        <v/>
      </c>
      <c r="T162" s="21" t="str">
        <f>IF(MonthlyFAME!U164=0,"",MonthlyFAME!U164)</f>
        <v/>
      </c>
    </row>
    <row r="163" spans="1:20" x14ac:dyDescent="0.2">
      <c r="A163" s="23">
        <f>IF(MonthlyFAME!A165=0,"",MonthlyFAME!A165)</f>
        <v>26754</v>
      </c>
      <c r="B163" s="21" t="str">
        <f>IF(MonthlyFAME!B165=0,"",MonthlyFAME!B165)</f>
        <v/>
      </c>
      <c r="C163" s="21">
        <f>IF(MonthlyFAME!C165=0,"",MonthlyFAME!C165)</f>
        <v>60.9</v>
      </c>
      <c r="D163" s="21" t="str">
        <f>IF(MonthlyFAME!D165=0,"",MonthlyFAME!D165)</f>
        <v/>
      </c>
      <c r="E163" s="21" t="str">
        <f>IF(MonthlyFAME!F165=0,"",MonthlyFAME!F165)</f>
        <v/>
      </c>
      <c r="F163" s="21" t="str">
        <f>IF(MonthlyFAME!G165=0,"",MonthlyFAME!G165)</f>
        <v/>
      </c>
      <c r="G163" s="21">
        <f>IF(MonthlyFAME!H165=0,"",MonthlyFAME!H165)</f>
        <v>3.8679791546033586</v>
      </c>
      <c r="H163" s="21">
        <f>IF(MonthlyFAME!I165=0,"",MonthlyFAME!I165)</f>
        <v>24903</v>
      </c>
      <c r="I163" s="21">
        <f>IF(MonthlyFAME!J165=0,"",MonthlyFAME!J165)</f>
        <v>890.6</v>
      </c>
      <c r="J163" s="24"/>
      <c r="K163" s="21">
        <f>IF(MonthlyFAME!L165=0,"",MonthlyFAME!L165)</f>
        <v>25.0967325215573</v>
      </c>
      <c r="L163" s="21">
        <f>IF(MonthlyFAME!M165=0,"",MonthlyFAME!M165)</f>
        <v>560.29999999999995</v>
      </c>
      <c r="M163" s="21" t="str">
        <f>IF(MonthlyFAME!N165=0,"",MonthlyFAME!N165)</f>
        <v/>
      </c>
      <c r="N163" s="21" t="str">
        <f>IF(MonthlyFAME!O165=0,"",MonthlyFAME!O165)</f>
        <v/>
      </c>
      <c r="O163" s="21" t="str">
        <f>IF(MonthlyFAME!P165=0,"",MonthlyFAME!P165)</f>
        <v/>
      </c>
      <c r="P163" s="21" t="str">
        <f>IF(MonthlyFAME!Q165=0,"",MonthlyFAME!Q165)</f>
        <v/>
      </c>
      <c r="Q163" s="21" t="str">
        <f>IF(MonthlyFAME!R165=0,"",MonthlyFAME!R165)</f>
        <v/>
      </c>
      <c r="R163" s="21" t="str">
        <f>IF(MonthlyFAME!S165=0,"",MonthlyFAME!S165)</f>
        <v/>
      </c>
      <c r="S163" s="21" t="str">
        <f>IF(MonthlyFAME!T165=0,"",MonthlyFAME!T165)</f>
        <v/>
      </c>
      <c r="T163" s="21" t="str">
        <f>IF(MonthlyFAME!U165=0,"",MonthlyFAME!U165)</f>
        <v/>
      </c>
    </row>
    <row r="164" spans="1:20" x14ac:dyDescent="0.2">
      <c r="A164" s="23">
        <f>IF(MonthlyFAME!A166=0,"",MonthlyFAME!A166)</f>
        <v>26784</v>
      </c>
      <c r="B164" s="21" t="str">
        <f>IF(MonthlyFAME!B166=0,"",MonthlyFAME!B166)</f>
        <v/>
      </c>
      <c r="C164" s="21">
        <f>IF(MonthlyFAME!C166=0,"",MonthlyFAME!C166)</f>
        <v>60.3</v>
      </c>
      <c r="D164" s="21" t="str">
        <f>IF(MonthlyFAME!D166=0,"",MonthlyFAME!D166)</f>
        <v/>
      </c>
      <c r="E164" s="21" t="str">
        <f>IF(MonthlyFAME!F166=0,"",MonthlyFAME!F166)</f>
        <v/>
      </c>
      <c r="F164" s="21" t="str">
        <f>IF(MonthlyFAME!G166=0,"",MonthlyFAME!G166)</f>
        <v/>
      </c>
      <c r="G164" s="21">
        <f>IF(MonthlyFAME!H166=0,"",MonthlyFAME!H166)</f>
        <v>3.8036147828432694</v>
      </c>
      <c r="H164" s="21">
        <f>IF(MonthlyFAME!I166=0,"",MonthlyFAME!I166)</f>
        <v>24962</v>
      </c>
      <c r="I164" s="21">
        <f>IF(MonthlyFAME!J166=0,"",MonthlyFAME!J166)</f>
        <v>893.1</v>
      </c>
      <c r="J164" s="24"/>
      <c r="K164" s="21">
        <f>IF(MonthlyFAME!L166=0,"",MonthlyFAME!L166)</f>
        <v>25.135146966539399</v>
      </c>
      <c r="L164" s="21">
        <f>IF(MonthlyFAME!M166=0,"",MonthlyFAME!M166)</f>
        <v>547.20000000000005</v>
      </c>
      <c r="M164" s="21" t="str">
        <f>IF(MonthlyFAME!N166=0,"",MonthlyFAME!N166)</f>
        <v/>
      </c>
      <c r="N164" s="21" t="str">
        <f>IF(MonthlyFAME!O166=0,"",MonthlyFAME!O166)</f>
        <v/>
      </c>
      <c r="O164" s="21" t="str">
        <f>IF(MonthlyFAME!P166=0,"",MonthlyFAME!P166)</f>
        <v/>
      </c>
      <c r="P164" s="21" t="str">
        <f>IF(MonthlyFAME!Q166=0,"",MonthlyFAME!Q166)</f>
        <v/>
      </c>
      <c r="Q164" s="21" t="str">
        <f>IF(MonthlyFAME!R166=0,"",MonthlyFAME!R166)</f>
        <v/>
      </c>
      <c r="R164" s="21" t="str">
        <f>IF(MonthlyFAME!S166=0,"",MonthlyFAME!S166)</f>
        <v/>
      </c>
      <c r="S164" s="21" t="str">
        <f>IF(MonthlyFAME!T166=0,"",MonthlyFAME!T166)</f>
        <v/>
      </c>
      <c r="T164" s="21" t="str">
        <f>IF(MonthlyFAME!U166=0,"",MonthlyFAME!U166)</f>
        <v/>
      </c>
    </row>
    <row r="165" spans="1:20" x14ac:dyDescent="0.2">
      <c r="A165" s="23">
        <f>IF(MonthlyFAME!A167=0,"",MonthlyFAME!A167)</f>
        <v>26815</v>
      </c>
      <c r="B165" s="21" t="str">
        <f>IF(MonthlyFAME!B167=0,"",MonthlyFAME!B167)</f>
        <v/>
      </c>
      <c r="C165" s="21">
        <f>IF(MonthlyFAME!C167=0,"",MonthlyFAME!C167)</f>
        <v>60.3</v>
      </c>
      <c r="D165" s="21" t="str">
        <f>IF(MonthlyFAME!D167=0,"",MonthlyFAME!D167)</f>
        <v/>
      </c>
      <c r="E165" s="21" t="str">
        <f>IF(MonthlyFAME!F167=0,"",MonthlyFAME!F167)</f>
        <v/>
      </c>
      <c r="F165" s="21" t="str">
        <f>IF(MonthlyFAME!G167=0,"",MonthlyFAME!G167)</f>
        <v/>
      </c>
      <c r="G165" s="21">
        <f>IF(MonthlyFAME!H167=0,"",MonthlyFAME!H167)</f>
        <v>3.7630474136270848</v>
      </c>
      <c r="H165" s="21">
        <f>IF(MonthlyFAME!I167=0,"",MonthlyFAME!I167)</f>
        <v>24986</v>
      </c>
      <c r="I165" s="21">
        <f>IF(MonthlyFAME!J167=0,"",MonthlyFAME!J167)</f>
        <v>894.1</v>
      </c>
      <c r="J165" s="24"/>
      <c r="K165" s="21">
        <f>IF(MonthlyFAME!L167=0,"",MonthlyFAME!L167)</f>
        <v>25.859097349223699</v>
      </c>
      <c r="L165" s="21">
        <f>IF(MonthlyFAME!M167=0,"",MonthlyFAME!M167)</f>
        <v>537.6</v>
      </c>
      <c r="M165" s="21" t="str">
        <f>IF(MonthlyFAME!N167=0,"",MonthlyFAME!N167)</f>
        <v/>
      </c>
      <c r="N165" s="21" t="str">
        <f>IF(MonthlyFAME!O167=0,"",MonthlyFAME!O167)</f>
        <v/>
      </c>
      <c r="O165" s="21" t="str">
        <f>IF(MonthlyFAME!P167=0,"",MonthlyFAME!P167)</f>
        <v/>
      </c>
      <c r="P165" s="21" t="str">
        <f>IF(MonthlyFAME!Q167=0,"",MonthlyFAME!Q167)</f>
        <v/>
      </c>
      <c r="Q165" s="21" t="str">
        <f>IF(MonthlyFAME!R167=0,"",MonthlyFAME!R167)</f>
        <v/>
      </c>
      <c r="R165" s="21" t="str">
        <f>IF(MonthlyFAME!S167=0,"",MonthlyFAME!S167)</f>
        <v/>
      </c>
      <c r="S165" s="21" t="str">
        <f>IF(MonthlyFAME!T167=0,"",MonthlyFAME!T167)</f>
        <v/>
      </c>
      <c r="T165" s="21" t="str">
        <f>IF(MonthlyFAME!U167=0,"",MonthlyFAME!U167)</f>
        <v/>
      </c>
    </row>
    <row r="166" spans="1:20" x14ac:dyDescent="0.2">
      <c r="A166" s="23">
        <f>IF(MonthlyFAME!A168=0,"",MonthlyFAME!A168)</f>
        <v>26845</v>
      </c>
      <c r="B166" s="21" t="str">
        <f>IF(MonthlyFAME!B168=0,"",MonthlyFAME!B168)</f>
        <v/>
      </c>
      <c r="C166" s="21">
        <f>IF(MonthlyFAME!C168=0,"",MonthlyFAME!C168)</f>
        <v>61.4</v>
      </c>
      <c r="D166" s="21" t="str">
        <f>IF(MonthlyFAME!D168=0,"",MonthlyFAME!D168)</f>
        <v/>
      </c>
      <c r="E166" s="21" t="str">
        <f>IF(MonthlyFAME!F168=0,"",MonthlyFAME!F168)</f>
        <v/>
      </c>
      <c r="F166" s="21" t="str">
        <f>IF(MonthlyFAME!G168=0,"",MonthlyFAME!G168)</f>
        <v/>
      </c>
      <c r="G166" s="21">
        <f>IF(MonthlyFAME!H168=0,"",MonthlyFAME!H168)</f>
        <v>3.7296755798720813</v>
      </c>
      <c r="H166" s="21">
        <f>IF(MonthlyFAME!I168=0,"",MonthlyFAME!I168)</f>
        <v>24986</v>
      </c>
      <c r="I166" s="21">
        <f>IF(MonthlyFAME!J168=0,"",MonthlyFAME!J168)</f>
        <v>894.2</v>
      </c>
      <c r="J166" s="24"/>
      <c r="K166" s="21">
        <f>IF(MonthlyFAME!L168=0,"",MonthlyFAME!L168)</f>
        <v>26.341000372619</v>
      </c>
      <c r="L166" s="21">
        <f>IF(MonthlyFAME!M168=0,"",MonthlyFAME!M168)</f>
        <v>530.20000000000005</v>
      </c>
      <c r="M166" s="21" t="str">
        <f>IF(MonthlyFAME!N168=0,"",MonthlyFAME!N168)</f>
        <v/>
      </c>
      <c r="N166" s="21" t="str">
        <f>IF(MonthlyFAME!O168=0,"",MonthlyFAME!O168)</f>
        <v/>
      </c>
      <c r="O166" s="21" t="str">
        <f>IF(MonthlyFAME!P168=0,"",MonthlyFAME!P168)</f>
        <v/>
      </c>
      <c r="P166" s="21" t="str">
        <f>IF(MonthlyFAME!Q168=0,"",MonthlyFAME!Q168)</f>
        <v/>
      </c>
      <c r="Q166" s="21" t="str">
        <f>IF(MonthlyFAME!R168=0,"",MonthlyFAME!R168)</f>
        <v/>
      </c>
      <c r="R166" s="21" t="str">
        <f>IF(MonthlyFAME!S168=0,"",MonthlyFAME!S168)</f>
        <v/>
      </c>
      <c r="S166" s="21" t="str">
        <f>IF(MonthlyFAME!T168=0,"",MonthlyFAME!T168)</f>
        <v/>
      </c>
      <c r="T166" s="21" t="str">
        <f>IF(MonthlyFAME!U168=0,"",MonthlyFAME!U168)</f>
        <v/>
      </c>
    </row>
    <row r="167" spans="1:20" x14ac:dyDescent="0.2">
      <c r="A167" s="23">
        <f>IF(MonthlyFAME!A169=0,"",MonthlyFAME!A169)</f>
        <v>26876</v>
      </c>
      <c r="B167" s="21" t="str">
        <f>IF(MonthlyFAME!B169=0,"",MonthlyFAME!B169)</f>
        <v/>
      </c>
      <c r="C167" s="21">
        <f>IF(MonthlyFAME!C169=0,"",MonthlyFAME!C169)</f>
        <v>61.1</v>
      </c>
      <c r="D167" s="21" t="str">
        <f>IF(MonthlyFAME!D169=0,"",MonthlyFAME!D169)</f>
        <v/>
      </c>
      <c r="E167" s="21" t="str">
        <f>IF(MonthlyFAME!F169=0,"",MonthlyFAME!F169)</f>
        <v/>
      </c>
      <c r="F167" s="21" t="str">
        <f>IF(MonthlyFAME!G169=0,"",MonthlyFAME!G169)</f>
        <v/>
      </c>
      <c r="G167" s="21">
        <f>IF(MonthlyFAME!H169=0,"",MonthlyFAME!H169)</f>
        <v>3.6904211013419714</v>
      </c>
      <c r="H167" s="21">
        <f>IF(MonthlyFAME!I169=0,"",MonthlyFAME!I169)</f>
        <v>24975</v>
      </c>
      <c r="I167" s="21">
        <f>IF(MonthlyFAME!J169=0,"",MonthlyFAME!J169)</f>
        <v>893.8</v>
      </c>
      <c r="J167" s="24"/>
      <c r="K167" s="21">
        <f>IF(MonthlyFAME!L169=0,"",MonthlyFAME!L169)</f>
        <v>26.610514298368798</v>
      </c>
      <c r="L167" s="21">
        <f>IF(MonthlyFAME!M169=0,"",MonthlyFAME!M169)</f>
        <v>506.3</v>
      </c>
      <c r="M167" s="21" t="str">
        <f>IF(MonthlyFAME!N169=0,"",MonthlyFAME!N169)</f>
        <v/>
      </c>
      <c r="N167" s="21" t="str">
        <f>IF(MonthlyFAME!O169=0,"",MonthlyFAME!O169)</f>
        <v/>
      </c>
      <c r="O167" s="21" t="str">
        <f>IF(MonthlyFAME!P169=0,"",MonthlyFAME!P169)</f>
        <v/>
      </c>
      <c r="P167" s="21" t="str">
        <f>IF(MonthlyFAME!Q169=0,"",MonthlyFAME!Q169)</f>
        <v/>
      </c>
      <c r="Q167" s="21" t="str">
        <f>IF(MonthlyFAME!R169=0,"",MonthlyFAME!R169)</f>
        <v/>
      </c>
      <c r="R167" s="21" t="str">
        <f>IF(MonthlyFAME!S169=0,"",MonthlyFAME!S169)</f>
        <v/>
      </c>
      <c r="S167" s="21" t="str">
        <f>IF(MonthlyFAME!T169=0,"",MonthlyFAME!T169)</f>
        <v/>
      </c>
      <c r="T167" s="21" t="str">
        <f>IF(MonthlyFAME!U169=0,"",MonthlyFAME!U169)</f>
        <v/>
      </c>
    </row>
    <row r="168" spans="1:20" x14ac:dyDescent="0.2">
      <c r="A168" s="23">
        <f>IF(MonthlyFAME!A170=0,"",MonthlyFAME!A170)</f>
        <v>26907</v>
      </c>
      <c r="B168" s="21" t="str">
        <f>IF(MonthlyFAME!B170=0,"",MonthlyFAME!B170)</f>
        <v/>
      </c>
      <c r="C168" s="21">
        <f>IF(MonthlyFAME!C170=0,"",MonthlyFAME!C170)</f>
        <v>61.1</v>
      </c>
      <c r="D168" s="21" t="str">
        <f>IF(MonthlyFAME!D170=0,"",MonthlyFAME!D170)</f>
        <v/>
      </c>
      <c r="E168" s="21" t="str">
        <f>IF(MonthlyFAME!F170=0,"",MonthlyFAME!F170)</f>
        <v/>
      </c>
      <c r="F168" s="21" t="str">
        <f>IF(MonthlyFAME!G170=0,"",MonthlyFAME!G170)</f>
        <v/>
      </c>
      <c r="G168" s="21">
        <f>IF(MonthlyFAME!H170=0,"",MonthlyFAME!H170)</f>
        <v>3.6398023776439712</v>
      </c>
      <c r="H168" s="21">
        <f>IF(MonthlyFAME!I170=0,"",MonthlyFAME!I170)</f>
        <v>24965</v>
      </c>
      <c r="I168" s="21">
        <f>IF(MonthlyFAME!J170=0,"",MonthlyFAME!J170)</f>
        <v>893.4</v>
      </c>
      <c r="J168" s="24"/>
      <c r="K168" s="21">
        <f>IF(MonthlyFAME!L170=0,"",MonthlyFAME!L170)</f>
        <v>26.653497676718001</v>
      </c>
      <c r="L168" s="21">
        <f>IF(MonthlyFAME!M170=0,"",MonthlyFAME!M170)</f>
        <v>486.8</v>
      </c>
      <c r="M168" s="21" t="str">
        <f>IF(MonthlyFAME!N170=0,"",MonthlyFAME!N170)</f>
        <v/>
      </c>
      <c r="N168" s="21" t="str">
        <f>IF(MonthlyFAME!O170=0,"",MonthlyFAME!O170)</f>
        <v/>
      </c>
      <c r="O168" s="21" t="str">
        <f>IF(MonthlyFAME!P170=0,"",MonthlyFAME!P170)</f>
        <v/>
      </c>
      <c r="P168" s="21" t="str">
        <f>IF(MonthlyFAME!Q170=0,"",MonthlyFAME!Q170)</f>
        <v/>
      </c>
      <c r="Q168" s="21" t="str">
        <f>IF(MonthlyFAME!R170=0,"",MonthlyFAME!R170)</f>
        <v/>
      </c>
      <c r="R168" s="21" t="str">
        <f>IF(MonthlyFAME!S170=0,"",MonthlyFAME!S170)</f>
        <v/>
      </c>
      <c r="S168" s="21" t="str">
        <f>IF(MonthlyFAME!T170=0,"",MonthlyFAME!T170)</f>
        <v/>
      </c>
      <c r="T168" s="21" t="str">
        <f>IF(MonthlyFAME!U170=0,"",MonthlyFAME!U170)</f>
        <v/>
      </c>
    </row>
    <row r="169" spans="1:20" x14ac:dyDescent="0.2">
      <c r="A169" s="23">
        <f>IF(MonthlyFAME!A171=0,"",MonthlyFAME!A171)</f>
        <v>26937</v>
      </c>
      <c r="B169" s="21" t="str">
        <f>IF(MonthlyFAME!B171=0,"",MonthlyFAME!B171)</f>
        <v/>
      </c>
      <c r="C169" s="21">
        <f>IF(MonthlyFAME!C171=0,"",MonthlyFAME!C171)</f>
        <v>60.9</v>
      </c>
      <c r="D169" s="21" t="str">
        <f>IF(MonthlyFAME!D171=0,"",MonthlyFAME!D171)</f>
        <v/>
      </c>
      <c r="E169" s="21" t="str">
        <f>IF(MonthlyFAME!F171=0,"",MonthlyFAME!F171)</f>
        <v/>
      </c>
      <c r="F169" s="21" t="str">
        <f>IF(MonthlyFAME!G171=0,"",MonthlyFAME!G171)</f>
        <v/>
      </c>
      <c r="G169" s="21">
        <f>IF(MonthlyFAME!H171=0,"",MonthlyFAME!H171)</f>
        <v>3.5792887756284024</v>
      </c>
      <c r="H169" s="21">
        <f>IF(MonthlyFAME!I171=0,"",MonthlyFAME!I171)</f>
        <v>24972</v>
      </c>
      <c r="I169" s="21">
        <f>IF(MonthlyFAME!J171=0,"",MonthlyFAME!J171)</f>
        <v>893.7</v>
      </c>
      <c r="J169" s="24"/>
      <c r="K169" s="21">
        <f>IF(MonthlyFAME!L171=0,"",MonthlyFAME!L171)</f>
        <v>27.000646648029701</v>
      </c>
      <c r="L169" s="21">
        <f>IF(MonthlyFAME!M171=0,"",MonthlyFAME!M171)</f>
        <v>469.4</v>
      </c>
      <c r="M169" s="21" t="str">
        <f>IF(MonthlyFAME!N171=0,"",MonthlyFAME!N171)</f>
        <v/>
      </c>
      <c r="N169" s="21" t="str">
        <f>IF(MonthlyFAME!O171=0,"",MonthlyFAME!O171)</f>
        <v/>
      </c>
      <c r="O169" s="21" t="str">
        <f>IF(MonthlyFAME!P171=0,"",MonthlyFAME!P171)</f>
        <v/>
      </c>
      <c r="P169" s="21" t="str">
        <f>IF(MonthlyFAME!Q171=0,"",MonthlyFAME!Q171)</f>
        <v/>
      </c>
      <c r="Q169" s="21" t="str">
        <f>IF(MonthlyFAME!R171=0,"",MonthlyFAME!R171)</f>
        <v/>
      </c>
      <c r="R169" s="21" t="str">
        <f>IF(MonthlyFAME!S171=0,"",MonthlyFAME!S171)</f>
        <v/>
      </c>
      <c r="S169" s="21" t="str">
        <f>IF(MonthlyFAME!T171=0,"",MonthlyFAME!T171)</f>
        <v/>
      </c>
      <c r="T169" s="21" t="str">
        <f>IF(MonthlyFAME!U171=0,"",MonthlyFAME!U171)</f>
        <v/>
      </c>
    </row>
    <row r="170" spans="1:20" x14ac:dyDescent="0.2">
      <c r="A170" s="23">
        <f>IF(MonthlyFAME!A172=0,"",MonthlyFAME!A172)</f>
        <v>26968</v>
      </c>
      <c r="B170" s="21" t="str">
        <f>IF(MonthlyFAME!B172=0,"",MonthlyFAME!B172)</f>
        <v/>
      </c>
      <c r="C170" s="21">
        <f>IF(MonthlyFAME!C172=0,"",MonthlyFAME!C172)</f>
        <v>61.4</v>
      </c>
      <c r="D170" s="21" t="str">
        <f>IF(MonthlyFAME!D172=0,"",MonthlyFAME!D172)</f>
        <v/>
      </c>
      <c r="E170" s="21" t="str">
        <f>IF(MonthlyFAME!F172=0,"",MonthlyFAME!F172)</f>
        <v/>
      </c>
      <c r="F170" s="21" t="str">
        <f>IF(MonthlyFAME!G172=0,"",MonthlyFAME!G172)</f>
        <v/>
      </c>
      <c r="G170" s="21">
        <f>IF(MonthlyFAME!H172=0,"",MonthlyFAME!H172)</f>
        <v>3.5255048847356836</v>
      </c>
      <c r="H170" s="21">
        <f>IF(MonthlyFAME!I172=0,"",MonthlyFAME!I172)</f>
        <v>24984</v>
      </c>
      <c r="I170" s="21">
        <f>IF(MonthlyFAME!J172=0,"",MonthlyFAME!J172)</f>
        <v>894</v>
      </c>
      <c r="J170" s="24"/>
      <c r="K170" s="21">
        <f>IF(MonthlyFAME!L172=0,"",MonthlyFAME!L172)</f>
        <v>27.0869508642566</v>
      </c>
      <c r="L170" s="21">
        <f>IF(MonthlyFAME!M172=0,"",MonthlyFAME!M172)</f>
        <v>456.5</v>
      </c>
      <c r="M170" s="21" t="str">
        <f>IF(MonthlyFAME!N172=0,"",MonthlyFAME!N172)</f>
        <v/>
      </c>
      <c r="N170" s="21" t="str">
        <f>IF(MonthlyFAME!O172=0,"",MonthlyFAME!O172)</f>
        <v/>
      </c>
      <c r="O170" s="21" t="str">
        <f>IF(MonthlyFAME!P172=0,"",MonthlyFAME!P172)</f>
        <v/>
      </c>
      <c r="P170" s="21" t="str">
        <f>IF(MonthlyFAME!Q172=0,"",MonthlyFAME!Q172)</f>
        <v/>
      </c>
      <c r="Q170" s="21" t="str">
        <f>IF(MonthlyFAME!R172=0,"",MonthlyFAME!R172)</f>
        <v/>
      </c>
      <c r="R170" s="21" t="str">
        <f>IF(MonthlyFAME!S172=0,"",MonthlyFAME!S172)</f>
        <v/>
      </c>
      <c r="S170" s="21" t="str">
        <f>IF(MonthlyFAME!T172=0,"",MonthlyFAME!T172)</f>
        <v/>
      </c>
      <c r="T170" s="21" t="str">
        <f>IF(MonthlyFAME!U172=0,"",MonthlyFAME!U172)</f>
        <v/>
      </c>
    </row>
    <row r="171" spans="1:20" x14ac:dyDescent="0.2">
      <c r="A171" s="23">
        <f>IF(MonthlyFAME!A173=0,"",MonthlyFAME!A173)</f>
        <v>26998</v>
      </c>
      <c r="B171" s="21" t="str">
        <f>IF(MonthlyFAME!B173=0,"",MonthlyFAME!B173)</f>
        <v/>
      </c>
      <c r="C171" s="21">
        <f>IF(MonthlyFAME!C173=0,"",MonthlyFAME!C173)</f>
        <v>60.8</v>
      </c>
      <c r="D171" s="21" t="str">
        <f>IF(MonthlyFAME!D173=0,"",MonthlyFAME!D173)</f>
        <v/>
      </c>
      <c r="E171" s="21" t="str">
        <f>IF(MonthlyFAME!F173=0,"",MonthlyFAME!F173)</f>
        <v/>
      </c>
      <c r="F171" s="21" t="str">
        <f>IF(MonthlyFAME!G173=0,"",MonthlyFAME!G173)</f>
        <v/>
      </c>
      <c r="G171" s="21">
        <f>IF(MonthlyFAME!H173=0,"",MonthlyFAME!H173)</f>
        <v>3.4790331299714263</v>
      </c>
      <c r="H171" s="21">
        <f>IF(MonthlyFAME!I173=0,"",MonthlyFAME!I173)</f>
        <v>24997</v>
      </c>
      <c r="I171" s="21">
        <f>IF(MonthlyFAME!J173=0,"",MonthlyFAME!J173)</f>
        <v>894.1</v>
      </c>
      <c r="J171" s="24"/>
      <c r="K171" s="21">
        <f>IF(MonthlyFAME!L173=0,"",MonthlyFAME!L173)</f>
        <v>27.442285316354099</v>
      </c>
      <c r="L171" s="21">
        <f>IF(MonthlyFAME!M173=0,"",MonthlyFAME!M173)</f>
        <v>441.2</v>
      </c>
      <c r="M171" s="21" t="str">
        <f>IF(MonthlyFAME!N173=0,"",MonthlyFAME!N173)</f>
        <v/>
      </c>
      <c r="N171" s="21" t="str">
        <f>IF(MonthlyFAME!O173=0,"",MonthlyFAME!O173)</f>
        <v/>
      </c>
      <c r="O171" s="21" t="str">
        <f>IF(MonthlyFAME!P173=0,"",MonthlyFAME!P173)</f>
        <v/>
      </c>
      <c r="P171" s="21" t="str">
        <f>IF(MonthlyFAME!Q173=0,"",MonthlyFAME!Q173)</f>
        <v/>
      </c>
      <c r="Q171" s="21" t="str">
        <f>IF(MonthlyFAME!R173=0,"",MonthlyFAME!R173)</f>
        <v/>
      </c>
      <c r="R171" s="21" t="str">
        <f>IF(MonthlyFAME!S173=0,"",MonthlyFAME!S173)</f>
        <v/>
      </c>
      <c r="S171" s="21" t="str">
        <f>IF(MonthlyFAME!T173=0,"",MonthlyFAME!T173)</f>
        <v/>
      </c>
      <c r="T171" s="21" t="str">
        <f>IF(MonthlyFAME!U173=0,"",MonthlyFAME!U173)</f>
        <v/>
      </c>
    </row>
    <row r="172" spans="1:20" x14ac:dyDescent="0.2">
      <c r="A172" s="23">
        <f>IF(MonthlyFAME!A174=0,"",MonthlyFAME!A174)</f>
        <v>27029</v>
      </c>
      <c r="B172" s="21" t="str">
        <f>IF(MonthlyFAME!B174=0,"",MonthlyFAME!B174)</f>
        <v/>
      </c>
      <c r="C172" s="21">
        <f>IF(MonthlyFAME!C174=0,"",MonthlyFAME!C174)</f>
        <v>60.2</v>
      </c>
      <c r="D172" s="21" t="str">
        <f>IF(MonthlyFAME!D174=0,"",MonthlyFAME!D174)</f>
        <v/>
      </c>
      <c r="E172" s="21" t="str">
        <f>IF(MonthlyFAME!F174=0,"",MonthlyFAME!F174)</f>
        <v/>
      </c>
      <c r="F172" s="21" t="str">
        <f>IF(MonthlyFAME!G174=0,"",MonthlyFAME!G174)</f>
        <v/>
      </c>
      <c r="G172" s="21">
        <f>IF(MonthlyFAME!H174=0,"",MonthlyFAME!H174)</f>
        <v>3.4302931973577473</v>
      </c>
      <c r="H172" s="21">
        <f>IF(MonthlyFAME!I174=0,"",MonthlyFAME!I174)</f>
        <v>24999</v>
      </c>
      <c r="I172" s="21">
        <f>IF(MonthlyFAME!J174=0,"",MonthlyFAME!J174)</f>
        <v>893.9</v>
      </c>
      <c r="J172" s="24"/>
      <c r="K172" s="21">
        <f>IF(MonthlyFAME!L174=0,"",MonthlyFAME!L174)</f>
        <v>27.659816176522298</v>
      </c>
      <c r="L172" s="21">
        <f>IF(MonthlyFAME!M174=0,"",MonthlyFAME!M174)</f>
        <v>422.6</v>
      </c>
      <c r="M172" s="21" t="str">
        <f>IF(MonthlyFAME!N174=0,"",MonthlyFAME!N174)</f>
        <v/>
      </c>
      <c r="N172" s="21" t="str">
        <f>IF(MonthlyFAME!O174=0,"",MonthlyFAME!O174)</f>
        <v/>
      </c>
      <c r="O172" s="21" t="str">
        <f>IF(MonthlyFAME!P174=0,"",MonthlyFAME!P174)</f>
        <v/>
      </c>
      <c r="P172" s="21" t="str">
        <f>IF(MonthlyFAME!Q174=0,"",MonthlyFAME!Q174)</f>
        <v/>
      </c>
      <c r="Q172" s="21" t="str">
        <f>IF(MonthlyFAME!R174=0,"",MonthlyFAME!R174)</f>
        <v/>
      </c>
      <c r="R172" s="21" t="str">
        <f>IF(MonthlyFAME!S174=0,"",MonthlyFAME!S174)</f>
        <v/>
      </c>
      <c r="S172" s="21" t="str">
        <f>IF(MonthlyFAME!T174=0,"",MonthlyFAME!T174)</f>
        <v/>
      </c>
      <c r="T172" s="21" t="str">
        <f>IF(MonthlyFAME!U174=0,"",MonthlyFAME!U174)</f>
        <v/>
      </c>
    </row>
    <row r="173" spans="1:20" x14ac:dyDescent="0.2">
      <c r="A173" s="23">
        <f>IF(MonthlyFAME!A175=0,"",MonthlyFAME!A175)</f>
        <v>27060</v>
      </c>
      <c r="B173" s="21" t="str">
        <f>IF(MonthlyFAME!B175=0,"",MonthlyFAME!B175)</f>
        <v/>
      </c>
      <c r="C173" s="21">
        <f>IF(MonthlyFAME!C175=0,"",MonthlyFAME!C175)</f>
        <v>55.9</v>
      </c>
      <c r="D173" s="21" t="str">
        <f>IF(MonthlyFAME!D175=0,"",MonthlyFAME!D175)</f>
        <v/>
      </c>
      <c r="E173" s="21" t="str">
        <f>IF(MonthlyFAME!F175=0,"",MonthlyFAME!F175)</f>
        <v/>
      </c>
      <c r="F173" s="21" t="str">
        <f>IF(MonthlyFAME!G175=0,"",MonthlyFAME!G175)</f>
        <v/>
      </c>
      <c r="G173" s="21">
        <f>IF(MonthlyFAME!H175=0,"",MonthlyFAME!H175)</f>
        <v>3.4450795612544414</v>
      </c>
      <c r="H173" s="21">
        <f>IF(MonthlyFAME!I175=0,"",MonthlyFAME!I175)</f>
        <v>25000</v>
      </c>
      <c r="I173" s="21">
        <f>IF(MonthlyFAME!J175=0,"",MonthlyFAME!J175)</f>
        <v>893.6</v>
      </c>
      <c r="J173" s="24"/>
      <c r="K173" s="21">
        <f>IF(MonthlyFAME!L175=0,"",MonthlyFAME!L175)</f>
        <v>26.7584117440082</v>
      </c>
      <c r="L173" s="21">
        <f>IF(MonthlyFAME!M175=0,"",MonthlyFAME!M175)</f>
        <v>468.7</v>
      </c>
      <c r="M173" s="21" t="str">
        <f>IF(MonthlyFAME!N175=0,"",MonthlyFAME!N175)</f>
        <v/>
      </c>
      <c r="N173" s="21" t="str">
        <f>IF(MonthlyFAME!O175=0,"",MonthlyFAME!O175)</f>
        <v/>
      </c>
      <c r="O173" s="21" t="str">
        <f>IF(MonthlyFAME!P175=0,"",MonthlyFAME!P175)</f>
        <v/>
      </c>
      <c r="P173" s="21" t="str">
        <f>IF(MonthlyFAME!Q175=0,"",MonthlyFAME!Q175)</f>
        <v/>
      </c>
      <c r="Q173" s="21" t="str">
        <f>IF(MonthlyFAME!R175=0,"",MonthlyFAME!R175)</f>
        <v/>
      </c>
      <c r="R173" s="21" t="str">
        <f>IF(MonthlyFAME!S175=0,"",MonthlyFAME!S175)</f>
        <v/>
      </c>
      <c r="S173" s="21" t="str">
        <f>IF(MonthlyFAME!T175=0,"",MonthlyFAME!T175)</f>
        <v/>
      </c>
      <c r="T173" s="21" t="str">
        <f>IF(MonthlyFAME!U175=0,"",MonthlyFAME!U175)</f>
        <v/>
      </c>
    </row>
    <row r="174" spans="1:20" x14ac:dyDescent="0.2">
      <c r="A174" s="23">
        <f>IF(MonthlyFAME!A176=0,"",MonthlyFAME!A176)</f>
        <v>27088</v>
      </c>
      <c r="B174" s="21" t="str">
        <f>IF(MonthlyFAME!B176=0,"",MonthlyFAME!B176)</f>
        <v/>
      </c>
      <c r="C174" s="21">
        <f>IF(MonthlyFAME!C176=0,"",MonthlyFAME!C176)</f>
        <v>55.9</v>
      </c>
      <c r="D174" s="21" t="str">
        <f>IF(MonthlyFAME!D176=0,"",MonthlyFAME!D176)</f>
        <v/>
      </c>
      <c r="E174" s="21" t="str">
        <f>IF(MonthlyFAME!F176=0,"",MonthlyFAME!F176)</f>
        <v/>
      </c>
      <c r="F174" s="21" t="str">
        <f>IF(MonthlyFAME!G176=0,"",MonthlyFAME!G176)</f>
        <v/>
      </c>
      <c r="G174" s="21">
        <f>IF(MonthlyFAME!H176=0,"",MonthlyFAME!H176)</f>
        <v>3.4904822580022397</v>
      </c>
      <c r="H174" s="21">
        <f>IF(MonthlyFAME!I176=0,"",MonthlyFAME!I176)</f>
        <v>24995</v>
      </c>
      <c r="I174" s="21">
        <f>IF(MonthlyFAME!J176=0,"",MonthlyFAME!J176)</f>
        <v>892.8</v>
      </c>
      <c r="J174" s="24"/>
      <c r="K174" s="21">
        <f>IF(MonthlyFAME!L176=0,"",MonthlyFAME!L176)</f>
        <v>27.620989447242</v>
      </c>
      <c r="L174" s="21">
        <f>IF(MonthlyFAME!M176=0,"",MonthlyFAME!M176)</f>
        <v>486.6</v>
      </c>
      <c r="M174" s="21" t="str">
        <f>IF(MonthlyFAME!N176=0,"",MonthlyFAME!N176)</f>
        <v/>
      </c>
      <c r="N174" s="21" t="str">
        <f>IF(MonthlyFAME!O176=0,"",MonthlyFAME!O176)</f>
        <v/>
      </c>
      <c r="O174" s="21" t="str">
        <f>IF(MonthlyFAME!P176=0,"",MonthlyFAME!P176)</f>
        <v/>
      </c>
      <c r="P174" s="21" t="str">
        <f>IF(MonthlyFAME!Q176=0,"",MonthlyFAME!Q176)</f>
        <v/>
      </c>
      <c r="Q174" s="21" t="str">
        <f>IF(MonthlyFAME!R176=0,"",MonthlyFAME!R176)</f>
        <v/>
      </c>
      <c r="R174" s="21" t="str">
        <f>IF(MonthlyFAME!S176=0,"",MonthlyFAME!S176)</f>
        <v/>
      </c>
      <c r="S174" s="21" t="str">
        <f>IF(MonthlyFAME!T176=0,"",MonthlyFAME!T176)</f>
        <v/>
      </c>
      <c r="T174" s="21" t="str">
        <f>IF(MonthlyFAME!U176=0,"",MonthlyFAME!U176)</f>
        <v/>
      </c>
    </row>
    <row r="175" spans="1:20" x14ac:dyDescent="0.2">
      <c r="A175" s="23">
        <f>IF(MonthlyFAME!A177=0,"",MonthlyFAME!A177)</f>
        <v>27119</v>
      </c>
      <c r="B175" s="21" t="str">
        <f>IF(MonthlyFAME!B177=0,"",MonthlyFAME!B177)</f>
        <v/>
      </c>
      <c r="C175" s="21">
        <f>IF(MonthlyFAME!C177=0,"",MonthlyFAME!C177)</f>
        <v>57.8</v>
      </c>
      <c r="D175" s="21" t="str">
        <f>IF(MonthlyFAME!D177=0,"",MonthlyFAME!D177)</f>
        <v/>
      </c>
      <c r="E175" s="21" t="str">
        <f>IF(MonthlyFAME!F177=0,"",MonthlyFAME!F177)</f>
        <v/>
      </c>
      <c r="F175" s="21" t="str">
        <f>IF(MonthlyFAME!G177=0,"",MonthlyFAME!G177)</f>
        <v/>
      </c>
      <c r="G175" s="21">
        <f>IF(MonthlyFAME!H177=0,"",MonthlyFAME!H177)</f>
        <v>3.562743660014668</v>
      </c>
      <c r="H175" s="21">
        <f>IF(MonthlyFAME!I177=0,"",MonthlyFAME!I177)</f>
        <v>24984</v>
      </c>
      <c r="I175" s="21">
        <f>IF(MonthlyFAME!J177=0,"",MonthlyFAME!J177)</f>
        <v>891.6</v>
      </c>
      <c r="J175" s="24"/>
      <c r="K175" s="21">
        <f>IF(MonthlyFAME!L177=0,"",MonthlyFAME!L177)</f>
        <v>29.2212077885398</v>
      </c>
      <c r="L175" s="21">
        <f>IF(MonthlyFAME!M177=0,"",MonthlyFAME!M177)</f>
        <v>494.8</v>
      </c>
      <c r="M175" s="21" t="str">
        <f>IF(MonthlyFAME!N177=0,"",MonthlyFAME!N177)</f>
        <v/>
      </c>
      <c r="N175" s="21" t="str">
        <f>IF(MonthlyFAME!O177=0,"",MonthlyFAME!O177)</f>
        <v/>
      </c>
      <c r="O175" s="21" t="str">
        <f>IF(MonthlyFAME!P177=0,"",MonthlyFAME!P177)</f>
        <v/>
      </c>
      <c r="P175" s="21" t="str">
        <f>IF(MonthlyFAME!Q177=0,"",MonthlyFAME!Q177)</f>
        <v/>
      </c>
      <c r="Q175" s="21" t="str">
        <f>IF(MonthlyFAME!R177=0,"",MonthlyFAME!R177)</f>
        <v/>
      </c>
      <c r="R175" s="21" t="str">
        <f>IF(MonthlyFAME!S177=0,"",MonthlyFAME!S177)</f>
        <v/>
      </c>
      <c r="S175" s="21" t="str">
        <f>IF(MonthlyFAME!T177=0,"",MonthlyFAME!T177)</f>
        <v/>
      </c>
      <c r="T175" s="21" t="str">
        <f>IF(MonthlyFAME!U177=0,"",MonthlyFAME!U177)</f>
        <v/>
      </c>
    </row>
    <row r="176" spans="1:20" x14ac:dyDescent="0.2">
      <c r="A176" s="23">
        <f>IF(MonthlyFAME!A178=0,"",MonthlyFAME!A178)</f>
        <v>27149</v>
      </c>
      <c r="B176" s="21" t="str">
        <f>IF(MonthlyFAME!B178=0,"",MonthlyFAME!B178)</f>
        <v/>
      </c>
      <c r="C176" s="21">
        <f>IF(MonthlyFAME!C178=0,"",MonthlyFAME!C178)</f>
        <v>60.9</v>
      </c>
      <c r="D176" s="21" t="str">
        <f>IF(MonthlyFAME!D178=0,"",MonthlyFAME!D178)</f>
        <v/>
      </c>
      <c r="E176" s="21" t="str">
        <f>IF(MonthlyFAME!F178=0,"",MonthlyFAME!F178)</f>
        <v/>
      </c>
      <c r="F176" s="21" t="str">
        <f>IF(MonthlyFAME!G178=0,"",MonthlyFAME!G178)</f>
        <v/>
      </c>
      <c r="G176" s="21">
        <f>IF(MonthlyFAME!H178=0,"",MonthlyFAME!H178)</f>
        <v>3.5925139880378159</v>
      </c>
      <c r="H176" s="21">
        <f>IF(MonthlyFAME!I178=0,"",MonthlyFAME!I178)</f>
        <v>24984</v>
      </c>
      <c r="I176" s="21">
        <f>IF(MonthlyFAME!J178=0,"",MonthlyFAME!J178)</f>
        <v>890.9</v>
      </c>
      <c r="J176" s="24"/>
      <c r="K176" s="21">
        <f>IF(MonthlyFAME!L178=0,"",MonthlyFAME!L178)</f>
        <v>28.9625989635982</v>
      </c>
      <c r="L176" s="21">
        <f>IF(MonthlyFAME!M178=0,"",MonthlyFAME!M178)</f>
        <v>497.4</v>
      </c>
      <c r="M176" s="21" t="str">
        <f>IF(MonthlyFAME!N178=0,"",MonthlyFAME!N178)</f>
        <v/>
      </c>
      <c r="N176" s="21" t="str">
        <f>IF(MonthlyFAME!O178=0,"",MonthlyFAME!O178)</f>
        <v/>
      </c>
      <c r="O176" s="21" t="str">
        <f>IF(MonthlyFAME!P178=0,"",MonthlyFAME!P178)</f>
        <v/>
      </c>
      <c r="P176" s="21" t="str">
        <f>IF(MonthlyFAME!Q178=0,"",MonthlyFAME!Q178)</f>
        <v/>
      </c>
      <c r="Q176" s="21" t="str">
        <f>IF(MonthlyFAME!R178=0,"",MonthlyFAME!R178)</f>
        <v/>
      </c>
      <c r="R176" s="21" t="str">
        <f>IF(MonthlyFAME!S178=0,"",MonthlyFAME!S178)</f>
        <v/>
      </c>
      <c r="S176" s="21" t="str">
        <f>IF(MonthlyFAME!T178=0,"",MonthlyFAME!T178)</f>
        <v/>
      </c>
      <c r="T176" s="21" t="str">
        <f>IF(MonthlyFAME!U178=0,"",MonthlyFAME!U178)</f>
        <v/>
      </c>
    </row>
    <row r="177" spans="1:20" x14ac:dyDescent="0.2">
      <c r="A177" s="23">
        <f>IF(MonthlyFAME!A179=0,"",MonthlyFAME!A179)</f>
        <v>27180</v>
      </c>
      <c r="B177" s="21" t="str">
        <f>IF(MonthlyFAME!B179=0,"",MonthlyFAME!B179)</f>
        <v/>
      </c>
      <c r="C177" s="21">
        <f>IF(MonthlyFAME!C179=0,"",MonthlyFAME!C179)</f>
        <v>61.5</v>
      </c>
      <c r="D177" s="21" t="str">
        <f>IF(MonthlyFAME!D179=0,"",MonthlyFAME!D179)</f>
        <v/>
      </c>
      <c r="E177" s="21" t="str">
        <f>IF(MonthlyFAME!F179=0,"",MonthlyFAME!F179)</f>
        <v/>
      </c>
      <c r="F177" s="21" t="str">
        <f>IF(MonthlyFAME!G179=0,"",MonthlyFAME!G179)</f>
        <v/>
      </c>
      <c r="G177" s="21">
        <f>IF(MonthlyFAME!H179=0,"",MonthlyFAME!H179)</f>
        <v>3.5998148005247317</v>
      </c>
      <c r="H177" s="21">
        <f>IF(MonthlyFAME!I179=0,"",MonthlyFAME!I179)</f>
        <v>24985</v>
      </c>
      <c r="I177" s="21">
        <f>IF(MonthlyFAME!J179=0,"",MonthlyFAME!J179)</f>
        <v>890</v>
      </c>
      <c r="J177" s="24"/>
      <c r="K177" s="21">
        <f>IF(MonthlyFAME!L179=0,"",MonthlyFAME!L179)</f>
        <v>29.815893113792399</v>
      </c>
      <c r="L177" s="21">
        <f>IF(MonthlyFAME!M179=0,"",MonthlyFAME!M179)</f>
        <v>494.3</v>
      </c>
      <c r="M177" s="21" t="str">
        <f>IF(MonthlyFAME!N179=0,"",MonthlyFAME!N179)</f>
        <v/>
      </c>
      <c r="N177" s="21" t="str">
        <f>IF(MonthlyFAME!O179=0,"",MonthlyFAME!O179)</f>
        <v/>
      </c>
      <c r="O177" s="21" t="str">
        <f>IF(MonthlyFAME!P179=0,"",MonthlyFAME!P179)</f>
        <v/>
      </c>
      <c r="P177" s="21" t="str">
        <f>IF(MonthlyFAME!Q179=0,"",MonthlyFAME!Q179)</f>
        <v/>
      </c>
      <c r="Q177" s="21" t="str">
        <f>IF(MonthlyFAME!R179=0,"",MonthlyFAME!R179)</f>
        <v/>
      </c>
      <c r="R177" s="21" t="str">
        <f>IF(MonthlyFAME!S179=0,"",MonthlyFAME!S179)</f>
        <v/>
      </c>
      <c r="S177" s="21" t="str">
        <f>IF(MonthlyFAME!T179=0,"",MonthlyFAME!T179)</f>
        <v/>
      </c>
      <c r="T177" s="21" t="str">
        <f>IF(MonthlyFAME!U179=0,"",MonthlyFAME!U179)</f>
        <v/>
      </c>
    </row>
    <row r="178" spans="1:20" x14ac:dyDescent="0.2">
      <c r="A178" s="23">
        <f>IF(MonthlyFAME!A180=0,"",MonthlyFAME!A180)</f>
        <v>27210</v>
      </c>
      <c r="B178" s="21" t="str">
        <f>IF(MonthlyFAME!B180=0,"",MonthlyFAME!B180)</f>
        <v/>
      </c>
      <c r="C178" s="21">
        <f>IF(MonthlyFAME!C180=0,"",MonthlyFAME!C180)</f>
        <v>61.8</v>
      </c>
      <c r="D178" s="21" t="str">
        <f>IF(MonthlyFAME!D180=0,"",MonthlyFAME!D180)</f>
        <v/>
      </c>
      <c r="E178" s="21" t="str">
        <f>IF(MonthlyFAME!F180=0,"",MonthlyFAME!F180)</f>
        <v/>
      </c>
      <c r="F178" s="21" t="str">
        <f>IF(MonthlyFAME!G180=0,"",MonthlyFAME!G180)</f>
        <v/>
      </c>
      <c r="G178" s="21">
        <f>IF(MonthlyFAME!H180=0,"",MonthlyFAME!H180)</f>
        <v>3.6123212151586412</v>
      </c>
      <c r="H178" s="21">
        <f>IF(MonthlyFAME!I180=0,"",MonthlyFAME!I180)</f>
        <v>25002</v>
      </c>
      <c r="I178" s="21">
        <f>IF(MonthlyFAME!J180=0,"",MonthlyFAME!J180)</f>
        <v>889.6</v>
      </c>
      <c r="J178" s="24"/>
      <c r="K178" s="21">
        <f>IF(MonthlyFAME!L180=0,"",MonthlyFAME!L180)</f>
        <v>30.556692631117301</v>
      </c>
      <c r="L178" s="21">
        <f>IF(MonthlyFAME!M180=0,"",MonthlyFAME!M180)</f>
        <v>508.9</v>
      </c>
      <c r="M178" s="21" t="str">
        <f>IF(MonthlyFAME!N180=0,"",MonthlyFAME!N180)</f>
        <v/>
      </c>
      <c r="N178" s="21" t="str">
        <f>IF(MonthlyFAME!O180=0,"",MonthlyFAME!O180)</f>
        <v/>
      </c>
      <c r="O178" s="21" t="str">
        <f>IF(MonthlyFAME!P180=0,"",MonthlyFAME!P180)</f>
        <v/>
      </c>
      <c r="P178" s="21" t="str">
        <f>IF(MonthlyFAME!Q180=0,"",MonthlyFAME!Q180)</f>
        <v/>
      </c>
      <c r="Q178" s="21" t="str">
        <f>IF(MonthlyFAME!R180=0,"",MonthlyFAME!R180)</f>
        <v/>
      </c>
      <c r="R178" s="21" t="str">
        <f>IF(MonthlyFAME!S180=0,"",MonthlyFAME!S180)</f>
        <v/>
      </c>
      <c r="S178" s="21" t="str">
        <f>IF(MonthlyFAME!T180=0,"",MonthlyFAME!T180)</f>
        <v/>
      </c>
      <c r="T178" s="21" t="str">
        <f>IF(MonthlyFAME!U180=0,"",MonthlyFAME!U180)</f>
        <v/>
      </c>
    </row>
    <row r="179" spans="1:20" x14ac:dyDescent="0.2">
      <c r="A179" s="23">
        <f>IF(MonthlyFAME!A181=0,"",MonthlyFAME!A181)</f>
        <v>27241</v>
      </c>
      <c r="B179" s="21" t="str">
        <f>IF(MonthlyFAME!B181=0,"",MonthlyFAME!B181)</f>
        <v/>
      </c>
      <c r="C179" s="21">
        <f>IF(MonthlyFAME!C181=0,"",MonthlyFAME!C181)</f>
        <v>61.5</v>
      </c>
      <c r="D179" s="21" t="str">
        <f>IF(MonthlyFAME!D181=0,"",MonthlyFAME!D181)</f>
        <v/>
      </c>
      <c r="E179" s="21" t="str">
        <f>IF(MonthlyFAME!F181=0,"",MonthlyFAME!F181)</f>
        <v/>
      </c>
      <c r="F179" s="21" t="str">
        <f>IF(MonthlyFAME!G181=0,"",MonthlyFAME!G181)</f>
        <v/>
      </c>
      <c r="G179" s="21">
        <f>IF(MonthlyFAME!H181=0,"",MonthlyFAME!H181)</f>
        <v>3.6246677708871</v>
      </c>
      <c r="H179" s="21">
        <f>IF(MonthlyFAME!I181=0,"",MonthlyFAME!I181)</f>
        <v>25020</v>
      </c>
      <c r="I179" s="21">
        <f>IF(MonthlyFAME!J181=0,"",MonthlyFAME!J181)</f>
        <v>889</v>
      </c>
      <c r="J179" s="24"/>
      <c r="K179" s="21">
        <f>IF(MonthlyFAME!L181=0,"",MonthlyFAME!L181)</f>
        <v>31.471963264116901</v>
      </c>
      <c r="L179" s="21">
        <f>IF(MonthlyFAME!M181=0,"",MonthlyFAME!M181)</f>
        <v>510.8</v>
      </c>
      <c r="M179" s="21" t="str">
        <f>IF(MonthlyFAME!N181=0,"",MonthlyFAME!N181)</f>
        <v/>
      </c>
      <c r="N179" s="21" t="str">
        <f>IF(MonthlyFAME!O181=0,"",MonthlyFAME!O181)</f>
        <v/>
      </c>
      <c r="O179" s="21" t="str">
        <f>IF(MonthlyFAME!P181=0,"",MonthlyFAME!P181)</f>
        <v/>
      </c>
      <c r="P179" s="21" t="str">
        <f>IF(MonthlyFAME!Q181=0,"",MonthlyFAME!Q181)</f>
        <v/>
      </c>
      <c r="Q179" s="21" t="str">
        <f>IF(MonthlyFAME!R181=0,"",MonthlyFAME!R181)</f>
        <v/>
      </c>
      <c r="R179" s="21" t="str">
        <f>IF(MonthlyFAME!S181=0,"",MonthlyFAME!S181)</f>
        <v/>
      </c>
      <c r="S179" s="21" t="str">
        <f>IF(MonthlyFAME!T181=0,"",MonthlyFAME!T181)</f>
        <v/>
      </c>
      <c r="T179" s="21" t="str">
        <f>IF(MonthlyFAME!U181=0,"",MonthlyFAME!U181)</f>
        <v/>
      </c>
    </row>
    <row r="180" spans="1:20" x14ac:dyDescent="0.2">
      <c r="A180" s="23">
        <f>IF(MonthlyFAME!A182=0,"",MonthlyFAME!A182)</f>
        <v>27272</v>
      </c>
      <c r="B180" s="21" t="str">
        <f>IF(MonthlyFAME!B182=0,"",MonthlyFAME!B182)</f>
        <v/>
      </c>
      <c r="C180" s="21">
        <f>IF(MonthlyFAME!C182=0,"",MonthlyFAME!C182)</f>
        <v>61.7</v>
      </c>
      <c r="D180" s="21" t="str">
        <f>IF(MonthlyFAME!D182=0,"",MonthlyFAME!D182)</f>
        <v/>
      </c>
      <c r="E180" s="21" t="str">
        <f>IF(MonthlyFAME!F182=0,"",MonthlyFAME!F182)</f>
        <v/>
      </c>
      <c r="F180" s="21" t="str">
        <f>IF(MonthlyFAME!G182=0,"",MonthlyFAME!G182)</f>
        <v/>
      </c>
      <c r="G180" s="21">
        <f>IF(MonthlyFAME!H182=0,"",MonthlyFAME!H182)</f>
        <v>3.6583958453548759</v>
      </c>
      <c r="H180" s="21">
        <f>IF(MonthlyFAME!I182=0,"",MonthlyFAME!I182)</f>
        <v>25044</v>
      </c>
      <c r="I180" s="21">
        <f>IF(MonthlyFAME!J182=0,"",MonthlyFAME!J182)</f>
        <v>888.7</v>
      </c>
      <c r="J180" s="24"/>
      <c r="K180" s="21">
        <f>IF(MonthlyFAME!L182=0,"",MonthlyFAME!L182)</f>
        <v>32.310566399455801</v>
      </c>
      <c r="L180" s="21">
        <f>IF(MonthlyFAME!M182=0,"",MonthlyFAME!M182)</f>
        <v>530.20000000000005</v>
      </c>
      <c r="M180" s="21" t="str">
        <f>IF(MonthlyFAME!N182=0,"",MonthlyFAME!N182)</f>
        <v/>
      </c>
      <c r="N180" s="21" t="str">
        <f>IF(MonthlyFAME!O182=0,"",MonthlyFAME!O182)</f>
        <v/>
      </c>
      <c r="O180" s="21" t="str">
        <f>IF(MonthlyFAME!P182=0,"",MonthlyFAME!P182)</f>
        <v/>
      </c>
      <c r="P180" s="21" t="str">
        <f>IF(MonthlyFAME!Q182=0,"",MonthlyFAME!Q182)</f>
        <v/>
      </c>
      <c r="Q180" s="21" t="str">
        <f>IF(MonthlyFAME!R182=0,"",MonthlyFAME!R182)</f>
        <v/>
      </c>
      <c r="R180" s="21" t="str">
        <f>IF(MonthlyFAME!S182=0,"",MonthlyFAME!S182)</f>
        <v/>
      </c>
      <c r="S180" s="21" t="str">
        <f>IF(MonthlyFAME!T182=0,"",MonthlyFAME!T182)</f>
        <v/>
      </c>
      <c r="T180" s="21" t="str">
        <f>IF(MonthlyFAME!U182=0,"",MonthlyFAME!U182)</f>
        <v/>
      </c>
    </row>
    <row r="181" spans="1:20" x14ac:dyDescent="0.2">
      <c r="A181" s="23">
        <f>IF(MonthlyFAME!A183=0,"",MonthlyFAME!A183)</f>
        <v>27302</v>
      </c>
      <c r="B181" s="21" t="str">
        <f>IF(MonthlyFAME!B183=0,"",MonthlyFAME!B183)</f>
        <v/>
      </c>
      <c r="C181" s="21">
        <f>IF(MonthlyFAME!C183=0,"",MonthlyFAME!C183)</f>
        <v>60.7</v>
      </c>
      <c r="D181" s="21" t="str">
        <f>IF(MonthlyFAME!D183=0,"",MonthlyFAME!D183)</f>
        <v/>
      </c>
      <c r="E181" s="21" t="str">
        <f>IF(MonthlyFAME!F183=0,"",MonthlyFAME!F183)</f>
        <v/>
      </c>
      <c r="F181" s="21" t="str">
        <f>IF(MonthlyFAME!G183=0,"",MonthlyFAME!G183)</f>
        <v/>
      </c>
      <c r="G181" s="21">
        <f>IF(MonthlyFAME!H183=0,"",MonthlyFAME!H183)</f>
        <v>3.6812173378419919</v>
      </c>
      <c r="H181" s="21">
        <f>IF(MonthlyFAME!I183=0,"",MonthlyFAME!I183)</f>
        <v>25066</v>
      </c>
      <c r="I181" s="21">
        <f>IF(MonthlyFAME!J183=0,"",MonthlyFAME!J183)</f>
        <v>888.1</v>
      </c>
      <c r="J181" s="24"/>
      <c r="K181" s="21">
        <f>IF(MonthlyFAME!L183=0,"",MonthlyFAME!L183)</f>
        <v>33.031398008857799</v>
      </c>
      <c r="L181" s="21">
        <f>IF(MonthlyFAME!M183=0,"",MonthlyFAME!M183)</f>
        <v>534.29999999999995</v>
      </c>
      <c r="M181" s="21" t="str">
        <f>IF(MonthlyFAME!N183=0,"",MonthlyFAME!N183)</f>
        <v/>
      </c>
      <c r="N181" s="21" t="str">
        <f>IF(MonthlyFAME!O183=0,"",MonthlyFAME!O183)</f>
        <v/>
      </c>
      <c r="O181" s="21" t="str">
        <f>IF(MonthlyFAME!P183=0,"",MonthlyFAME!P183)</f>
        <v/>
      </c>
      <c r="P181" s="21" t="str">
        <f>IF(MonthlyFAME!Q183=0,"",MonthlyFAME!Q183)</f>
        <v/>
      </c>
      <c r="Q181" s="21" t="str">
        <f>IF(MonthlyFAME!R183=0,"",MonthlyFAME!R183)</f>
        <v/>
      </c>
      <c r="R181" s="21" t="str">
        <f>IF(MonthlyFAME!S183=0,"",MonthlyFAME!S183)</f>
        <v/>
      </c>
      <c r="S181" s="21" t="str">
        <f>IF(MonthlyFAME!T183=0,"",MonthlyFAME!T183)</f>
        <v/>
      </c>
      <c r="T181" s="21" t="str">
        <f>IF(MonthlyFAME!U183=0,"",MonthlyFAME!U183)</f>
        <v/>
      </c>
    </row>
    <row r="182" spans="1:20" x14ac:dyDescent="0.2">
      <c r="A182" s="23">
        <f>IF(MonthlyFAME!A184=0,"",MonthlyFAME!A184)</f>
        <v>27333</v>
      </c>
      <c r="B182" s="21" t="str">
        <f>IF(MonthlyFAME!B184=0,"",MonthlyFAME!B184)</f>
        <v/>
      </c>
      <c r="C182" s="21">
        <f>IF(MonthlyFAME!C184=0,"",MonthlyFAME!C184)</f>
        <v>59.4</v>
      </c>
      <c r="D182" s="21" t="str">
        <f>IF(MonthlyFAME!D184=0,"",MonthlyFAME!D184)</f>
        <v/>
      </c>
      <c r="E182" s="21" t="str">
        <f>IF(MonthlyFAME!F184=0,"",MonthlyFAME!F184)</f>
        <v/>
      </c>
      <c r="F182" s="21" t="str">
        <f>IF(MonthlyFAME!G184=0,"",MonthlyFAME!G184)</f>
        <v/>
      </c>
      <c r="G182" s="21">
        <f>IF(MonthlyFAME!H184=0,"",MonthlyFAME!H184)</f>
        <v>3.7055525689271178</v>
      </c>
      <c r="H182" s="21">
        <f>IF(MonthlyFAME!I184=0,"",MonthlyFAME!I184)</f>
        <v>25077</v>
      </c>
      <c r="I182" s="21">
        <f>IF(MonthlyFAME!J184=0,"",MonthlyFAME!J184)</f>
        <v>887.1</v>
      </c>
      <c r="J182" s="24"/>
      <c r="K182" s="21">
        <f>IF(MonthlyFAME!L184=0,"",MonthlyFAME!L184)</f>
        <v>33.651356199355199</v>
      </c>
      <c r="L182" s="21">
        <f>IF(MonthlyFAME!M184=0,"",MonthlyFAME!M184)</f>
        <v>539.70000000000005</v>
      </c>
      <c r="M182" s="21" t="str">
        <f>IF(MonthlyFAME!N184=0,"",MonthlyFAME!N184)</f>
        <v/>
      </c>
      <c r="N182" s="21" t="str">
        <f>IF(MonthlyFAME!O184=0,"",MonthlyFAME!O184)</f>
        <v/>
      </c>
      <c r="O182" s="21" t="str">
        <f>IF(MonthlyFAME!P184=0,"",MonthlyFAME!P184)</f>
        <v/>
      </c>
      <c r="P182" s="21" t="str">
        <f>IF(MonthlyFAME!Q184=0,"",MonthlyFAME!Q184)</f>
        <v/>
      </c>
      <c r="Q182" s="21" t="str">
        <f>IF(MonthlyFAME!R184=0,"",MonthlyFAME!R184)</f>
        <v/>
      </c>
      <c r="R182" s="21" t="str">
        <f>IF(MonthlyFAME!S184=0,"",MonthlyFAME!S184)</f>
        <v/>
      </c>
      <c r="S182" s="21" t="str">
        <f>IF(MonthlyFAME!T184=0,"",MonthlyFAME!T184)</f>
        <v/>
      </c>
      <c r="T182" s="21" t="str">
        <f>IF(MonthlyFAME!U184=0,"",MonthlyFAME!U184)</f>
        <v/>
      </c>
    </row>
    <row r="183" spans="1:20" x14ac:dyDescent="0.2">
      <c r="A183" s="23">
        <f>IF(MonthlyFAME!A185=0,"",MonthlyFAME!A185)</f>
        <v>27363</v>
      </c>
      <c r="B183" s="21" t="str">
        <f>IF(MonthlyFAME!B185=0,"",MonthlyFAME!B185)</f>
        <v/>
      </c>
      <c r="C183" s="21">
        <f>IF(MonthlyFAME!C185=0,"",MonthlyFAME!C185)</f>
        <v>59.3</v>
      </c>
      <c r="D183" s="21" t="str">
        <f>IF(MonthlyFAME!D185=0,"",MonthlyFAME!D185)</f>
        <v/>
      </c>
      <c r="E183" s="21" t="str">
        <f>IF(MonthlyFAME!F185=0,"",MonthlyFAME!F185)</f>
        <v/>
      </c>
      <c r="F183" s="21" t="str">
        <f>IF(MonthlyFAME!G185=0,"",MonthlyFAME!G185)</f>
        <v/>
      </c>
      <c r="G183" s="21">
        <f>IF(MonthlyFAME!H185=0,"",MonthlyFAME!H185)</f>
        <v>3.7206266318537859</v>
      </c>
      <c r="H183" s="21">
        <f>IF(MonthlyFAME!I185=0,"",MonthlyFAME!I185)</f>
        <v>25075</v>
      </c>
      <c r="I183" s="21">
        <f>IF(MonthlyFAME!J185=0,"",MonthlyFAME!J185)</f>
        <v>885.3</v>
      </c>
      <c r="J183" s="24"/>
      <c r="K183" s="21">
        <f>IF(MonthlyFAME!L185=0,"",MonthlyFAME!L185)</f>
        <v>34.866131128916301</v>
      </c>
      <c r="L183" s="21">
        <f>IF(MonthlyFAME!M185=0,"",MonthlyFAME!M185)</f>
        <v>544.9</v>
      </c>
      <c r="M183" s="21" t="str">
        <f>IF(MonthlyFAME!N185=0,"",MonthlyFAME!N185)</f>
        <v/>
      </c>
      <c r="N183" s="21" t="str">
        <f>IF(MonthlyFAME!O185=0,"",MonthlyFAME!O185)</f>
        <v/>
      </c>
      <c r="O183" s="21" t="str">
        <f>IF(MonthlyFAME!P185=0,"",MonthlyFAME!P185)</f>
        <v/>
      </c>
      <c r="P183" s="21" t="str">
        <f>IF(MonthlyFAME!Q185=0,"",MonthlyFAME!Q185)</f>
        <v/>
      </c>
      <c r="Q183" s="21" t="str">
        <f>IF(MonthlyFAME!R185=0,"",MonthlyFAME!R185)</f>
        <v/>
      </c>
      <c r="R183" s="21" t="str">
        <f>IF(MonthlyFAME!S185=0,"",MonthlyFAME!S185)</f>
        <v/>
      </c>
      <c r="S183" s="21" t="str">
        <f>IF(MonthlyFAME!T185=0,"",MonthlyFAME!T185)</f>
        <v/>
      </c>
      <c r="T183" s="21" t="str">
        <f>IF(MonthlyFAME!U185=0,"",MonthlyFAME!U185)</f>
        <v/>
      </c>
    </row>
    <row r="184" spans="1:20" x14ac:dyDescent="0.2">
      <c r="A184" s="23">
        <f>IF(MonthlyFAME!A186=0,"",MonthlyFAME!A186)</f>
        <v>27394</v>
      </c>
      <c r="B184" s="21" t="str">
        <f>IF(MonthlyFAME!B186=0,"",MonthlyFAME!B186)</f>
        <v/>
      </c>
      <c r="C184" s="21">
        <f>IF(MonthlyFAME!C186=0,"",MonthlyFAME!C186)</f>
        <v>58.4</v>
      </c>
      <c r="D184" s="21" t="str">
        <f>IF(MonthlyFAME!D186=0,"",MonthlyFAME!D186)</f>
        <v/>
      </c>
      <c r="E184" s="21" t="str">
        <f>IF(MonthlyFAME!F186=0,"",MonthlyFAME!F186)</f>
        <v/>
      </c>
      <c r="F184" s="21" t="str">
        <f>IF(MonthlyFAME!G186=0,"",MonthlyFAME!G186)</f>
        <v/>
      </c>
      <c r="G184" s="21">
        <f>IF(MonthlyFAME!H186=0,"",MonthlyFAME!H186)</f>
        <v>3.7479359471602471</v>
      </c>
      <c r="H184" s="21">
        <f>IF(MonthlyFAME!I186=0,"",MonthlyFAME!I186)</f>
        <v>25065</v>
      </c>
      <c r="I184" s="21">
        <f>IF(MonthlyFAME!J186=0,"",MonthlyFAME!J186)</f>
        <v>883.5</v>
      </c>
      <c r="J184" s="24"/>
      <c r="K184" s="21">
        <f>IF(MonthlyFAME!L186=0,"",MonthlyFAME!L186)</f>
        <v>35.905191622038203</v>
      </c>
      <c r="L184" s="21">
        <f>IF(MonthlyFAME!M186=0,"",MonthlyFAME!M186)</f>
        <v>558.5</v>
      </c>
      <c r="M184" s="21" t="str">
        <f>IF(MonthlyFAME!N186=0,"",MonthlyFAME!N186)</f>
        <v/>
      </c>
      <c r="N184" s="21" t="str">
        <f>IF(MonthlyFAME!O186=0,"",MonthlyFAME!O186)</f>
        <v/>
      </c>
      <c r="O184" s="21" t="str">
        <f>IF(MonthlyFAME!P186=0,"",MonthlyFAME!P186)</f>
        <v/>
      </c>
      <c r="P184" s="21" t="str">
        <f>IF(MonthlyFAME!Q186=0,"",MonthlyFAME!Q186)</f>
        <v/>
      </c>
      <c r="Q184" s="21" t="str">
        <f>IF(MonthlyFAME!R186=0,"",MonthlyFAME!R186)</f>
        <v/>
      </c>
      <c r="R184" s="21" t="str">
        <f>IF(MonthlyFAME!S186=0,"",MonthlyFAME!S186)</f>
        <v/>
      </c>
      <c r="S184" s="21" t="str">
        <f>IF(MonthlyFAME!T186=0,"",MonthlyFAME!T186)</f>
        <v/>
      </c>
      <c r="T184" s="21" t="str">
        <f>IF(MonthlyFAME!U186=0,"",MonthlyFAME!U186)</f>
        <v/>
      </c>
    </row>
    <row r="185" spans="1:20" x14ac:dyDescent="0.2">
      <c r="A185" s="23">
        <f>IF(MonthlyFAME!A187=0,"",MonthlyFAME!A187)</f>
        <v>27425</v>
      </c>
      <c r="B185" s="21" t="str">
        <f>IF(MonthlyFAME!B187=0,"",MonthlyFAME!B187)</f>
        <v/>
      </c>
      <c r="C185" s="21">
        <f>IF(MonthlyFAME!C187=0,"",MonthlyFAME!C187)</f>
        <v>58.8</v>
      </c>
      <c r="D185" s="21" t="str">
        <f>IF(MonthlyFAME!D187=0,"",MonthlyFAME!D187)</f>
        <v/>
      </c>
      <c r="E185" s="21" t="str">
        <f>IF(MonthlyFAME!F187=0,"",MonthlyFAME!F187)</f>
        <v/>
      </c>
      <c r="F185" s="21" t="str">
        <f>IF(MonthlyFAME!G187=0,"",MonthlyFAME!G187)</f>
        <v/>
      </c>
      <c r="G185" s="21">
        <f>IF(MonthlyFAME!H187=0,"",MonthlyFAME!H187)</f>
        <v>3.799024315292129</v>
      </c>
      <c r="H185" s="21">
        <f>IF(MonthlyFAME!I187=0,"",MonthlyFAME!I187)</f>
        <v>25044</v>
      </c>
      <c r="I185" s="21">
        <f>IF(MonthlyFAME!J187=0,"",MonthlyFAME!J187)</f>
        <v>881.4</v>
      </c>
      <c r="J185" s="24"/>
      <c r="K185" s="21">
        <f>IF(MonthlyFAME!L187=0,"",MonthlyFAME!L187)</f>
        <v>36.304802374369402</v>
      </c>
      <c r="L185" s="21">
        <f>IF(MonthlyFAME!M187=0,"",MonthlyFAME!M187)</f>
        <v>587.79999999999995</v>
      </c>
      <c r="M185" s="21" t="str">
        <f>IF(MonthlyFAME!N187=0,"",MonthlyFAME!N187)</f>
        <v/>
      </c>
      <c r="N185" s="21" t="str">
        <f>IF(MonthlyFAME!O187=0,"",MonthlyFAME!O187)</f>
        <v/>
      </c>
      <c r="O185" s="21" t="str">
        <f>IF(MonthlyFAME!P187=0,"",MonthlyFAME!P187)</f>
        <v/>
      </c>
      <c r="P185" s="21" t="str">
        <f>IF(MonthlyFAME!Q187=0,"",MonthlyFAME!Q187)</f>
        <v/>
      </c>
      <c r="Q185" s="21" t="str">
        <f>IF(MonthlyFAME!R187=0,"",MonthlyFAME!R187)</f>
        <v/>
      </c>
      <c r="R185" s="21" t="str">
        <f>IF(MonthlyFAME!S187=0,"",MonthlyFAME!S187)</f>
        <v/>
      </c>
      <c r="S185" s="21" t="str">
        <f>IF(MonthlyFAME!T187=0,"",MonthlyFAME!T187)</f>
        <v/>
      </c>
      <c r="T185" s="21" t="str">
        <f>IF(MonthlyFAME!U187=0,"",MonthlyFAME!U187)</f>
        <v/>
      </c>
    </row>
    <row r="186" spans="1:20" x14ac:dyDescent="0.2">
      <c r="A186" s="23">
        <f>IF(MonthlyFAME!A188=0,"",MonthlyFAME!A188)</f>
        <v>27453</v>
      </c>
      <c r="B186" s="21" t="str">
        <f>IF(MonthlyFAME!B188=0,"",MonthlyFAME!B188)</f>
        <v/>
      </c>
      <c r="C186" s="21">
        <f>IF(MonthlyFAME!C188=0,"",MonthlyFAME!C188)</f>
        <v>58.5</v>
      </c>
      <c r="D186" s="21" t="str">
        <f>IF(MonthlyFAME!D188=0,"",MonthlyFAME!D188)</f>
        <v/>
      </c>
      <c r="E186" s="21" t="str">
        <f>IF(MonthlyFAME!F188=0,"",MonthlyFAME!F188)</f>
        <v/>
      </c>
      <c r="F186" s="21" t="str">
        <f>IF(MonthlyFAME!G188=0,"",MonthlyFAME!G188)</f>
        <v/>
      </c>
      <c r="G186" s="21">
        <f>IF(MonthlyFAME!H188=0,"",MonthlyFAME!H188)</f>
        <v>3.8693563880883763</v>
      </c>
      <c r="H186" s="21">
        <f>IF(MonthlyFAME!I188=0,"",MonthlyFAME!I188)</f>
        <v>25018</v>
      </c>
      <c r="I186" s="21">
        <f>IF(MonthlyFAME!J188=0,"",MonthlyFAME!J188)</f>
        <v>879</v>
      </c>
      <c r="J186" s="24"/>
      <c r="K186" s="21">
        <f>IF(MonthlyFAME!L188=0,"",MonthlyFAME!L188)</f>
        <v>37.6872079109637</v>
      </c>
      <c r="L186" s="21">
        <f>IF(MonthlyFAME!M188=0,"",MonthlyFAME!M188)</f>
        <v>609.1</v>
      </c>
      <c r="M186" s="21" t="str">
        <f>IF(MonthlyFAME!N188=0,"",MonthlyFAME!N188)</f>
        <v/>
      </c>
      <c r="N186" s="21" t="str">
        <f>IF(MonthlyFAME!O188=0,"",MonthlyFAME!O188)</f>
        <v/>
      </c>
      <c r="O186" s="21" t="str">
        <f>IF(MonthlyFAME!P188=0,"",MonthlyFAME!P188)</f>
        <v/>
      </c>
      <c r="P186" s="21" t="str">
        <f>IF(MonthlyFAME!Q188=0,"",MonthlyFAME!Q188)</f>
        <v/>
      </c>
      <c r="Q186" s="21" t="str">
        <f>IF(MonthlyFAME!R188=0,"",MonthlyFAME!R188)</f>
        <v/>
      </c>
      <c r="R186" s="21" t="str">
        <f>IF(MonthlyFAME!S188=0,"",MonthlyFAME!S188)</f>
        <v/>
      </c>
      <c r="S186" s="21" t="str">
        <f>IF(MonthlyFAME!T188=0,"",MonthlyFAME!T188)</f>
        <v/>
      </c>
      <c r="T186" s="21" t="str">
        <f>IF(MonthlyFAME!U188=0,"",MonthlyFAME!U188)</f>
        <v/>
      </c>
    </row>
    <row r="187" spans="1:20" x14ac:dyDescent="0.2">
      <c r="A187" s="23">
        <f>IF(MonthlyFAME!A189=0,"",MonthlyFAME!A189)</f>
        <v>27484</v>
      </c>
      <c r="B187" s="21" t="str">
        <f>IF(MonthlyFAME!B189=0,"",MonthlyFAME!B189)</f>
        <v/>
      </c>
      <c r="C187" s="21">
        <f>IF(MonthlyFAME!C189=0,"",MonthlyFAME!C189)</f>
        <v>57.3</v>
      </c>
      <c r="D187" s="21" t="str">
        <f>IF(MonthlyFAME!D189=0,"",MonthlyFAME!D189)</f>
        <v/>
      </c>
      <c r="E187" s="21" t="str">
        <f>IF(MonthlyFAME!F189=0,"",MonthlyFAME!F189)</f>
        <v/>
      </c>
      <c r="F187" s="21" t="str">
        <f>IF(MonthlyFAME!G189=0,"",MonthlyFAME!G189)</f>
        <v/>
      </c>
      <c r="G187" s="21">
        <f>IF(MonthlyFAME!H189=0,"",MonthlyFAME!H189)</f>
        <v>3.9538904899135447</v>
      </c>
      <c r="H187" s="21">
        <f>IF(MonthlyFAME!I189=0,"",MonthlyFAME!I189)</f>
        <v>24996</v>
      </c>
      <c r="I187" s="21">
        <f>IF(MonthlyFAME!J189=0,"",MonthlyFAME!J189)</f>
        <v>876.9</v>
      </c>
      <c r="J187" s="24"/>
      <c r="K187" s="21">
        <f>IF(MonthlyFAME!L189=0,"",MonthlyFAME!L189)</f>
        <v>38.366022483050898</v>
      </c>
      <c r="L187" s="21">
        <f>IF(MonthlyFAME!M189=0,"",MonthlyFAME!M189)</f>
        <v>641.70000000000005</v>
      </c>
      <c r="M187" s="21" t="str">
        <f>IF(MonthlyFAME!N189=0,"",MonthlyFAME!N189)</f>
        <v/>
      </c>
      <c r="N187" s="21" t="str">
        <f>IF(MonthlyFAME!O189=0,"",MonthlyFAME!O189)</f>
        <v/>
      </c>
      <c r="O187" s="21" t="str">
        <f>IF(MonthlyFAME!P189=0,"",MonthlyFAME!P189)</f>
        <v/>
      </c>
      <c r="P187" s="21" t="str">
        <f>IF(MonthlyFAME!Q189=0,"",MonthlyFAME!Q189)</f>
        <v/>
      </c>
      <c r="Q187" s="21" t="str">
        <f>IF(MonthlyFAME!R189=0,"",MonthlyFAME!R189)</f>
        <v/>
      </c>
      <c r="R187" s="21" t="str">
        <f>IF(MonthlyFAME!S189=0,"",MonthlyFAME!S189)</f>
        <v/>
      </c>
      <c r="S187" s="21" t="str">
        <f>IF(MonthlyFAME!T189=0,"",MonthlyFAME!T189)</f>
        <v/>
      </c>
      <c r="T187" s="21" t="str">
        <f>IF(MonthlyFAME!U189=0,"",MonthlyFAME!U189)</f>
        <v/>
      </c>
    </row>
    <row r="188" spans="1:20" x14ac:dyDescent="0.2">
      <c r="A188" s="23">
        <f>IF(MonthlyFAME!A190=0,"",MonthlyFAME!A190)</f>
        <v>27514</v>
      </c>
      <c r="B188" s="21" t="str">
        <f>IF(MonthlyFAME!B190=0,"",MonthlyFAME!B190)</f>
        <v/>
      </c>
      <c r="C188" s="21">
        <f>IF(MonthlyFAME!C190=0,"",MonthlyFAME!C190)</f>
        <v>56.3</v>
      </c>
      <c r="D188" s="21" t="str">
        <f>IF(MonthlyFAME!D190=0,"",MonthlyFAME!D190)</f>
        <v/>
      </c>
      <c r="E188" s="21" t="str">
        <f>IF(MonthlyFAME!F190=0,"",MonthlyFAME!F190)</f>
        <v/>
      </c>
      <c r="F188" s="21" t="str">
        <f>IF(MonthlyFAME!G190=0,"",MonthlyFAME!G190)</f>
        <v/>
      </c>
      <c r="G188" s="21">
        <f>IF(MonthlyFAME!H190=0,"",MonthlyFAME!H190)</f>
        <v>4.0522373727674283</v>
      </c>
      <c r="H188" s="21">
        <f>IF(MonthlyFAME!I190=0,"",MonthlyFAME!I190)</f>
        <v>24980</v>
      </c>
      <c r="I188" s="21">
        <f>IF(MonthlyFAME!J190=0,"",MonthlyFAME!J190)</f>
        <v>874.8</v>
      </c>
      <c r="J188" s="24"/>
      <c r="K188" s="21">
        <f>IF(MonthlyFAME!L190=0,"",MonthlyFAME!L190)</f>
        <v>38.9034209136911</v>
      </c>
      <c r="L188" s="21">
        <f>IF(MonthlyFAME!M190=0,"",MonthlyFAME!M190)</f>
        <v>683.4</v>
      </c>
      <c r="M188" s="21" t="str">
        <f>IF(MonthlyFAME!N190=0,"",MonthlyFAME!N190)</f>
        <v/>
      </c>
      <c r="N188" s="21" t="str">
        <f>IF(MonthlyFAME!O190=0,"",MonthlyFAME!O190)</f>
        <v/>
      </c>
      <c r="O188" s="21" t="str">
        <f>IF(MonthlyFAME!P190=0,"",MonthlyFAME!P190)</f>
        <v/>
      </c>
      <c r="P188" s="21" t="str">
        <f>IF(MonthlyFAME!Q190=0,"",MonthlyFAME!Q190)</f>
        <v/>
      </c>
      <c r="Q188" s="21" t="str">
        <f>IF(MonthlyFAME!R190=0,"",MonthlyFAME!R190)</f>
        <v/>
      </c>
      <c r="R188" s="21" t="str">
        <f>IF(MonthlyFAME!S190=0,"",MonthlyFAME!S190)</f>
        <v/>
      </c>
      <c r="S188" s="21" t="str">
        <f>IF(MonthlyFAME!T190=0,"",MonthlyFAME!T190)</f>
        <v/>
      </c>
      <c r="T188" s="21" t="str">
        <f>IF(MonthlyFAME!U190=0,"",MonthlyFAME!U190)</f>
        <v/>
      </c>
    </row>
    <row r="189" spans="1:20" x14ac:dyDescent="0.2">
      <c r="A189" s="23">
        <f>IF(MonthlyFAME!A191=0,"",MonthlyFAME!A191)</f>
        <v>27545</v>
      </c>
      <c r="B189" s="21" t="str">
        <f>IF(MonthlyFAME!B191=0,"",MonthlyFAME!B191)</f>
        <v/>
      </c>
      <c r="C189" s="21">
        <f>IF(MonthlyFAME!C191=0,"",MonthlyFAME!C191)</f>
        <v>55.5</v>
      </c>
      <c r="D189" s="21" t="str">
        <f>IF(MonthlyFAME!D191=0,"",MonthlyFAME!D191)</f>
        <v/>
      </c>
      <c r="E189" s="21" t="str">
        <f>IF(MonthlyFAME!F191=0,"",MonthlyFAME!F191)</f>
        <v/>
      </c>
      <c r="F189" s="21" t="str">
        <f>IF(MonthlyFAME!G191=0,"",MonthlyFAME!G191)</f>
        <v/>
      </c>
      <c r="G189" s="21">
        <f>IF(MonthlyFAME!H191=0,"",MonthlyFAME!H191)</f>
        <v>4.1797804559760499</v>
      </c>
      <c r="H189" s="21">
        <f>IF(MonthlyFAME!I191=0,"",MonthlyFAME!I191)</f>
        <v>24965</v>
      </c>
      <c r="I189" s="21">
        <f>IF(MonthlyFAME!J191=0,"",MonthlyFAME!J191)</f>
        <v>873.1</v>
      </c>
      <c r="J189" s="24"/>
      <c r="K189" s="21">
        <f>IF(MonthlyFAME!L191=0,"",MonthlyFAME!L191)</f>
        <v>38.575786884608199</v>
      </c>
      <c r="L189" s="21">
        <f>IF(MonthlyFAME!M191=0,"",MonthlyFAME!M191)</f>
        <v>734.4</v>
      </c>
      <c r="M189" s="21" t="str">
        <f>IF(MonthlyFAME!N191=0,"",MonthlyFAME!N191)</f>
        <v/>
      </c>
      <c r="N189" s="21" t="str">
        <f>IF(MonthlyFAME!O191=0,"",MonthlyFAME!O191)</f>
        <v/>
      </c>
      <c r="O189" s="21" t="str">
        <f>IF(MonthlyFAME!P191=0,"",MonthlyFAME!P191)</f>
        <v/>
      </c>
      <c r="P189" s="21" t="str">
        <f>IF(MonthlyFAME!Q191=0,"",MonthlyFAME!Q191)</f>
        <v/>
      </c>
      <c r="Q189" s="21" t="str">
        <f>IF(MonthlyFAME!R191=0,"",MonthlyFAME!R191)</f>
        <v/>
      </c>
      <c r="R189" s="21" t="str">
        <f>IF(MonthlyFAME!S191=0,"",MonthlyFAME!S191)</f>
        <v/>
      </c>
      <c r="S189" s="21" t="str">
        <f>IF(MonthlyFAME!T191=0,"",MonthlyFAME!T191)</f>
        <v/>
      </c>
      <c r="T189" s="21" t="str">
        <f>IF(MonthlyFAME!U191=0,"",MonthlyFAME!U191)</f>
        <v/>
      </c>
    </row>
    <row r="190" spans="1:20" x14ac:dyDescent="0.2">
      <c r="A190" s="23">
        <f>IF(MonthlyFAME!A192=0,"",MonthlyFAME!A192)</f>
        <v>27575</v>
      </c>
      <c r="B190" s="21" t="str">
        <f>IF(MonthlyFAME!B192=0,"",MonthlyFAME!B192)</f>
        <v/>
      </c>
      <c r="C190" s="21">
        <f>IF(MonthlyFAME!C192=0,"",MonthlyFAME!C192)</f>
        <v>55.9</v>
      </c>
      <c r="D190" s="21" t="str">
        <f>IF(MonthlyFAME!D192=0,"",MonthlyFAME!D192)</f>
        <v/>
      </c>
      <c r="E190" s="21" t="str">
        <f>IF(MonthlyFAME!F192=0,"",MonthlyFAME!F192)</f>
        <v/>
      </c>
      <c r="F190" s="21" t="str">
        <f>IF(MonthlyFAME!G192=0,"",MonthlyFAME!G192)</f>
        <v/>
      </c>
      <c r="G190" s="21">
        <f>IF(MonthlyFAME!H192=0,"",MonthlyFAME!H192)</f>
        <v>4.3173191211993407</v>
      </c>
      <c r="H190" s="21">
        <f>IF(MonthlyFAME!I192=0,"",MonthlyFAME!I192)</f>
        <v>24955</v>
      </c>
      <c r="I190" s="21">
        <f>IF(MonthlyFAME!J192=0,"",MonthlyFAME!J192)</f>
        <v>871.4</v>
      </c>
      <c r="J190" s="24"/>
      <c r="K190" s="21">
        <f>IF(MonthlyFAME!L192=0,"",MonthlyFAME!L192)</f>
        <v>39.192433911047303</v>
      </c>
      <c r="L190" s="21">
        <f>IF(MonthlyFAME!M192=0,"",MonthlyFAME!M192)</f>
        <v>774.2</v>
      </c>
      <c r="M190" s="21" t="str">
        <f>IF(MonthlyFAME!N192=0,"",MonthlyFAME!N192)</f>
        <v/>
      </c>
      <c r="N190" s="21" t="str">
        <f>IF(MonthlyFAME!O192=0,"",MonthlyFAME!O192)</f>
        <v/>
      </c>
      <c r="O190" s="21" t="str">
        <f>IF(MonthlyFAME!P192=0,"",MonthlyFAME!P192)</f>
        <v/>
      </c>
      <c r="P190" s="21" t="str">
        <f>IF(MonthlyFAME!Q192=0,"",MonthlyFAME!Q192)</f>
        <v/>
      </c>
      <c r="Q190" s="21" t="str">
        <f>IF(MonthlyFAME!R192=0,"",MonthlyFAME!R192)</f>
        <v/>
      </c>
      <c r="R190" s="21" t="str">
        <f>IF(MonthlyFAME!S192=0,"",MonthlyFAME!S192)</f>
        <v/>
      </c>
      <c r="S190" s="21" t="str">
        <f>IF(MonthlyFAME!T192=0,"",MonthlyFAME!T192)</f>
        <v/>
      </c>
      <c r="T190" s="21" t="str">
        <f>IF(MonthlyFAME!U192=0,"",MonthlyFAME!U192)</f>
        <v/>
      </c>
    </row>
    <row r="191" spans="1:20" x14ac:dyDescent="0.2">
      <c r="A191" s="23">
        <f>IF(MonthlyFAME!A193=0,"",MonthlyFAME!A193)</f>
        <v>27606</v>
      </c>
      <c r="B191" s="21" t="str">
        <f>IF(MonthlyFAME!B193=0,"",MonthlyFAME!B193)</f>
        <v/>
      </c>
      <c r="C191" s="21">
        <f>IF(MonthlyFAME!C193=0,"",MonthlyFAME!C193)</f>
        <v>55.2</v>
      </c>
      <c r="D191" s="21" t="str">
        <f>IF(MonthlyFAME!D193=0,"",MonthlyFAME!D193)</f>
        <v/>
      </c>
      <c r="E191" s="21" t="str">
        <f>IF(MonthlyFAME!F193=0,"",MonthlyFAME!F193)</f>
        <v/>
      </c>
      <c r="F191" s="21" t="str">
        <f>IF(MonthlyFAME!G193=0,"",MonthlyFAME!G193)</f>
        <v/>
      </c>
      <c r="G191" s="21">
        <f>IF(MonthlyFAME!H193=0,"",MonthlyFAME!H193)</f>
        <v>4.4509135480905506</v>
      </c>
      <c r="H191" s="21">
        <f>IF(MonthlyFAME!I193=0,"",MonthlyFAME!I193)</f>
        <v>24945</v>
      </c>
      <c r="I191" s="21">
        <f>IF(MonthlyFAME!J193=0,"",MonthlyFAME!J193)</f>
        <v>870.1</v>
      </c>
      <c r="J191" s="24"/>
      <c r="K191" s="21">
        <f>IF(MonthlyFAME!L193=0,"",MonthlyFAME!L193)</f>
        <v>40.623706361266301</v>
      </c>
      <c r="L191" s="21">
        <f>IF(MonthlyFAME!M193=0,"",MonthlyFAME!M193)</f>
        <v>818.7</v>
      </c>
      <c r="M191" s="21" t="str">
        <f>IF(MonthlyFAME!N193=0,"",MonthlyFAME!N193)</f>
        <v/>
      </c>
      <c r="N191" s="21" t="str">
        <f>IF(MonthlyFAME!O193=0,"",MonthlyFAME!O193)</f>
        <v/>
      </c>
      <c r="O191" s="21" t="str">
        <f>IF(MonthlyFAME!P193=0,"",MonthlyFAME!P193)</f>
        <v/>
      </c>
      <c r="P191" s="21" t="str">
        <f>IF(MonthlyFAME!Q193=0,"",MonthlyFAME!Q193)</f>
        <v/>
      </c>
      <c r="Q191" s="21" t="str">
        <f>IF(MonthlyFAME!R193=0,"",MonthlyFAME!R193)</f>
        <v/>
      </c>
      <c r="R191" s="21" t="str">
        <f>IF(MonthlyFAME!S193=0,"",MonthlyFAME!S193)</f>
        <v/>
      </c>
      <c r="S191" s="21" t="str">
        <f>IF(MonthlyFAME!T193=0,"",MonthlyFAME!T193)</f>
        <v/>
      </c>
      <c r="T191" s="21" t="str">
        <f>IF(MonthlyFAME!U193=0,"",MonthlyFAME!U193)</f>
        <v/>
      </c>
    </row>
    <row r="192" spans="1:20" x14ac:dyDescent="0.2">
      <c r="A192" s="23">
        <f>IF(MonthlyFAME!A194=0,"",MonthlyFAME!A194)</f>
        <v>27637</v>
      </c>
      <c r="B192" s="21" t="str">
        <f>IF(MonthlyFAME!B194=0,"",MonthlyFAME!B194)</f>
        <v/>
      </c>
      <c r="C192" s="21">
        <f>IF(MonthlyFAME!C194=0,"",MonthlyFAME!C194)</f>
        <v>54.5</v>
      </c>
      <c r="D192" s="21" t="str">
        <f>IF(MonthlyFAME!D194=0,"",MonthlyFAME!D194)</f>
        <v/>
      </c>
      <c r="E192" s="21" t="str">
        <f>IF(MonthlyFAME!F194=0,"",MonthlyFAME!F194)</f>
        <v/>
      </c>
      <c r="F192" s="21" t="str">
        <f>IF(MonthlyFAME!G194=0,"",MonthlyFAME!G194)</f>
        <v/>
      </c>
      <c r="G192" s="21">
        <f>IF(MonthlyFAME!H194=0,"",MonthlyFAME!H194)</f>
        <v>4.5661576147280591</v>
      </c>
      <c r="H192" s="21">
        <f>IF(MonthlyFAME!I194=0,"",MonthlyFAME!I194)</f>
        <v>24934</v>
      </c>
      <c r="I192" s="21">
        <f>IF(MonthlyFAME!J194=0,"",MonthlyFAME!J194)</f>
        <v>868.9</v>
      </c>
      <c r="J192" s="24"/>
      <c r="K192" s="21">
        <f>IF(MonthlyFAME!L194=0,"",MonthlyFAME!L194)</f>
        <v>41.232878734776101</v>
      </c>
      <c r="L192" s="21">
        <f>IF(MonthlyFAME!M194=0,"",MonthlyFAME!M194)</f>
        <v>845.8</v>
      </c>
      <c r="M192" s="21" t="str">
        <f>IF(MonthlyFAME!N194=0,"",MonthlyFAME!N194)</f>
        <v/>
      </c>
      <c r="N192" s="21" t="str">
        <f>IF(MonthlyFAME!O194=0,"",MonthlyFAME!O194)</f>
        <v/>
      </c>
      <c r="O192" s="21" t="str">
        <f>IF(MonthlyFAME!P194=0,"",MonthlyFAME!P194)</f>
        <v/>
      </c>
      <c r="P192" s="21" t="str">
        <f>IF(MonthlyFAME!Q194=0,"",MonthlyFAME!Q194)</f>
        <v/>
      </c>
      <c r="Q192" s="21" t="str">
        <f>IF(MonthlyFAME!R194=0,"",MonthlyFAME!R194)</f>
        <v/>
      </c>
      <c r="R192" s="21" t="str">
        <f>IF(MonthlyFAME!S194=0,"",MonthlyFAME!S194)</f>
        <v/>
      </c>
      <c r="S192" s="21" t="str">
        <f>IF(MonthlyFAME!T194=0,"",MonthlyFAME!T194)</f>
        <v/>
      </c>
      <c r="T192" s="21" t="str">
        <f>IF(MonthlyFAME!U194=0,"",MonthlyFAME!U194)</f>
        <v/>
      </c>
    </row>
    <row r="193" spans="1:20" x14ac:dyDescent="0.2">
      <c r="A193" s="23">
        <f>IF(MonthlyFAME!A195=0,"",MonthlyFAME!A195)</f>
        <v>27667</v>
      </c>
      <c r="B193" s="21" t="str">
        <f>IF(MonthlyFAME!B195=0,"",MonthlyFAME!B195)</f>
        <v/>
      </c>
      <c r="C193" s="21">
        <f>IF(MonthlyFAME!C195=0,"",MonthlyFAME!C195)</f>
        <v>55.5</v>
      </c>
      <c r="D193" s="21" t="str">
        <f>IF(MonthlyFAME!D195=0,"",MonthlyFAME!D195)</f>
        <v/>
      </c>
      <c r="E193" s="21" t="str">
        <f>IF(MonthlyFAME!F195=0,"",MonthlyFAME!F195)</f>
        <v/>
      </c>
      <c r="F193" s="21" t="str">
        <f>IF(MonthlyFAME!G195=0,"",MonthlyFAME!G195)</f>
        <v/>
      </c>
      <c r="G193" s="21">
        <f>IF(MonthlyFAME!H195=0,"",MonthlyFAME!H195)</f>
        <v>4.6711809939171349</v>
      </c>
      <c r="H193" s="21">
        <f>IF(MonthlyFAME!I195=0,"",MonthlyFAME!I195)</f>
        <v>24918</v>
      </c>
      <c r="I193" s="21">
        <f>IF(MonthlyFAME!J195=0,"",MonthlyFAME!J195)</f>
        <v>867.4</v>
      </c>
      <c r="J193" s="24"/>
      <c r="K193" s="21">
        <f>IF(MonthlyFAME!L195=0,"",MonthlyFAME!L195)</f>
        <v>42.262148625771601</v>
      </c>
      <c r="L193" s="21">
        <f>IF(MonthlyFAME!M195=0,"",MonthlyFAME!M195)</f>
        <v>877</v>
      </c>
      <c r="M193" s="21" t="str">
        <f>IF(MonthlyFAME!N195=0,"",MonthlyFAME!N195)</f>
        <v/>
      </c>
      <c r="N193" s="21" t="str">
        <f>IF(MonthlyFAME!O195=0,"",MonthlyFAME!O195)</f>
        <v/>
      </c>
      <c r="O193" s="21" t="str">
        <f>IF(MonthlyFAME!P195=0,"",MonthlyFAME!P195)</f>
        <v/>
      </c>
      <c r="P193" s="21" t="str">
        <f>IF(MonthlyFAME!Q195=0,"",MonthlyFAME!Q195)</f>
        <v/>
      </c>
      <c r="Q193" s="21" t="str">
        <f>IF(MonthlyFAME!R195=0,"",MonthlyFAME!R195)</f>
        <v/>
      </c>
      <c r="R193" s="21" t="str">
        <f>IF(MonthlyFAME!S195=0,"",MonthlyFAME!S195)</f>
        <v/>
      </c>
      <c r="S193" s="21" t="str">
        <f>IF(MonthlyFAME!T195=0,"",MonthlyFAME!T195)</f>
        <v/>
      </c>
      <c r="T193" s="21" t="str">
        <f>IF(MonthlyFAME!U195=0,"",MonthlyFAME!U195)</f>
        <v/>
      </c>
    </row>
    <row r="194" spans="1:20" x14ac:dyDescent="0.2">
      <c r="A194" s="23">
        <f>IF(MonthlyFAME!A196=0,"",MonthlyFAME!A196)</f>
        <v>27698</v>
      </c>
      <c r="B194" s="21" t="str">
        <f>IF(MonthlyFAME!B196=0,"",MonthlyFAME!B196)</f>
        <v/>
      </c>
      <c r="C194" s="21">
        <f>IF(MonthlyFAME!C196=0,"",MonthlyFAME!C196)</f>
        <v>56.1</v>
      </c>
      <c r="D194" s="21" t="str">
        <f>IF(MonthlyFAME!D196=0,"",MonthlyFAME!D196)</f>
        <v/>
      </c>
      <c r="E194" s="21" t="str">
        <f>IF(MonthlyFAME!F196=0,"",MonthlyFAME!F196)</f>
        <v/>
      </c>
      <c r="F194" s="21" t="str">
        <f>IF(MonthlyFAME!G196=0,"",MonthlyFAME!G196)</f>
        <v/>
      </c>
      <c r="G194" s="21">
        <f>IF(MonthlyFAME!H196=0,"",MonthlyFAME!H196)</f>
        <v>4.7879460017591491</v>
      </c>
      <c r="H194" s="21">
        <f>IF(MonthlyFAME!I196=0,"",MonthlyFAME!I196)</f>
        <v>24897</v>
      </c>
      <c r="I194" s="21">
        <f>IF(MonthlyFAME!J196=0,"",MonthlyFAME!J196)</f>
        <v>865.9</v>
      </c>
      <c r="J194" s="24"/>
      <c r="K194" s="21">
        <f>IF(MonthlyFAME!L196=0,"",MonthlyFAME!L196)</f>
        <v>42.577399220279503</v>
      </c>
      <c r="L194" s="21">
        <f>IF(MonthlyFAME!M196=0,"",MonthlyFAME!M196)</f>
        <v>934.4</v>
      </c>
      <c r="M194" s="21" t="str">
        <f>IF(MonthlyFAME!N196=0,"",MonthlyFAME!N196)</f>
        <v/>
      </c>
      <c r="N194" s="21" t="str">
        <f>IF(MonthlyFAME!O196=0,"",MonthlyFAME!O196)</f>
        <v/>
      </c>
      <c r="O194" s="21" t="str">
        <f>IF(MonthlyFAME!P196=0,"",MonthlyFAME!P196)</f>
        <v/>
      </c>
      <c r="P194" s="21" t="str">
        <f>IF(MonthlyFAME!Q196=0,"",MonthlyFAME!Q196)</f>
        <v/>
      </c>
      <c r="Q194" s="21" t="str">
        <f>IF(MonthlyFAME!R196=0,"",MonthlyFAME!R196)</f>
        <v/>
      </c>
      <c r="R194" s="21" t="str">
        <f>IF(MonthlyFAME!S196=0,"",MonthlyFAME!S196)</f>
        <v/>
      </c>
      <c r="S194" s="21" t="str">
        <f>IF(MonthlyFAME!T196=0,"",MonthlyFAME!T196)</f>
        <v/>
      </c>
      <c r="T194" s="21" t="str">
        <f>IF(MonthlyFAME!U196=0,"",MonthlyFAME!U196)</f>
        <v/>
      </c>
    </row>
    <row r="195" spans="1:20" x14ac:dyDescent="0.2">
      <c r="A195" s="23">
        <f>IF(MonthlyFAME!A197=0,"",MonthlyFAME!A197)</f>
        <v>27728</v>
      </c>
      <c r="B195" s="21" t="str">
        <f>IF(MonthlyFAME!B197=0,"",MonthlyFAME!B197)</f>
        <v/>
      </c>
      <c r="C195" s="21">
        <f>IF(MonthlyFAME!C197=0,"",MonthlyFAME!C197)</f>
        <v>56.2</v>
      </c>
      <c r="D195" s="21" t="str">
        <f>IF(MonthlyFAME!D197=0,"",MonthlyFAME!D197)</f>
        <v/>
      </c>
      <c r="E195" s="21" t="str">
        <f>IF(MonthlyFAME!F197=0,"",MonthlyFAME!F197)</f>
        <v/>
      </c>
      <c r="F195" s="21" t="str">
        <f>IF(MonthlyFAME!G197=0,"",MonthlyFAME!G197)</f>
        <v/>
      </c>
      <c r="G195" s="21">
        <f>IF(MonthlyFAME!H197=0,"",MonthlyFAME!H197)</f>
        <v>4.9147748987235342</v>
      </c>
      <c r="H195" s="21">
        <f>IF(MonthlyFAME!I197=0,"",MonthlyFAME!I197)</f>
        <v>24880</v>
      </c>
      <c r="I195" s="21">
        <f>IF(MonthlyFAME!J197=0,"",MonthlyFAME!J197)</f>
        <v>864.7</v>
      </c>
      <c r="J195" s="24"/>
      <c r="K195" s="21">
        <f>IF(MonthlyFAME!L197=0,"",MonthlyFAME!L197)</f>
        <v>43.265729233166901</v>
      </c>
      <c r="L195" s="21">
        <f>IF(MonthlyFAME!M197=0,"",MonthlyFAME!M197)</f>
        <v>970.1</v>
      </c>
      <c r="M195" s="21" t="str">
        <f>IF(MonthlyFAME!N197=0,"",MonthlyFAME!N197)</f>
        <v/>
      </c>
      <c r="N195" s="21" t="str">
        <f>IF(MonthlyFAME!O197=0,"",MonthlyFAME!O197)</f>
        <v/>
      </c>
      <c r="O195" s="21" t="str">
        <f>IF(MonthlyFAME!P197=0,"",MonthlyFAME!P197)</f>
        <v/>
      </c>
      <c r="P195" s="21" t="str">
        <f>IF(MonthlyFAME!Q197=0,"",MonthlyFAME!Q197)</f>
        <v/>
      </c>
      <c r="Q195" s="21" t="str">
        <f>IF(MonthlyFAME!R197=0,"",MonthlyFAME!R197)</f>
        <v/>
      </c>
      <c r="R195" s="21" t="str">
        <f>IF(MonthlyFAME!S197=0,"",MonthlyFAME!S197)</f>
        <v/>
      </c>
      <c r="S195" s="21" t="str">
        <f>IF(MonthlyFAME!T197=0,"",MonthlyFAME!T197)</f>
        <v/>
      </c>
      <c r="T195" s="21" t="str">
        <f>IF(MonthlyFAME!U197=0,"",MonthlyFAME!U197)</f>
        <v/>
      </c>
    </row>
    <row r="196" spans="1:20" x14ac:dyDescent="0.2">
      <c r="A196" s="23">
        <f>IF(MonthlyFAME!A198=0,"",MonthlyFAME!A198)</f>
        <v>27759</v>
      </c>
      <c r="B196" s="21" t="str">
        <f>IF(MonthlyFAME!B198=0,"",MonthlyFAME!B198)</f>
        <v/>
      </c>
      <c r="C196" s="21">
        <f>IF(MonthlyFAME!C198=0,"",MonthlyFAME!C198)</f>
        <v>55.9</v>
      </c>
      <c r="D196" s="21" t="str">
        <f>IF(MonthlyFAME!D198=0,"",MonthlyFAME!D198)</f>
        <v/>
      </c>
      <c r="E196" s="21" t="str">
        <f>IF(MonthlyFAME!F198=0,"",MonthlyFAME!F198)</f>
        <v/>
      </c>
      <c r="F196" s="21" t="str">
        <f>IF(MonthlyFAME!G198=0,"",MonthlyFAME!G198)</f>
        <v/>
      </c>
      <c r="G196" s="21">
        <f>IF(MonthlyFAME!H198=0,"",MonthlyFAME!H198)</f>
        <v>5.0376198296604668</v>
      </c>
      <c r="H196" s="21">
        <f>IF(MonthlyFAME!I198=0,"",MonthlyFAME!I198)</f>
        <v>24864</v>
      </c>
      <c r="I196" s="21">
        <f>IF(MonthlyFAME!J198=0,"",MonthlyFAME!J198)</f>
        <v>863.6</v>
      </c>
      <c r="J196" s="24"/>
      <c r="K196" s="21">
        <f>IF(MonthlyFAME!L198=0,"",MonthlyFAME!L198)</f>
        <v>43.520828406979803</v>
      </c>
      <c r="L196" s="21">
        <f>IF(MonthlyFAME!M198=0,"",MonthlyFAME!M198)</f>
        <v>997.1</v>
      </c>
      <c r="M196" s="21" t="str">
        <f>IF(MonthlyFAME!N198=0,"",MonthlyFAME!N198)</f>
        <v/>
      </c>
      <c r="N196" s="21" t="str">
        <f>IF(MonthlyFAME!O198=0,"",MonthlyFAME!O198)</f>
        <v/>
      </c>
      <c r="O196" s="21" t="str">
        <f>IF(MonthlyFAME!P198=0,"",MonthlyFAME!P198)</f>
        <v/>
      </c>
      <c r="P196" s="21" t="str">
        <f>IF(MonthlyFAME!Q198=0,"",MonthlyFAME!Q198)</f>
        <v/>
      </c>
      <c r="Q196" s="21" t="str">
        <f>IF(MonthlyFAME!R198=0,"",MonthlyFAME!R198)</f>
        <v/>
      </c>
      <c r="R196" s="21" t="str">
        <f>IF(MonthlyFAME!S198=0,"",MonthlyFAME!S198)</f>
        <v/>
      </c>
      <c r="S196" s="21" t="str">
        <f>IF(MonthlyFAME!T198=0,"",MonthlyFAME!T198)</f>
        <v/>
      </c>
      <c r="T196" s="21" t="str">
        <f>IF(MonthlyFAME!U198=0,"",MonthlyFAME!U198)</f>
        <v/>
      </c>
    </row>
    <row r="197" spans="1:20" x14ac:dyDescent="0.2">
      <c r="A197" s="23">
        <f>IF(MonthlyFAME!A199=0,"",MonthlyFAME!A199)</f>
        <v>27790</v>
      </c>
      <c r="B197" s="21" t="str">
        <f>IF(MonthlyFAME!B199=0,"",MonthlyFAME!B199)</f>
        <v/>
      </c>
      <c r="C197" s="21">
        <f>IF(MonthlyFAME!C199=0,"",MonthlyFAME!C199)</f>
        <v>56.3</v>
      </c>
      <c r="D197" s="21" t="str">
        <f>IF(MonthlyFAME!D199=0,"",MonthlyFAME!D199)</f>
        <v/>
      </c>
      <c r="E197" s="21" t="str">
        <f>IF(MonthlyFAME!F199=0,"",MonthlyFAME!F199)</f>
        <v/>
      </c>
      <c r="F197" s="21" t="str">
        <f>IF(MonthlyFAME!G199=0,"",MonthlyFAME!G199)</f>
        <v/>
      </c>
      <c r="G197" s="21">
        <f>IF(MonthlyFAME!H199=0,"",MonthlyFAME!H199)</f>
        <v>5.1279114165712105</v>
      </c>
      <c r="H197" s="21">
        <f>IF(MonthlyFAME!I199=0,"",MonthlyFAME!I199)</f>
        <v>24847</v>
      </c>
      <c r="I197" s="21">
        <f>IF(MonthlyFAME!J199=0,"",MonthlyFAME!J199)</f>
        <v>862.7</v>
      </c>
      <c r="J197" s="24"/>
      <c r="K197" s="21">
        <f>IF(MonthlyFAME!L199=0,"",MonthlyFAME!L199)</f>
        <v>44.455050548162099</v>
      </c>
      <c r="L197" s="21">
        <f>IF(MonthlyFAME!M199=0,"",MonthlyFAME!M199)</f>
        <v>1022</v>
      </c>
      <c r="M197" s="21" t="str">
        <f>IF(MonthlyFAME!N199=0,"",MonthlyFAME!N199)</f>
        <v/>
      </c>
      <c r="N197" s="21" t="str">
        <f>IF(MonthlyFAME!O199=0,"",MonthlyFAME!O199)</f>
        <v/>
      </c>
      <c r="O197" s="21" t="str">
        <f>IF(MonthlyFAME!P199=0,"",MonthlyFAME!P199)</f>
        <v/>
      </c>
      <c r="P197" s="21" t="str">
        <f>IF(MonthlyFAME!Q199=0,"",MonthlyFAME!Q199)</f>
        <v/>
      </c>
      <c r="Q197" s="21" t="str">
        <f>IF(MonthlyFAME!R199=0,"",MonthlyFAME!R199)</f>
        <v/>
      </c>
      <c r="R197" s="21" t="str">
        <f>IF(MonthlyFAME!S199=0,"",MonthlyFAME!S199)</f>
        <v/>
      </c>
      <c r="S197" s="21" t="str">
        <f>IF(MonthlyFAME!T199=0,"",MonthlyFAME!T199)</f>
        <v/>
      </c>
      <c r="T197" s="21" t="str">
        <f>IF(MonthlyFAME!U199=0,"",MonthlyFAME!U199)</f>
        <v/>
      </c>
    </row>
    <row r="198" spans="1:20" x14ac:dyDescent="0.2">
      <c r="A198" s="23">
        <f>IF(MonthlyFAME!A200=0,"",MonthlyFAME!A200)</f>
        <v>27819</v>
      </c>
      <c r="B198" s="21" t="str">
        <f>IF(MonthlyFAME!B200=0,"",MonthlyFAME!B200)</f>
        <v/>
      </c>
      <c r="C198" s="21">
        <f>IF(MonthlyFAME!C200=0,"",MonthlyFAME!C200)</f>
        <v>57</v>
      </c>
      <c r="D198" s="21" t="str">
        <f>IF(MonthlyFAME!D200=0,"",MonthlyFAME!D200)</f>
        <v/>
      </c>
      <c r="E198" s="21" t="str">
        <f>IF(MonthlyFAME!F200=0,"",MonthlyFAME!F200)</f>
        <v/>
      </c>
      <c r="F198" s="21" t="str">
        <f>IF(MonthlyFAME!G200=0,"",MonthlyFAME!G200)</f>
        <v/>
      </c>
      <c r="G198" s="21">
        <f>IF(MonthlyFAME!H200=0,"",MonthlyFAME!H200)</f>
        <v>5.2046738964411183</v>
      </c>
      <c r="H198" s="21">
        <f>IF(MonthlyFAME!I200=0,"",MonthlyFAME!I200)</f>
        <v>24825</v>
      </c>
      <c r="I198" s="21">
        <f>IF(MonthlyFAME!J200=0,"",MonthlyFAME!J200)</f>
        <v>861.5</v>
      </c>
      <c r="J198" s="24"/>
      <c r="K198" s="21">
        <f>IF(MonthlyFAME!L200=0,"",MonthlyFAME!L200)</f>
        <v>44.761935478374099</v>
      </c>
      <c r="L198" s="21">
        <f>IF(MonthlyFAME!M200=0,"",MonthlyFAME!M200)</f>
        <v>1042.3</v>
      </c>
      <c r="M198" s="21" t="str">
        <f>IF(MonthlyFAME!N200=0,"",MonthlyFAME!N200)</f>
        <v/>
      </c>
      <c r="N198" s="21" t="str">
        <f>IF(MonthlyFAME!O200=0,"",MonthlyFAME!O200)</f>
        <v/>
      </c>
      <c r="O198" s="21" t="str">
        <f>IF(MonthlyFAME!P200=0,"",MonthlyFAME!P200)</f>
        <v/>
      </c>
      <c r="P198" s="21" t="str">
        <f>IF(MonthlyFAME!Q200=0,"",MonthlyFAME!Q200)</f>
        <v/>
      </c>
      <c r="Q198" s="21" t="str">
        <f>IF(MonthlyFAME!R200=0,"",MonthlyFAME!R200)</f>
        <v/>
      </c>
      <c r="R198" s="21" t="str">
        <f>IF(MonthlyFAME!S200=0,"",MonthlyFAME!S200)</f>
        <v/>
      </c>
      <c r="S198" s="21" t="str">
        <f>IF(MonthlyFAME!T200=0,"",MonthlyFAME!T200)</f>
        <v/>
      </c>
      <c r="T198" s="21" t="str">
        <f>IF(MonthlyFAME!U200=0,"",MonthlyFAME!U200)</f>
        <v/>
      </c>
    </row>
    <row r="199" spans="1:20" x14ac:dyDescent="0.2">
      <c r="A199" s="23">
        <f>IF(MonthlyFAME!A201=0,"",MonthlyFAME!A201)</f>
        <v>27850</v>
      </c>
      <c r="B199" s="21" t="str">
        <f>IF(MonthlyFAME!B201=0,"",MonthlyFAME!B201)</f>
        <v/>
      </c>
      <c r="C199" s="21">
        <f>IF(MonthlyFAME!C201=0,"",MonthlyFAME!C201)</f>
        <v>57.2</v>
      </c>
      <c r="D199" s="21" t="str">
        <f>IF(MonthlyFAME!D201=0,"",MonthlyFAME!D201)</f>
        <v/>
      </c>
      <c r="E199" s="21" t="str">
        <f>IF(MonthlyFAME!F201=0,"",MonthlyFAME!F201)</f>
        <v/>
      </c>
      <c r="F199" s="21" t="str">
        <f>IF(MonthlyFAME!G201=0,"",MonthlyFAME!G201)</f>
        <v/>
      </c>
      <c r="G199" s="21">
        <f>IF(MonthlyFAME!H201=0,"",MonthlyFAME!H201)</f>
        <v>5.2657705819459295</v>
      </c>
      <c r="H199" s="21">
        <f>IF(MonthlyFAME!I201=0,"",MonthlyFAME!I201)</f>
        <v>24809</v>
      </c>
      <c r="I199" s="21">
        <f>IF(MonthlyFAME!J201=0,"",MonthlyFAME!J201)</f>
        <v>860.8</v>
      </c>
      <c r="J199" s="24"/>
      <c r="K199" s="21">
        <f>IF(MonthlyFAME!L201=0,"",MonthlyFAME!L201)</f>
        <v>44.904742421494198</v>
      </c>
      <c r="L199" s="21">
        <f>IF(MonthlyFAME!M201=0,"",MonthlyFAME!M201)</f>
        <v>1055.5999999999999</v>
      </c>
      <c r="M199" s="21" t="str">
        <f>IF(MonthlyFAME!N201=0,"",MonthlyFAME!N201)</f>
        <v/>
      </c>
      <c r="N199" s="21" t="str">
        <f>IF(MonthlyFAME!O201=0,"",MonthlyFAME!O201)</f>
        <v/>
      </c>
      <c r="O199" s="21" t="str">
        <f>IF(MonthlyFAME!P201=0,"",MonthlyFAME!P201)</f>
        <v/>
      </c>
      <c r="P199" s="21" t="str">
        <f>IF(MonthlyFAME!Q201=0,"",MonthlyFAME!Q201)</f>
        <v/>
      </c>
      <c r="Q199" s="21" t="str">
        <f>IF(MonthlyFAME!R201=0,"",MonthlyFAME!R201)</f>
        <v/>
      </c>
      <c r="R199" s="21" t="str">
        <f>IF(MonthlyFAME!S201=0,"",MonthlyFAME!S201)</f>
        <v/>
      </c>
      <c r="S199" s="21" t="str">
        <f>IF(MonthlyFAME!T201=0,"",MonthlyFAME!T201)</f>
        <v/>
      </c>
      <c r="T199" s="21" t="str">
        <f>IF(MonthlyFAME!U201=0,"",MonthlyFAME!U201)</f>
        <v/>
      </c>
    </row>
    <row r="200" spans="1:20" x14ac:dyDescent="0.2">
      <c r="A200" s="23">
        <f>IF(MonthlyFAME!A202=0,"",MonthlyFAME!A202)</f>
        <v>27880</v>
      </c>
      <c r="B200" s="21" t="str">
        <f>IF(MonthlyFAME!B202=0,"",MonthlyFAME!B202)</f>
        <v/>
      </c>
      <c r="C200" s="21">
        <f>IF(MonthlyFAME!C202=0,"",MonthlyFAME!C202)</f>
        <v>57.7</v>
      </c>
      <c r="D200" s="21" t="str">
        <f>IF(MonthlyFAME!D202=0,"",MonthlyFAME!D202)</f>
        <v/>
      </c>
      <c r="E200" s="21" t="str">
        <f>IF(MonthlyFAME!F202=0,"",MonthlyFAME!F202)</f>
        <v/>
      </c>
      <c r="F200" s="21" t="str">
        <f>IF(MonthlyFAME!G202=0,"",MonthlyFAME!G202)</f>
        <v/>
      </c>
      <c r="G200" s="21">
        <f>IF(MonthlyFAME!H202=0,"",MonthlyFAME!H202)</f>
        <v>5.3160206224937943</v>
      </c>
      <c r="H200" s="21">
        <f>IF(MonthlyFAME!I202=0,"",MonthlyFAME!I202)</f>
        <v>24793</v>
      </c>
      <c r="I200" s="21">
        <f>IF(MonthlyFAME!J202=0,"",MonthlyFAME!J202)</f>
        <v>860.2</v>
      </c>
      <c r="J200" s="24"/>
      <c r="K200" s="21">
        <f>IF(MonthlyFAME!L202=0,"",MonthlyFAME!L202)</f>
        <v>45.533240375511703</v>
      </c>
      <c r="L200" s="21">
        <f>IF(MonthlyFAME!M202=0,"",MonthlyFAME!M202)</f>
        <v>1070.0999999999999</v>
      </c>
      <c r="M200" s="21" t="str">
        <f>IF(MonthlyFAME!N202=0,"",MonthlyFAME!N202)</f>
        <v/>
      </c>
      <c r="N200" s="21" t="str">
        <f>IF(MonthlyFAME!O202=0,"",MonthlyFAME!O202)</f>
        <v/>
      </c>
      <c r="O200" s="21" t="str">
        <f>IF(MonthlyFAME!P202=0,"",MonthlyFAME!P202)</f>
        <v/>
      </c>
      <c r="P200" s="21" t="str">
        <f>IF(MonthlyFAME!Q202=0,"",MonthlyFAME!Q202)</f>
        <v/>
      </c>
      <c r="Q200" s="21" t="str">
        <f>IF(MonthlyFAME!R202=0,"",MonthlyFAME!R202)</f>
        <v/>
      </c>
      <c r="R200" s="21" t="str">
        <f>IF(MonthlyFAME!S202=0,"",MonthlyFAME!S202)</f>
        <v/>
      </c>
      <c r="S200" s="21" t="str">
        <f>IF(MonthlyFAME!T202=0,"",MonthlyFAME!T202)</f>
        <v/>
      </c>
      <c r="T200" s="21" t="str">
        <f>IF(MonthlyFAME!U202=0,"",MonthlyFAME!U202)</f>
        <v/>
      </c>
    </row>
    <row r="201" spans="1:20" x14ac:dyDescent="0.2">
      <c r="A201" s="23">
        <f>IF(MonthlyFAME!A203=0,"",MonthlyFAME!A203)</f>
        <v>27911</v>
      </c>
      <c r="B201" s="21" t="str">
        <f>IF(MonthlyFAME!B203=0,"",MonthlyFAME!B203)</f>
        <v/>
      </c>
      <c r="C201" s="21">
        <f>IF(MonthlyFAME!C203=0,"",MonthlyFAME!C203)</f>
        <v>58.5</v>
      </c>
      <c r="D201" s="21" t="str">
        <f>IF(MonthlyFAME!D203=0,"",MonthlyFAME!D203)</f>
        <v/>
      </c>
      <c r="E201" s="21" t="str">
        <f>IF(MonthlyFAME!F203=0,"",MonthlyFAME!F203)</f>
        <v/>
      </c>
      <c r="F201" s="21" t="str">
        <f>IF(MonthlyFAME!G203=0,"",MonthlyFAME!G203)</f>
        <v/>
      </c>
      <c r="G201" s="21">
        <f>IF(MonthlyFAME!H203=0,"",MonthlyFAME!H203)</f>
        <v>5.3640285572481199</v>
      </c>
      <c r="H201" s="21">
        <f>IF(MonthlyFAME!I203=0,"",MonthlyFAME!I203)</f>
        <v>24788</v>
      </c>
      <c r="I201" s="21">
        <f>IF(MonthlyFAME!J203=0,"",MonthlyFAME!J203)</f>
        <v>860.2</v>
      </c>
      <c r="J201" s="24"/>
      <c r="K201" s="21">
        <f>IF(MonthlyFAME!L203=0,"",MonthlyFAME!L203)</f>
        <v>46.165842595633897</v>
      </c>
      <c r="L201" s="21">
        <f>IF(MonthlyFAME!M203=0,"",MonthlyFAME!M203)</f>
        <v>1088.2</v>
      </c>
      <c r="M201" s="21" t="str">
        <f>IF(MonthlyFAME!N203=0,"",MonthlyFAME!N203)</f>
        <v/>
      </c>
      <c r="N201" s="21" t="str">
        <f>IF(MonthlyFAME!O203=0,"",MonthlyFAME!O203)</f>
        <v/>
      </c>
      <c r="O201" s="21" t="str">
        <f>IF(MonthlyFAME!P203=0,"",MonthlyFAME!P203)</f>
        <v/>
      </c>
      <c r="P201" s="21" t="str">
        <f>IF(MonthlyFAME!Q203=0,"",MonthlyFAME!Q203)</f>
        <v/>
      </c>
      <c r="Q201" s="21" t="str">
        <f>IF(MonthlyFAME!R203=0,"",MonthlyFAME!R203)</f>
        <v/>
      </c>
      <c r="R201" s="21" t="str">
        <f>IF(MonthlyFAME!S203=0,"",MonthlyFAME!S203)</f>
        <v/>
      </c>
      <c r="S201" s="21" t="str">
        <f>IF(MonthlyFAME!T203=0,"",MonthlyFAME!T203)</f>
        <v/>
      </c>
      <c r="T201" s="21" t="str">
        <f>IF(MonthlyFAME!U203=0,"",MonthlyFAME!U203)</f>
        <v/>
      </c>
    </row>
    <row r="202" spans="1:20" x14ac:dyDescent="0.2">
      <c r="A202" s="23">
        <f>IF(MonthlyFAME!A204=0,"",MonthlyFAME!A204)</f>
        <v>27941</v>
      </c>
      <c r="B202" s="21" t="str">
        <f>IF(MonthlyFAME!B204=0,"",MonthlyFAME!B204)</f>
        <v/>
      </c>
      <c r="C202" s="21">
        <f>IF(MonthlyFAME!C204=0,"",MonthlyFAME!C204)</f>
        <v>57.4</v>
      </c>
      <c r="D202" s="21" t="str">
        <f>IF(MonthlyFAME!D204=0,"",MonthlyFAME!D204)</f>
        <v/>
      </c>
      <c r="E202" s="21" t="str">
        <f>IF(MonthlyFAME!F204=0,"",MonthlyFAME!F204)</f>
        <v/>
      </c>
      <c r="F202" s="21" t="str">
        <f>IF(MonthlyFAME!G204=0,"",MonthlyFAME!G204)</f>
        <v/>
      </c>
      <c r="G202" s="21">
        <f>IF(MonthlyFAME!H204=0,"",MonthlyFAME!H204)</f>
        <v>5.3947770311545513</v>
      </c>
      <c r="H202" s="21">
        <f>IF(MonthlyFAME!I204=0,"",MonthlyFAME!I204)</f>
        <v>24779</v>
      </c>
      <c r="I202" s="21">
        <f>IF(MonthlyFAME!J204=0,"",MonthlyFAME!J204)</f>
        <v>860.1</v>
      </c>
      <c r="J202" s="24"/>
      <c r="K202" s="21">
        <f>IF(MonthlyFAME!L204=0,"",MonthlyFAME!L204)</f>
        <v>46.657095656737297</v>
      </c>
      <c r="L202" s="21">
        <f>IF(MonthlyFAME!M204=0,"",MonthlyFAME!M204)</f>
        <v>1085.5</v>
      </c>
      <c r="M202" s="21" t="str">
        <f>IF(MonthlyFAME!N204=0,"",MonthlyFAME!N204)</f>
        <v/>
      </c>
      <c r="N202" s="21" t="str">
        <f>IF(MonthlyFAME!O204=0,"",MonthlyFAME!O204)</f>
        <v/>
      </c>
      <c r="O202" s="21" t="str">
        <f>IF(MonthlyFAME!P204=0,"",MonthlyFAME!P204)</f>
        <v/>
      </c>
      <c r="P202" s="21" t="str">
        <f>IF(MonthlyFAME!Q204=0,"",MonthlyFAME!Q204)</f>
        <v/>
      </c>
      <c r="Q202" s="21" t="str">
        <f>IF(MonthlyFAME!R204=0,"",MonthlyFAME!R204)</f>
        <v/>
      </c>
      <c r="R202" s="21" t="str">
        <f>IF(MonthlyFAME!S204=0,"",MonthlyFAME!S204)</f>
        <v/>
      </c>
      <c r="S202" s="21" t="str">
        <f>IF(MonthlyFAME!T204=0,"",MonthlyFAME!T204)</f>
        <v/>
      </c>
      <c r="T202" s="21" t="str">
        <f>IF(MonthlyFAME!U204=0,"",MonthlyFAME!U204)</f>
        <v/>
      </c>
    </row>
    <row r="203" spans="1:20" x14ac:dyDescent="0.2">
      <c r="A203" s="23">
        <f>IF(MonthlyFAME!A205=0,"",MonthlyFAME!A205)</f>
        <v>27972</v>
      </c>
      <c r="B203" s="21" t="str">
        <f>IF(MonthlyFAME!B205=0,"",MonthlyFAME!B205)</f>
        <v/>
      </c>
      <c r="C203" s="21">
        <f>IF(MonthlyFAME!C205=0,"",MonthlyFAME!C205)</f>
        <v>57.6</v>
      </c>
      <c r="D203" s="21" t="str">
        <f>IF(MonthlyFAME!D205=0,"",MonthlyFAME!D205)</f>
        <v/>
      </c>
      <c r="E203" s="21" t="str">
        <f>IF(MonthlyFAME!F205=0,"",MonthlyFAME!F205)</f>
        <v/>
      </c>
      <c r="F203" s="21" t="str">
        <f>IF(MonthlyFAME!G205=0,"",MonthlyFAME!G205)</f>
        <v/>
      </c>
      <c r="G203" s="21">
        <f>IF(MonthlyFAME!H205=0,"",MonthlyFAME!H205)</f>
        <v>5.4170643252529107</v>
      </c>
      <c r="H203" s="21">
        <f>IF(MonthlyFAME!I205=0,"",MonthlyFAME!I205)</f>
        <v>24776</v>
      </c>
      <c r="I203" s="21">
        <f>IF(MonthlyFAME!J205=0,"",MonthlyFAME!J205)</f>
        <v>860.3</v>
      </c>
      <c r="J203" s="24"/>
      <c r="K203" s="21">
        <f>IF(MonthlyFAME!L205=0,"",MonthlyFAME!L205)</f>
        <v>46.881359930780803</v>
      </c>
      <c r="L203" s="21">
        <f>IF(MonthlyFAME!M205=0,"",MonthlyFAME!M205)</f>
        <v>1093</v>
      </c>
      <c r="M203" s="21" t="str">
        <f>IF(MonthlyFAME!N205=0,"",MonthlyFAME!N205)</f>
        <v/>
      </c>
      <c r="N203" s="21" t="str">
        <f>IF(MonthlyFAME!O205=0,"",MonthlyFAME!O205)</f>
        <v/>
      </c>
      <c r="O203" s="21" t="str">
        <f>IF(MonthlyFAME!P205=0,"",MonthlyFAME!P205)</f>
        <v/>
      </c>
      <c r="P203" s="21" t="str">
        <f>IF(MonthlyFAME!Q205=0,"",MonthlyFAME!Q205)</f>
        <v/>
      </c>
      <c r="Q203" s="21" t="str">
        <f>IF(MonthlyFAME!R205=0,"",MonthlyFAME!R205)</f>
        <v/>
      </c>
      <c r="R203" s="21" t="str">
        <f>IF(MonthlyFAME!S205=0,"",MonthlyFAME!S205)</f>
        <v/>
      </c>
      <c r="S203" s="21" t="str">
        <f>IF(MonthlyFAME!T205=0,"",MonthlyFAME!T205)</f>
        <v/>
      </c>
      <c r="T203" s="21" t="str">
        <f>IF(MonthlyFAME!U205=0,"",MonthlyFAME!U205)</f>
        <v/>
      </c>
    </row>
    <row r="204" spans="1:20" x14ac:dyDescent="0.2">
      <c r="A204" s="23">
        <f>IF(MonthlyFAME!A206=0,"",MonthlyFAME!A206)</f>
        <v>28003</v>
      </c>
      <c r="B204" s="21" t="str">
        <f>IF(MonthlyFAME!B206=0,"",MonthlyFAME!B206)</f>
        <v/>
      </c>
      <c r="C204" s="21">
        <f>IF(MonthlyFAME!C206=0,"",MonthlyFAME!C206)</f>
        <v>57.5</v>
      </c>
      <c r="D204" s="21" t="str">
        <f>IF(MonthlyFAME!D206=0,"",MonthlyFAME!D206)</f>
        <v/>
      </c>
      <c r="E204" s="21" t="str">
        <f>IF(MonthlyFAME!F206=0,"",MonthlyFAME!F206)</f>
        <v/>
      </c>
      <c r="F204" s="21" t="str">
        <f>IF(MonthlyFAME!G206=0,"",MonthlyFAME!G206)</f>
        <v/>
      </c>
      <c r="G204" s="21">
        <f>IF(MonthlyFAME!H206=0,"",MonthlyFAME!H206)</f>
        <v>5.4395541474214602</v>
      </c>
      <c r="H204" s="21">
        <f>IF(MonthlyFAME!I206=0,"",MonthlyFAME!I206)</f>
        <v>24772</v>
      </c>
      <c r="I204" s="21">
        <f>IF(MonthlyFAME!J206=0,"",MonthlyFAME!J206)</f>
        <v>860.6</v>
      </c>
      <c r="J204" s="24"/>
      <c r="K204" s="21">
        <f>IF(MonthlyFAME!L206=0,"",MonthlyFAME!L206)</f>
        <v>47.747794538508998</v>
      </c>
      <c r="L204" s="21">
        <f>IF(MonthlyFAME!M206=0,"",MonthlyFAME!M206)</f>
        <v>1107.5999999999999</v>
      </c>
      <c r="M204" s="21" t="str">
        <f>IF(MonthlyFAME!N206=0,"",MonthlyFAME!N206)</f>
        <v/>
      </c>
      <c r="N204" s="21" t="str">
        <f>IF(MonthlyFAME!O206=0,"",MonthlyFAME!O206)</f>
        <v/>
      </c>
      <c r="O204" s="21" t="str">
        <f>IF(MonthlyFAME!P206=0,"",MonthlyFAME!P206)</f>
        <v/>
      </c>
      <c r="P204" s="21" t="str">
        <f>IF(MonthlyFAME!Q206=0,"",MonthlyFAME!Q206)</f>
        <v/>
      </c>
      <c r="Q204" s="21" t="str">
        <f>IF(MonthlyFAME!R206=0,"",MonthlyFAME!R206)</f>
        <v/>
      </c>
      <c r="R204" s="21" t="str">
        <f>IF(MonthlyFAME!S206=0,"",MonthlyFAME!S206)</f>
        <v/>
      </c>
      <c r="S204" s="21" t="str">
        <f>IF(MonthlyFAME!T206=0,"",MonthlyFAME!T206)</f>
        <v/>
      </c>
      <c r="T204" s="21" t="str">
        <f>IF(MonthlyFAME!U206=0,"",MonthlyFAME!U206)</f>
        <v/>
      </c>
    </row>
    <row r="205" spans="1:20" x14ac:dyDescent="0.2">
      <c r="A205" s="23">
        <f>IF(MonthlyFAME!A207=0,"",MonthlyFAME!A207)</f>
        <v>28033</v>
      </c>
      <c r="B205" s="21" t="str">
        <f>IF(MonthlyFAME!B207=0,"",MonthlyFAME!B207)</f>
        <v/>
      </c>
      <c r="C205" s="21">
        <f>IF(MonthlyFAME!C207=0,"",MonthlyFAME!C207)</f>
        <v>58.5</v>
      </c>
      <c r="D205" s="21" t="str">
        <f>IF(MonthlyFAME!D207=0,"",MonthlyFAME!D207)</f>
        <v/>
      </c>
      <c r="E205" s="21" t="str">
        <f>IF(MonthlyFAME!F207=0,"",MonthlyFAME!F207)</f>
        <v/>
      </c>
      <c r="F205" s="21" t="str">
        <f>IF(MonthlyFAME!G207=0,"",MonthlyFAME!G207)</f>
        <v/>
      </c>
      <c r="G205" s="21">
        <f>IF(MonthlyFAME!H207=0,"",MonthlyFAME!H207)</f>
        <v>5.4584319413695699</v>
      </c>
      <c r="H205" s="21">
        <f>IF(MonthlyFAME!I207=0,"",MonthlyFAME!I207)</f>
        <v>24768</v>
      </c>
      <c r="I205" s="21">
        <f>IF(MonthlyFAME!J207=0,"",MonthlyFAME!J207)</f>
        <v>861</v>
      </c>
      <c r="J205" s="24"/>
      <c r="K205" s="21">
        <f>IF(MonthlyFAME!L207=0,"",MonthlyFAME!L207)</f>
        <v>48.019243757212799</v>
      </c>
      <c r="L205" s="21">
        <f>IF(MonthlyFAME!M207=0,"",MonthlyFAME!M207)</f>
        <v>1107</v>
      </c>
      <c r="M205" s="21" t="str">
        <f>IF(MonthlyFAME!N207=0,"",MonthlyFAME!N207)</f>
        <v/>
      </c>
      <c r="N205" s="21" t="str">
        <f>IF(MonthlyFAME!O207=0,"",MonthlyFAME!O207)</f>
        <v/>
      </c>
      <c r="O205" s="21" t="str">
        <f>IF(MonthlyFAME!P207=0,"",MonthlyFAME!P207)</f>
        <v/>
      </c>
      <c r="P205" s="21" t="str">
        <f>IF(MonthlyFAME!Q207=0,"",MonthlyFAME!Q207)</f>
        <v/>
      </c>
      <c r="Q205" s="21" t="str">
        <f>IF(MonthlyFAME!R207=0,"",MonthlyFAME!R207)</f>
        <v/>
      </c>
      <c r="R205" s="21" t="str">
        <f>IF(MonthlyFAME!S207=0,"",MonthlyFAME!S207)</f>
        <v/>
      </c>
      <c r="S205" s="21" t="str">
        <f>IF(MonthlyFAME!T207=0,"",MonthlyFAME!T207)</f>
        <v/>
      </c>
      <c r="T205" s="21" t="str">
        <f>IF(MonthlyFAME!U207=0,"",MonthlyFAME!U207)</f>
        <v/>
      </c>
    </row>
    <row r="206" spans="1:20" x14ac:dyDescent="0.2">
      <c r="A206" s="23">
        <f>IF(MonthlyFAME!A208=0,"",MonthlyFAME!A208)</f>
        <v>28064</v>
      </c>
      <c r="B206" s="21" t="str">
        <f>IF(MonthlyFAME!B208=0,"",MonthlyFAME!B208)</f>
        <v/>
      </c>
      <c r="C206" s="21">
        <f>IF(MonthlyFAME!C208=0,"",MonthlyFAME!C208)</f>
        <v>59.7</v>
      </c>
      <c r="D206" s="21" t="str">
        <f>IF(MonthlyFAME!D208=0,"",MonthlyFAME!D208)</f>
        <v/>
      </c>
      <c r="E206" s="21" t="str">
        <f>IF(MonthlyFAME!F208=0,"",MonthlyFAME!F208)</f>
        <v/>
      </c>
      <c r="F206" s="21" t="str">
        <f>IF(MonthlyFAME!G208=0,"",MonthlyFAME!G208)</f>
        <v/>
      </c>
      <c r="G206" s="21">
        <f>IF(MonthlyFAME!H208=0,"",MonthlyFAME!H208)</f>
        <v>5.4650230889592795</v>
      </c>
      <c r="H206" s="21">
        <f>IF(MonthlyFAME!I208=0,"",MonthlyFAME!I208)</f>
        <v>24771</v>
      </c>
      <c r="I206" s="21">
        <f>IF(MonthlyFAME!J208=0,"",MonthlyFAME!J208)</f>
        <v>861.6</v>
      </c>
      <c r="J206" s="24"/>
      <c r="K206" s="21">
        <f>IF(MonthlyFAME!L208=0,"",MonthlyFAME!L208)</f>
        <v>48.537714026205499</v>
      </c>
      <c r="L206" s="21">
        <f>IF(MonthlyFAME!M208=0,"",MonthlyFAME!M208)</f>
        <v>1097.8</v>
      </c>
      <c r="M206" s="21" t="str">
        <f>IF(MonthlyFAME!N208=0,"",MonthlyFAME!N208)</f>
        <v/>
      </c>
      <c r="N206" s="21" t="str">
        <f>IF(MonthlyFAME!O208=0,"",MonthlyFAME!O208)</f>
        <v/>
      </c>
      <c r="O206" s="21" t="str">
        <f>IF(MonthlyFAME!P208=0,"",MonthlyFAME!P208)</f>
        <v/>
      </c>
      <c r="P206" s="21" t="str">
        <f>IF(MonthlyFAME!Q208=0,"",MonthlyFAME!Q208)</f>
        <v/>
      </c>
      <c r="Q206" s="21" t="str">
        <f>IF(MonthlyFAME!R208=0,"",MonthlyFAME!R208)</f>
        <v/>
      </c>
      <c r="R206" s="21" t="str">
        <f>IF(MonthlyFAME!S208=0,"",MonthlyFAME!S208)</f>
        <v/>
      </c>
      <c r="S206" s="21" t="str">
        <f>IF(MonthlyFAME!T208=0,"",MonthlyFAME!T208)</f>
        <v/>
      </c>
      <c r="T206" s="21" t="str">
        <f>IF(MonthlyFAME!U208=0,"",MonthlyFAME!U208)</f>
        <v/>
      </c>
    </row>
    <row r="207" spans="1:20" x14ac:dyDescent="0.2">
      <c r="A207" s="23">
        <f>IF(MonthlyFAME!A209=0,"",MonthlyFAME!A209)</f>
        <v>28094</v>
      </c>
      <c r="B207" s="21" t="str">
        <f>IF(MonthlyFAME!B209=0,"",MonthlyFAME!B209)</f>
        <v/>
      </c>
      <c r="C207" s="21">
        <f>IF(MonthlyFAME!C209=0,"",MonthlyFAME!C209)</f>
        <v>60.2</v>
      </c>
      <c r="D207" s="21" t="str">
        <f>IF(MonthlyFAME!D209=0,"",MonthlyFAME!D209)</f>
        <v/>
      </c>
      <c r="E207" s="21" t="str">
        <f>IF(MonthlyFAME!F209=0,"",MonthlyFAME!F209)</f>
        <v/>
      </c>
      <c r="F207" s="21" t="str">
        <f>IF(MonthlyFAME!G209=0,"",MonthlyFAME!G209)</f>
        <v/>
      </c>
      <c r="G207" s="21">
        <f>IF(MonthlyFAME!H209=0,"",MonthlyFAME!H209)</f>
        <v>5.459748187714613</v>
      </c>
      <c r="H207" s="21">
        <f>IF(MonthlyFAME!I209=0,"",MonthlyFAME!I209)</f>
        <v>24779</v>
      </c>
      <c r="I207" s="21">
        <f>IF(MonthlyFAME!J209=0,"",MonthlyFAME!J209)</f>
        <v>862.4</v>
      </c>
      <c r="J207" s="24"/>
      <c r="K207" s="21">
        <f>IF(MonthlyFAME!L209=0,"",MonthlyFAME!L209)</f>
        <v>48.776330532773699</v>
      </c>
      <c r="L207" s="21">
        <f>IF(MonthlyFAME!M209=0,"",MonthlyFAME!M209)</f>
        <v>1105.0999999999999</v>
      </c>
      <c r="M207" s="21" t="str">
        <f>IF(MonthlyFAME!N209=0,"",MonthlyFAME!N209)</f>
        <v/>
      </c>
      <c r="N207" s="21" t="str">
        <f>IF(MonthlyFAME!O209=0,"",MonthlyFAME!O209)</f>
        <v/>
      </c>
      <c r="O207" s="21" t="str">
        <f>IF(MonthlyFAME!P209=0,"",MonthlyFAME!P209)</f>
        <v/>
      </c>
      <c r="P207" s="21" t="str">
        <f>IF(MonthlyFAME!Q209=0,"",MonthlyFAME!Q209)</f>
        <v/>
      </c>
      <c r="Q207" s="21" t="str">
        <f>IF(MonthlyFAME!R209=0,"",MonthlyFAME!R209)</f>
        <v/>
      </c>
      <c r="R207" s="21" t="str">
        <f>IF(MonthlyFAME!S209=0,"",MonthlyFAME!S209)</f>
        <v/>
      </c>
      <c r="S207" s="21" t="str">
        <f>IF(MonthlyFAME!T209=0,"",MonthlyFAME!T209)</f>
        <v/>
      </c>
      <c r="T207" s="21" t="str">
        <f>IF(MonthlyFAME!U209=0,"",MonthlyFAME!U209)</f>
        <v/>
      </c>
    </row>
    <row r="208" spans="1:20" x14ac:dyDescent="0.2">
      <c r="A208" s="23">
        <f>IF(MonthlyFAME!A210=0,"",MonthlyFAME!A210)</f>
        <v>28125</v>
      </c>
      <c r="B208" s="21" t="str">
        <f>IF(MonthlyFAME!B210=0,"",MonthlyFAME!B210)</f>
        <v/>
      </c>
      <c r="C208" s="21">
        <f>IF(MonthlyFAME!C210=0,"",MonthlyFAME!C210)</f>
        <v>60.6</v>
      </c>
      <c r="D208" s="21" t="str">
        <f>IF(MonthlyFAME!D210=0,"",MonthlyFAME!D210)</f>
        <v/>
      </c>
      <c r="E208" s="21" t="str">
        <f>IF(MonthlyFAME!F210=0,"",MonthlyFAME!F210)</f>
        <v/>
      </c>
      <c r="F208" s="21" t="str">
        <f>IF(MonthlyFAME!G210=0,"",MonthlyFAME!G210)</f>
        <v/>
      </c>
      <c r="G208" s="21">
        <f>IF(MonthlyFAME!H210=0,"",MonthlyFAME!H210)</f>
        <v>5.4614797864225784</v>
      </c>
      <c r="H208" s="21">
        <f>IF(MonthlyFAME!I210=0,"",MonthlyFAME!I210)</f>
        <v>24788</v>
      </c>
      <c r="I208" s="21">
        <f>IF(MonthlyFAME!J210=0,"",MonthlyFAME!J210)</f>
        <v>863.4</v>
      </c>
      <c r="J208" s="24"/>
      <c r="K208" s="21">
        <f>IF(MonthlyFAME!L210=0,"",MonthlyFAME!L210)</f>
        <v>49.684834510453904</v>
      </c>
      <c r="L208" s="21">
        <f>IF(MonthlyFAME!M210=0,"",MonthlyFAME!M210)</f>
        <v>1108.8</v>
      </c>
      <c r="M208" s="21" t="str">
        <f>IF(MonthlyFAME!N210=0,"",MonthlyFAME!N210)</f>
        <v/>
      </c>
      <c r="N208" s="21" t="str">
        <f>IF(MonthlyFAME!O210=0,"",MonthlyFAME!O210)</f>
        <v/>
      </c>
      <c r="O208" s="21" t="str">
        <f>IF(MonthlyFAME!P210=0,"",MonthlyFAME!P210)</f>
        <v/>
      </c>
      <c r="P208" s="21" t="str">
        <f>IF(MonthlyFAME!Q210=0,"",MonthlyFAME!Q210)</f>
        <v/>
      </c>
      <c r="Q208" s="21" t="str">
        <f>IF(MonthlyFAME!R210=0,"",MonthlyFAME!R210)</f>
        <v/>
      </c>
      <c r="R208" s="21" t="str">
        <f>IF(MonthlyFAME!S210=0,"",MonthlyFAME!S210)</f>
        <v/>
      </c>
      <c r="S208" s="21" t="str">
        <f>IF(MonthlyFAME!T210=0,"",MonthlyFAME!T210)</f>
        <v/>
      </c>
      <c r="T208" s="21" t="str">
        <f>IF(MonthlyFAME!U210=0,"",MonthlyFAME!U210)</f>
        <v/>
      </c>
    </row>
    <row r="209" spans="1:20" x14ac:dyDescent="0.2">
      <c r="A209" s="23">
        <f>IF(MonthlyFAME!A211=0,"",MonthlyFAME!A211)</f>
        <v>28156</v>
      </c>
      <c r="B209" s="21" t="str">
        <f>IF(MonthlyFAME!B211=0,"",MonthlyFAME!B211)</f>
        <v/>
      </c>
      <c r="C209" s="21">
        <f>IF(MonthlyFAME!C211=0,"",MonthlyFAME!C211)</f>
        <v>61.7</v>
      </c>
      <c r="D209" s="21" t="str">
        <f>IF(MonthlyFAME!D211=0,"",MonthlyFAME!D211)</f>
        <v/>
      </c>
      <c r="E209" s="21" t="str">
        <f>IF(MonthlyFAME!F211=0,"",MonthlyFAME!F211)</f>
        <v/>
      </c>
      <c r="F209" s="21" t="str">
        <f>IF(MonthlyFAME!G211=0,"",MonthlyFAME!G211)</f>
        <v/>
      </c>
      <c r="G209" s="21">
        <f>IF(MonthlyFAME!H211=0,"",MonthlyFAME!H211)</f>
        <v>5.470417810308021</v>
      </c>
      <c r="H209" s="21">
        <f>IF(MonthlyFAME!I211=0,"",MonthlyFAME!I211)</f>
        <v>24797</v>
      </c>
      <c r="I209" s="21">
        <f>IF(MonthlyFAME!J211=0,"",MonthlyFAME!J211)</f>
        <v>864.3</v>
      </c>
      <c r="J209" s="24"/>
      <c r="K209" s="21">
        <f>IF(MonthlyFAME!L211=0,"",MonthlyFAME!L211)</f>
        <v>49.997482736344601</v>
      </c>
      <c r="L209" s="21">
        <f>IF(MonthlyFAME!M211=0,"",MonthlyFAME!M211)</f>
        <v>1111.0999999999999</v>
      </c>
      <c r="M209" s="21" t="str">
        <f>IF(MonthlyFAME!N211=0,"",MonthlyFAME!N211)</f>
        <v/>
      </c>
      <c r="N209" s="21" t="str">
        <f>IF(MonthlyFAME!O211=0,"",MonthlyFAME!O211)</f>
        <v/>
      </c>
      <c r="O209" s="21" t="str">
        <f>IF(MonthlyFAME!P211=0,"",MonthlyFAME!P211)</f>
        <v/>
      </c>
      <c r="P209" s="21" t="str">
        <f>IF(MonthlyFAME!Q211=0,"",MonthlyFAME!Q211)</f>
        <v/>
      </c>
      <c r="Q209" s="21" t="str">
        <f>IF(MonthlyFAME!R211=0,"",MonthlyFAME!R211)</f>
        <v/>
      </c>
      <c r="R209" s="21" t="str">
        <f>IF(MonthlyFAME!S211=0,"",MonthlyFAME!S211)</f>
        <v/>
      </c>
      <c r="S209" s="21" t="str">
        <f>IF(MonthlyFAME!T211=0,"",MonthlyFAME!T211)</f>
        <v/>
      </c>
      <c r="T209" s="21" t="str">
        <f>IF(MonthlyFAME!U211=0,"",MonthlyFAME!U211)</f>
        <v/>
      </c>
    </row>
    <row r="210" spans="1:20" x14ac:dyDescent="0.2">
      <c r="A210" s="23">
        <f>IF(MonthlyFAME!A212=0,"",MonthlyFAME!A212)</f>
        <v>28184</v>
      </c>
      <c r="B210" s="21" t="str">
        <f>IF(MonthlyFAME!B212=0,"",MonthlyFAME!B212)</f>
        <v/>
      </c>
      <c r="C210" s="21">
        <f>IF(MonthlyFAME!C212=0,"",MonthlyFAME!C212)</f>
        <v>61.5</v>
      </c>
      <c r="D210" s="21" t="str">
        <f>IF(MonthlyFAME!D212=0,"",MonthlyFAME!D212)</f>
        <v/>
      </c>
      <c r="E210" s="21" t="str">
        <f>IF(MonthlyFAME!F212=0,"",MonthlyFAME!F212)</f>
        <v/>
      </c>
      <c r="F210" s="21" t="str">
        <f>IF(MonthlyFAME!G212=0,"",MonthlyFAME!G212)</f>
        <v/>
      </c>
      <c r="G210" s="21">
        <f>IF(MonthlyFAME!H212=0,"",MonthlyFAME!H212)</f>
        <v>5.4733953346546729</v>
      </c>
      <c r="H210" s="21">
        <f>IF(MonthlyFAME!I212=0,"",MonthlyFAME!I212)</f>
        <v>24800</v>
      </c>
      <c r="I210" s="21">
        <f>IF(MonthlyFAME!J212=0,"",MonthlyFAME!J212)</f>
        <v>864.9</v>
      </c>
      <c r="J210" s="24"/>
      <c r="K210" s="21">
        <f>IF(MonthlyFAME!L212=0,"",MonthlyFAME!L212)</f>
        <v>50.043442214920603</v>
      </c>
      <c r="L210" s="21">
        <f>IF(MonthlyFAME!M212=0,"",MonthlyFAME!M212)</f>
        <v>1107.4000000000001</v>
      </c>
      <c r="M210" s="21" t="str">
        <f>IF(MonthlyFAME!N212=0,"",MonthlyFAME!N212)</f>
        <v/>
      </c>
      <c r="N210" s="21" t="str">
        <f>IF(MonthlyFAME!O212=0,"",MonthlyFAME!O212)</f>
        <v/>
      </c>
      <c r="O210" s="21" t="str">
        <f>IF(MonthlyFAME!P212=0,"",MonthlyFAME!P212)</f>
        <v/>
      </c>
      <c r="P210" s="21" t="str">
        <f>IF(MonthlyFAME!Q212=0,"",MonthlyFAME!Q212)</f>
        <v/>
      </c>
      <c r="Q210" s="21" t="str">
        <f>IF(MonthlyFAME!R212=0,"",MonthlyFAME!R212)</f>
        <v/>
      </c>
      <c r="R210" s="21" t="str">
        <f>IF(MonthlyFAME!S212=0,"",MonthlyFAME!S212)</f>
        <v/>
      </c>
      <c r="S210" s="21" t="str">
        <f>IF(MonthlyFAME!T212=0,"",MonthlyFAME!T212)</f>
        <v/>
      </c>
      <c r="T210" s="21" t="str">
        <f>IF(MonthlyFAME!U212=0,"",MonthlyFAME!U212)</f>
        <v/>
      </c>
    </row>
    <row r="211" spans="1:20" x14ac:dyDescent="0.2">
      <c r="A211" s="23">
        <f>IF(MonthlyFAME!A213=0,"",MonthlyFAME!A213)</f>
        <v>28215</v>
      </c>
      <c r="B211" s="21" t="str">
        <f>IF(MonthlyFAME!B213=0,"",MonthlyFAME!B213)</f>
        <v/>
      </c>
      <c r="C211" s="21">
        <f>IF(MonthlyFAME!C213=0,"",MonthlyFAME!C213)</f>
        <v>61.5</v>
      </c>
      <c r="D211" s="21" t="str">
        <f>IF(MonthlyFAME!D213=0,"",MonthlyFAME!D213)</f>
        <v/>
      </c>
      <c r="E211" s="21" t="str">
        <f>IF(MonthlyFAME!F213=0,"",MonthlyFAME!F213)</f>
        <v/>
      </c>
      <c r="F211" s="21" t="str">
        <f>IF(MonthlyFAME!G213=0,"",MonthlyFAME!G213)</f>
        <v/>
      </c>
      <c r="G211" s="21">
        <f>IF(MonthlyFAME!H213=0,"",MonthlyFAME!H213)</f>
        <v>5.4727695415221618</v>
      </c>
      <c r="H211" s="21">
        <f>IF(MonthlyFAME!I213=0,"",MonthlyFAME!I213)</f>
        <v>24803</v>
      </c>
      <c r="I211" s="21">
        <f>IF(MonthlyFAME!J213=0,"",MonthlyFAME!J213)</f>
        <v>865.6</v>
      </c>
      <c r="J211" s="24"/>
      <c r="K211" s="21">
        <f>IF(MonthlyFAME!L213=0,"",MonthlyFAME!L213)</f>
        <v>50.666368141934903</v>
      </c>
      <c r="L211" s="21">
        <f>IF(MonthlyFAME!M213=0,"",MonthlyFAME!M213)</f>
        <v>1107.9000000000001</v>
      </c>
      <c r="M211" s="21" t="str">
        <f>IF(MonthlyFAME!N213=0,"",MonthlyFAME!N213)</f>
        <v/>
      </c>
      <c r="N211" s="21" t="str">
        <f>IF(MonthlyFAME!O213=0,"",MonthlyFAME!O213)</f>
        <v/>
      </c>
      <c r="O211" s="21" t="str">
        <f>IF(MonthlyFAME!P213=0,"",MonthlyFAME!P213)</f>
        <v/>
      </c>
      <c r="P211" s="21" t="str">
        <f>IF(MonthlyFAME!Q213=0,"",MonthlyFAME!Q213)</f>
        <v/>
      </c>
      <c r="Q211" s="21" t="str">
        <f>IF(MonthlyFAME!R213=0,"",MonthlyFAME!R213)</f>
        <v/>
      </c>
      <c r="R211" s="21" t="str">
        <f>IF(MonthlyFAME!S213=0,"",MonthlyFAME!S213)</f>
        <v/>
      </c>
      <c r="S211" s="21" t="str">
        <f>IF(MonthlyFAME!T213=0,"",MonthlyFAME!T213)</f>
        <v/>
      </c>
      <c r="T211" s="21" t="str">
        <f>IF(MonthlyFAME!U213=0,"",MonthlyFAME!U213)</f>
        <v/>
      </c>
    </row>
    <row r="212" spans="1:20" x14ac:dyDescent="0.2">
      <c r="A212" s="23">
        <f>IF(MonthlyFAME!A214=0,"",MonthlyFAME!A214)</f>
        <v>28245</v>
      </c>
      <c r="B212" s="21" t="str">
        <f>IF(MonthlyFAME!B214=0,"",MonthlyFAME!B214)</f>
        <v/>
      </c>
      <c r="C212" s="21">
        <f>IF(MonthlyFAME!C214=0,"",MonthlyFAME!C214)</f>
        <v>61</v>
      </c>
      <c r="D212" s="21" t="str">
        <f>IF(MonthlyFAME!D214=0,"",MonthlyFAME!D214)</f>
        <v/>
      </c>
      <c r="E212" s="21" t="str">
        <f>IF(MonthlyFAME!F214=0,"",MonthlyFAME!F214)</f>
        <v/>
      </c>
      <c r="F212" s="21" t="str">
        <f>IF(MonthlyFAME!G214=0,"",MonthlyFAME!G214)</f>
        <v/>
      </c>
      <c r="G212" s="21">
        <f>IF(MonthlyFAME!H214=0,"",MonthlyFAME!H214)</f>
        <v>5.4767893894351705</v>
      </c>
      <c r="H212" s="21">
        <f>IF(MonthlyFAME!I214=0,"",MonthlyFAME!I214)</f>
        <v>24801</v>
      </c>
      <c r="I212" s="21">
        <f>IF(MonthlyFAME!J214=0,"",MonthlyFAME!J214)</f>
        <v>866</v>
      </c>
      <c r="J212" s="24"/>
      <c r="K212" s="21">
        <f>IF(MonthlyFAME!L214=0,"",MonthlyFAME!L214)</f>
        <v>50.5295483368769</v>
      </c>
      <c r="L212" s="21">
        <f>IF(MonthlyFAME!M214=0,"",MonthlyFAME!M214)</f>
        <v>1117.5999999999999</v>
      </c>
      <c r="M212" s="21" t="str">
        <f>IF(MonthlyFAME!N214=0,"",MonthlyFAME!N214)</f>
        <v/>
      </c>
      <c r="N212" s="21" t="str">
        <f>IF(MonthlyFAME!O214=0,"",MonthlyFAME!O214)</f>
        <v/>
      </c>
      <c r="O212" s="21" t="str">
        <f>IF(MonthlyFAME!P214=0,"",MonthlyFAME!P214)</f>
        <v/>
      </c>
      <c r="P212" s="21" t="str">
        <f>IF(MonthlyFAME!Q214=0,"",MonthlyFAME!Q214)</f>
        <v/>
      </c>
      <c r="Q212" s="21" t="str">
        <f>IF(MonthlyFAME!R214=0,"",MonthlyFAME!R214)</f>
        <v/>
      </c>
      <c r="R212" s="21" t="str">
        <f>IF(MonthlyFAME!S214=0,"",MonthlyFAME!S214)</f>
        <v/>
      </c>
      <c r="S212" s="21" t="str">
        <f>IF(MonthlyFAME!T214=0,"",MonthlyFAME!T214)</f>
        <v/>
      </c>
      <c r="T212" s="21" t="str">
        <f>IF(MonthlyFAME!U214=0,"",MonthlyFAME!U214)</f>
        <v/>
      </c>
    </row>
    <row r="213" spans="1:20" x14ac:dyDescent="0.2">
      <c r="A213" s="23">
        <f>IF(MonthlyFAME!A215=0,"",MonthlyFAME!A215)</f>
        <v>28276</v>
      </c>
      <c r="B213" s="21" t="str">
        <f>IF(MonthlyFAME!B215=0,"",MonthlyFAME!B215)</f>
        <v/>
      </c>
      <c r="C213" s="21">
        <f>IF(MonthlyFAME!C215=0,"",MonthlyFAME!C215)</f>
        <v>62.6</v>
      </c>
      <c r="D213" s="21" t="str">
        <f>IF(MonthlyFAME!D215=0,"",MonthlyFAME!D215)</f>
        <v/>
      </c>
      <c r="E213" s="21" t="str">
        <f>IF(MonthlyFAME!F215=0,"",MonthlyFAME!F215)</f>
        <v/>
      </c>
      <c r="F213" s="21" t="str">
        <f>IF(MonthlyFAME!G215=0,"",MonthlyFAME!G215)</f>
        <v/>
      </c>
      <c r="G213" s="21">
        <f>IF(MonthlyFAME!H215=0,"",MonthlyFAME!H215)</f>
        <v>5.4916158536585362</v>
      </c>
      <c r="H213" s="21">
        <f>IF(MonthlyFAME!I215=0,"",MonthlyFAME!I215)</f>
        <v>24799</v>
      </c>
      <c r="I213" s="21">
        <f>IF(MonthlyFAME!J215=0,"",MonthlyFAME!J215)</f>
        <v>866.2</v>
      </c>
      <c r="J213" s="24"/>
      <c r="K213" s="21">
        <f>IF(MonthlyFAME!L215=0,"",MonthlyFAME!L215)</f>
        <v>51.197151492534601</v>
      </c>
      <c r="L213" s="21">
        <f>IF(MonthlyFAME!M215=0,"",MonthlyFAME!M215)</f>
        <v>1119.7</v>
      </c>
      <c r="M213" s="21" t="str">
        <f>IF(MonthlyFAME!N215=0,"",MonthlyFAME!N215)</f>
        <v/>
      </c>
      <c r="N213" s="21" t="str">
        <f>IF(MonthlyFAME!O215=0,"",MonthlyFAME!O215)</f>
        <v/>
      </c>
      <c r="O213" s="21" t="str">
        <f>IF(MonthlyFAME!P215=0,"",MonthlyFAME!P215)</f>
        <v/>
      </c>
      <c r="P213" s="21" t="str">
        <f>IF(MonthlyFAME!Q215=0,"",MonthlyFAME!Q215)</f>
        <v/>
      </c>
      <c r="Q213" s="21" t="str">
        <f>IF(MonthlyFAME!R215=0,"",MonthlyFAME!R215)</f>
        <v/>
      </c>
      <c r="R213" s="21" t="str">
        <f>IF(MonthlyFAME!S215=0,"",MonthlyFAME!S215)</f>
        <v/>
      </c>
      <c r="S213" s="21" t="str">
        <f>IF(MonthlyFAME!T215=0,"",MonthlyFAME!T215)</f>
        <v/>
      </c>
      <c r="T213" s="21" t="str">
        <f>IF(MonthlyFAME!U215=0,"",MonthlyFAME!U215)</f>
        <v/>
      </c>
    </row>
    <row r="214" spans="1:20" x14ac:dyDescent="0.2">
      <c r="A214" s="23">
        <f>IF(MonthlyFAME!A216=0,"",MonthlyFAME!A216)</f>
        <v>28306</v>
      </c>
      <c r="B214" s="21" t="str">
        <f>IF(MonthlyFAME!B216=0,"",MonthlyFAME!B216)</f>
        <v/>
      </c>
      <c r="C214" s="21">
        <f>IF(MonthlyFAME!C216=0,"",MonthlyFAME!C216)</f>
        <v>60.1</v>
      </c>
      <c r="D214" s="21" t="str">
        <f>IF(MonthlyFAME!D216=0,"",MonthlyFAME!D216)</f>
        <v/>
      </c>
      <c r="E214" s="21" t="str">
        <f>IF(MonthlyFAME!F216=0,"",MonthlyFAME!F216)</f>
        <v/>
      </c>
      <c r="F214" s="21" t="str">
        <f>IF(MonthlyFAME!G216=0,"",MonthlyFAME!G216)</f>
        <v/>
      </c>
      <c r="G214" s="21">
        <f>IF(MonthlyFAME!H216=0,"",MonthlyFAME!H216)</f>
        <v>5.5305858154947813</v>
      </c>
      <c r="H214" s="21">
        <f>IF(MonthlyFAME!I216=0,"",MonthlyFAME!I216)</f>
        <v>24802</v>
      </c>
      <c r="I214" s="21">
        <f>IF(MonthlyFAME!J216=0,"",MonthlyFAME!J216)</f>
        <v>866.7</v>
      </c>
      <c r="J214" s="24"/>
      <c r="K214" s="21">
        <f>IF(MonthlyFAME!L216=0,"",MonthlyFAME!L216)</f>
        <v>50.587405403302398</v>
      </c>
      <c r="L214" s="21">
        <f>IF(MonthlyFAME!M216=0,"",MonthlyFAME!M216)</f>
        <v>1149.3</v>
      </c>
      <c r="M214" s="21" t="str">
        <f>IF(MonthlyFAME!N216=0,"",MonthlyFAME!N216)</f>
        <v/>
      </c>
      <c r="N214" s="21" t="str">
        <f>IF(MonthlyFAME!O216=0,"",MonthlyFAME!O216)</f>
        <v/>
      </c>
      <c r="O214" s="21" t="str">
        <f>IF(MonthlyFAME!P216=0,"",MonthlyFAME!P216)</f>
        <v/>
      </c>
      <c r="P214" s="21" t="str">
        <f>IF(MonthlyFAME!Q216=0,"",MonthlyFAME!Q216)</f>
        <v/>
      </c>
      <c r="Q214" s="21" t="str">
        <f>IF(MonthlyFAME!R216=0,"",MonthlyFAME!R216)</f>
        <v/>
      </c>
      <c r="R214" s="21" t="str">
        <f>IF(MonthlyFAME!S216=0,"",MonthlyFAME!S216)</f>
        <v/>
      </c>
      <c r="S214" s="21" t="str">
        <f>IF(MonthlyFAME!T216=0,"",MonthlyFAME!T216)</f>
        <v/>
      </c>
      <c r="T214" s="21" t="str">
        <f>IF(MonthlyFAME!U216=0,"",MonthlyFAME!U216)</f>
        <v/>
      </c>
    </row>
    <row r="215" spans="1:20" x14ac:dyDescent="0.2">
      <c r="A215" s="23">
        <f>IF(MonthlyFAME!A217=0,"",MonthlyFAME!A217)</f>
        <v>28337</v>
      </c>
      <c r="B215" s="21" t="str">
        <f>IF(MonthlyFAME!B217=0,"",MonthlyFAME!B217)</f>
        <v/>
      </c>
      <c r="C215" s="21">
        <f>IF(MonthlyFAME!C217=0,"",MonthlyFAME!C217)</f>
        <v>60.4</v>
      </c>
      <c r="D215" s="21" t="str">
        <f>IF(MonthlyFAME!D217=0,"",MonthlyFAME!D217)</f>
        <v/>
      </c>
      <c r="E215" s="21" t="str">
        <f>IF(MonthlyFAME!F217=0,"",MonthlyFAME!F217)</f>
        <v/>
      </c>
      <c r="F215" s="21" t="str">
        <f>IF(MonthlyFAME!G217=0,"",MonthlyFAME!G217)</f>
        <v/>
      </c>
      <c r="G215" s="21">
        <f>IF(MonthlyFAME!H217=0,"",MonthlyFAME!H217)</f>
        <v>5.5849545056534815</v>
      </c>
      <c r="H215" s="21">
        <f>IF(MonthlyFAME!I217=0,"",MonthlyFAME!I217)</f>
        <v>24800</v>
      </c>
      <c r="I215" s="21">
        <f>IF(MonthlyFAME!J217=0,"",MonthlyFAME!J217)</f>
        <v>866.7</v>
      </c>
      <c r="J215" s="24"/>
      <c r="K215" s="21">
        <f>IF(MonthlyFAME!L217=0,"",MonthlyFAME!L217)</f>
        <v>51.489487191066502</v>
      </c>
      <c r="L215" s="21">
        <f>IF(MonthlyFAME!M217=0,"",MonthlyFAME!M217)</f>
        <v>1169.8</v>
      </c>
      <c r="M215" s="21" t="str">
        <f>IF(MonthlyFAME!N217=0,"",MonthlyFAME!N217)</f>
        <v/>
      </c>
      <c r="N215" s="21" t="str">
        <f>IF(MonthlyFAME!O217=0,"",MonthlyFAME!O217)</f>
        <v/>
      </c>
      <c r="O215" s="21" t="str">
        <f>IF(MonthlyFAME!P217=0,"",MonthlyFAME!P217)</f>
        <v/>
      </c>
      <c r="P215" s="21" t="str">
        <f>IF(MonthlyFAME!Q217=0,"",MonthlyFAME!Q217)</f>
        <v/>
      </c>
      <c r="Q215" s="21" t="str">
        <f>IF(MonthlyFAME!R217=0,"",MonthlyFAME!R217)</f>
        <v/>
      </c>
      <c r="R215" s="21" t="str">
        <f>IF(MonthlyFAME!S217=0,"",MonthlyFAME!S217)</f>
        <v/>
      </c>
      <c r="S215" s="21" t="str">
        <f>IF(MonthlyFAME!T217=0,"",MonthlyFAME!T217)</f>
        <v/>
      </c>
      <c r="T215" s="21" t="str">
        <f>IF(MonthlyFAME!U217=0,"",MonthlyFAME!U217)</f>
        <v/>
      </c>
    </row>
    <row r="216" spans="1:20" x14ac:dyDescent="0.2">
      <c r="A216" s="23">
        <f>IF(MonthlyFAME!A218=0,"",MonthlyFAME!A218)</f>
        <v>28368</v>
      </c>
      <c r="B216" s="21" t="str">
        <f>IF(MonthlyFAME!B218=0,"",MonthlyFAME!B218)</f>
        <v/>
      </c>
      <c r="C216" s="21">
        <f>IF(MonthlyFAME!C218=0,"",MonthlyFAME!C218)</f>
        <v>61</v>
      </c>
      <c r="D216" s="21" t="str">
        <f>IF(MonthlyFAME!D218=0,"",MonthlyFAME!D218)</f>
        <v/>
      </c>
      <c r="E216" s="21" t="str">
        <f>IF(MonthlyFAME!F218=0,"",MonthlyFAME!F218)</f>
        <v/>
      </c>
      <c r="F216" s="21" t="str">
        <f>IF(MonthlyFAME!G218=0,"",MonthlyFAME!G218)</f>
        <v/>
      </c>
      <c r="G216" s="21">
        <f>IF(MonthlyFAME!H218=0,"",MonthlyFAME!H218)</f>
        <v>5.6343922389195358</v>
      </c>
      <c r="H216" s="21">
        <f>IF(MonthlyFAME!I218=0,"",MonthlyFAME!I218)</f>
        <v>24804</v>
      </c>
      <c r="I216" s="21">
        <f>IF(MonthlyFAME!J218=0,"",MonthlyFAME!J218)</f>
        <v>867.2</v>
      </c>
      <c r="J216" s="24"/>
      <c r="K216" s="21">
        <f>IF(MonthlyFAME!L218=0,"",MonthlyFAME!L218)</f>
        <v>51.882241275131904</v>
      </c>
      <c r="L216" s="21">
        <f>IF(MonthlyFAME!M218=0,"",MonthlyFAME!M218)</f>
        <v>1172.7</v>
      </c>
      <c r="M216" s="21" t="str">
        <f>IF(MonthlyFAME!N218=0,"",MonthlyFAME!N218)</f>
        <v/>
      </c>
      <c r="N216" s="21" t="str">
        <f>IF(MonthlyFAME!O218=0,"",MonthlyFAME!O218)</f>
        <v/>
      </c>
      <c r="O216" s="21" t="str">
        <f>IF(MonthlyFAME!P218=0,"",MonthlyFAME!P218)</f>
        <v/>
      </c>
      <c r="P216" s="21" t="str">
        <f>IF(MonthlyFAME!Q218=0,"",MonthlyFAME!Q218)</f>
        <v/>
      </c>
      <c r="Q216" s="21" t="str">
        <f>IF(MonthlyFAME!R218=0,"",MonthlyFAME!R218)</f>
        <v/>
      </c>
      <c r="R216" s="21" t="str">
        <f>IF(MonthlyFAME!S218=0,"",MonthlyFAME!S218)</f>
        <v/>
      </c>
      <c r="S216" s="21" t="str">
        <f>IF(MonthlyFAME!T218=0,"",MonthlyFAME!T218)</f>
        <v/>
      </c>
      <c r="T216" s="21" t="str">
        <f>IF(MonthlyFAME!U218=0,"",MonthlyFAME!U218)</f>
        <v/>
      </c>
    </row>
    <row r="217" spans="1:20" x14ac:dyDescent="0.2">
      <c r="A217" s="23">
        <f>IF(MonthlyFAME!A219=0,"",MonthlyFAME!A219)</f>
        <v>28398</v>
      </c>
      <c r="B217" s="21" t="str">
        <f>IF(MonthlyFAME!B219=0,"",MonthlyFAME!B219)</f>
        <v/>
      </c>
      <c r="C217" s="21">
        <f>IF(MonthlyFAME!C219=0,"",MonthlyFAME!C219)</f>
        <v>61.1</v>
      </c>
      <c r="D217" s="21" t="str">
        <f>IF(MonthlyFAME!D219=0,"",MonthlyFAME!D219)</f>
        <v/>
      </c>
      <c r="E217" s="21" t="str">
        <f>IF(MonthlyFAME!F219=0,"",MonthlyFAME!F219)</f>
        <v/>
      </c>
      <c r="F217" s="21" t="str">
        <f>IF(MonthlyFAME!G219=0,"",MonthlyFAME!G219)</f>
        <v/>
      </c>
      <c r="G217" s="21">
        <f>IF(MonthlyFAME!H219=0,"",MonthlyFAME!H219)</f>
        <v>5.6763744201961828</v>
      </c>
      <c r="H217" s="21">
        <f>IF(MonthlyFAME!I219=0,"",MonthlyFAME!I219)</f>
        <v>24809</v>
      </c>
      <c r="I217" s="21">
        <f>IF(MonthlyFAME!J219=0,"",MonthlyFAME!J219)</f>
        <v>867.3</v>
      </c>
      <c r="J217" s="24"/>
      <c r="K217" s="21">
        <f>IF(MonthlyFAME!L219=0,"",MonthlyFAME!L219)</f>
        <v>51.8280920927739</v>
      </c>
      <c r="L217" s="21">
        <f>IF(MonthlyFAME!M219=0,"",MonthlyFAME!M219)</f>
        <v>1193.5999999999999</v>
      </c>
      <c r="M217" s="21" t="str">
        <f>IF(MonthlyFAME!N219=0,"",MonthlyFAME!N219)</f>
        <v/>
      </c>
      <c r="N217" s="21" t="str">
        <f>IF(MonthlyFAME!O219=0,"",MonthlyFAME!O219)</f>
        <v/>
      </c>
      <c r="O217" s="21" t="str">
        <f>IF(MonthlyFAME!P219=0,"",MonthlyFAME!P219)</f>
        <v/>
      </c>
      <c r="P217" s="21" t="str">
        <f>IF(MonthlyFAME!Q219=0,"",MonthlyFAME!Q219)</f>
        <v/>
      </c>
      <c r="Q217" s="21" t="str">
        <f>IF(MonthlyFAME!R219=0,"",MonthlyFAME!R219)</f>
        <v/>
      </c>
      <c r="R217" s="21" t="str">
        <f>IF(MonthlyFAME!S219=0,"",MonthlyFAME!S219)</f>
        <v/>
      </c>
      <c r="S217" s="21" t="str">
        <f>IF(MonthlyFAME!T219=0,"",MonthlyFAME!T219)</f>
        <v/>
      </c>
      <c r="T217" s="21" t="str">
        <f>IF(MonthlyFAME!U219=0,"",MonthlyFAME!U219)</f>
        <v/>
      </c>
    </row>
    <row r="218" spans="1:20" x14ac:dyDescent="0.2">
      <c r="A218" s="23">
        <f>IF(MonthlyFAME!A220=0,"",MonthlyFAME!A220)</f>
        <v>28429</v>
      </c>
      <c r="B218" s="21" t="str">
        <f>IF(MonthlyFAME!B220=0,"",MonthlyFAME!B220)</f>
        <v/>
      </c>
      <c r="C218" s="21">
        <f>IF(MonthlyFAME!C220=0,"",MonthlyFAME!C220)</f>
        <v>61</v>
      </c>
      <c r="D218" s="21" t="str">
        <f>IF(MonthlyFAME!D220=0,"",MonthlyFAME!D220)</f>
        <v/>
      </c>
      <c r="E218" s="21" t="str">
        <f>IF(MonthlyFAME!F220=0,"",MonthlyFAME!F220)</f>
        <v/>
      </c>
      <c r="F218" s="21" t="str">
        <f>IF(MonthlyFAME!G220=0,"",MonthlyFAME!G220)</f>
        <v/>
      </c>
      <c r="G218" s="21">
        <f>IF(MonthlyFAME!H220=0,"",MonthlyFAME!H220)</f>
        <v>5.6934362053893812</v>
      </c>
      <c r="H218" s="21">
        <f>IF(MonthlyFAME!I220=0,"",MonthlyFAME!I220)</f>
        <v>24813</v>
      </c>
      <c r="I218" s="21">
        <f>IF(MonthlyFAME!J220=0,"",MonthlyFAME!J220)</f>
        <v>867.6</v>
      </c>
      <c r="J218" s="24"/>
      <c r="K218" s="21">
        <f>IF(MonthlyFAME!L220=0,"",MonthlyFAME!L220)</f>
        <v>52.632947329016098</v>
      </c>
      <c r="L218" s="21">
        <f>IF(MonthlyFAME!M220=0,"",MonthlyFAME!M220)</f>
        <v>1188.0999999999999</v>
      </c>
      <c r="M218" s="21" t="str">
        <f>IF(MonthlyFAME!N220=0,"",MonthlyFAME!N220)</f>
        <v/>
      </c>
      <c r="N218" s="21" t="str">
        <f>IF(MonthlyFAME!O220=0,"",MonthlyFAME!O220)</f>
        <v/>
      </c>
      <c r="O218" s="21" t="str">
        <f>IF(MonthlyFAME!P220=0,"",MonthlyFAME!P220)</f>
        <v/>
      </c>
      <c r="P218" s="21" t="str">
        <f>IF(MonthlyFAME!Q220=0,"",MonthlyFAME!Q220)</f>
        <v/>
      </c>
      <c r="Q218" s="21" t="str">
        <f>IF(MonthlyFAME!R220=0,"",MonthlyFAME!R220)</f>
        <v/>
      </c>
      <c r="R218" s="21" t="str">
        <f>IF(MonthlyFAME!S220=0,"",MonthlyFAME!S220)</f>
        <v/>
      </c>
      <c r="S218" s="21" t="str">
        <f>IF(MonthlyFAME!T220=0,"",MonthlyFAME!T220)</f>
        <v/>
      </c>
      <c r="T218" s="21" t="str">
        <f>IF(MonthlyFAME!U220=0,"",MonthlyFAME!U220)</f>
        <v/>
      </c>
    </row>
    <row r="219" spans="1:20" x14ac:dyDescent="0.2">
      <c r="A219" s="23">
        <f>IF(MonthlyFAME!A221=0,"",MonthlyFAME!A221)</f>
        <v>28459</v>
      </c>
      <c r="B219" s="21" t="str">
        <f>IF(MonthlyFAME!B221=0,"",MonthlyFAME!B221)</f>
        <v/>
      </c>
      <c r="C219" s="21">
        <f>IF(MonthlyFAME!C221=0,"",MonthlyFAME!C221)</f>
        <v>60.5</v>
      </c>
      <c r="D219" s="21" t="str">
        <f>IF(MonthlyFAME!D221=0,"",MonthlyFAME!D221)</f>
        <v/>
      </c>
      <c r="E219" s="21" t="str">
        <f>IF(MonthlyFAME!F221=0,"",MonthlyFAME!F221)</f>
        <v/>
      </c>
      <c r="F219" s="21" t="str">
        <f>IF(MonthlyFAME!G221=0,"",MonthlyFAME!G221)</f>
        <v/>
      </c>
      <c r="G219" s="21">
        <f>IF(MonthlyFAME!H221=0,"",MonthlyFAME!H221)</f>
        <v>5.7066869300911858</v>
      </c>
      <c r="H219" s="21">
        <f>IF(MonthlyFAME!I221=0,"",MonthlyFAME!I221)</f>
        <v>24818</v>
      </c>
      <c r="I219" s="21">
        <f>IF(MonthlyFAME!J221=0,"",MonthlyFAME!J221)</f>
        <v>867.7</v>
      </c>
      <c r="J219" s="24"/>
      <c r="K219" s="21">
        <f>IF(MonthlyFAME!L221=0,"",MonthlyFAME!L221)</f>
        <v>53.396326433909401</v>
      </c>
      <c r="L219" s="21">
        <f>IF(MonthlyFAME!M221=0,"",MonthlyFAME!M221)</f>
        <v>1186.0999999999999</v>
      </c>
      <c r="M219" s="21" t="str">
        <f>IF(MonthlyFAME!N221=0,"",MonthlyFAME!N221)</f>
        <v/>
      </c>
      <c r="N219" s="21" t="str">
        <f>IF(MonthlyFAME!O221=0,"",MonthlyFAME!O221)</f>
        <v/>
      </c>
      <c r="O219" s="21" t="str">
        <f>IF(MonthlyFAME!P221=0,"",MonthlyFAME!P221)</f>
        <v/>
      </c>
      <c r="P219" s="21" t="str">
        <f>IF(MonthlyFAME!Q221=0,"",MonthlyFAME!Q221)</f>
        <v/>
      </c>
      <c r="Q219" s="21" t="str">
        <f>IF(MonthlyFAME!R221=0,"",MonthlyFAME!R221)</f>
        <v/>
      </c>
      <c r="R219" s="21" t="str">
        <f>IF(MonthlyFAME!S221=0,"",MonthlyFAME!S221)</f>
        <v/>
      </c>
      <c r="S219" s="21" t="str">
        <f>IF(MonthlyFAME!T221=0,"",MonthlyFAME!T221)</f>
        <v/>
      </c>
      <c r="T219" s="21" t="str">
        <f>IF(MonthlyFAME!U221=0,"",MonthlyFAME!U221)</f>
        <v/>
      </c>
    </row>
    <row r="220" spans="1:20" x14ac:dyDescent="0.2">
      <c r="A220" s="23">
        <f>IF(MonthlyFAME!A222=0,"",MonthlyFAME!A222)</f>
        <v>28490</v>
      </c>
      <c r="B220" s="21" t="str">
        <f>IF(MonthlyFAME!B222=0,"",MonthlyFAME!B222)</f>
        <v/>
      </c>
      <c r="C220" s="21">
        <f>IF(MonthlyFAME!C222=0,"",MonthlyFAME!C222)</f>
        <v>61.6</v>
      </c>
      <c r="D220" s="21" t="str">
        <f>IF(MonthlyFAME!D222=0,"",MonthlyFAME!D222)</f>
        <v/>
      </c>
      <c r="E220" s="21" t="str">
        <f>IF(MonthlyFAME!F222=0,"",MonthlyFAME!F222)</f>
        <v/>
      </c>
      <c r="F220" s="21" t="str">
        <f>IF(MonthlyFAME!G222=0,"",MonthlyFAME!G222)</f>
        <v/>
      </c>
      <c r="G220" s="21">
        <f>IF(MonthlyFAME!H222=0,"",MonthlyFAME!H222)</f>
        <v>5.6950723756696178</v>
      </c>
      <c r="H220" s="21">
        <f>IF(MonthlyFAME!I222=0,"",MonthlyFAME!I222)</f>
        <v>24822</v>
      </c>
      <c r="I220" s="21">
        <f>IF(MonthlyFAME!J222=0,"",MonthlyFAME!J222)</f>
        <v>867.8</v>
      </c>
      <c r="J220" s="24"/>
      <c r="K220" s="21">
        <f>IF(MonthlyFAME!L222=0,"",MonthlyFAME!L222)</f>
        <v>53.901683439669299</v>
      </c>
      <c r="L220" s="21">
        <f>IF(MonthlyFAME!M222=0,"",MonthlyFAME!M222)</f>
        <v>1181.5</v>
      </c>
      <c r="M220" s="21" t="str">
        <f>IF(MonthlyFAME!N222=0,"",MonthlyFAME!N222)</f>
        <v/>
      </c>
      <c r="N220" s="21" t="str">
        <f>IF(MonthlyFAME!O222=0,"",MonthlyFAME!O222)</f>
        <v/>
      </c>
      <c r="O220" s="21" t="str">
        <f>IF(MonthlyFAME!P222=0,"",MonthlyFAME!P222)</f>
        <v/>
      </c>
      <c r="P220" s="21" t="str">
        <f>IF(MonthlyFAME!Q222=0,"",MonthlyFAME!Q222)</f>
        <v/>
      </c>
      <c r="Q220" s="21" t="str">
        <f>IF(MonthlyFAME!R222=0,"",MonthlyFAME!R222)</f>
        <v/>
      </c>
      <c r="R220" s="21" t="str">
        <f>IF(MonthlyFAME!S222=0,"",MonthlyFAME!S222)</f>
        <v/>
      </c>
      <c r="S220" s="21" t="str">
        <f>IF(MonthlyFAME!T222=0,"",MonthlyFAME!T222)</f>
        <v/>
      </c>
      <c r="T220" s="21" t="str">
        <f>IF(MonthlyFAME!U222=0,"",MonthlyFAME!U222)</f>
        <v/>
      </c>
    </row>
    <row r="221" spans="1:20" x14ac:dyDescent="0.2">
      <c r="A221" s="23">
        <f>IF(MonthlyFAME!A223=0,"",MonthlyFAME!A223)</f>
        <v>28521</v>
      </c>
      <c r="B221" s="21" t="str">
        <f>IF(MonthlyFAME!B223=0,"",MonthlyFAME!B223)</f>
        <v/>
      </c>
      <c r="C221" s="21">
        <f>IF(MonthlyFAME!C223=0,"",MonthlyFAME!C223)</f>
        <v>61.5</v>
      </c>
      <c r="D221" s="21" t="str">
        <f>IF(MonthlyFAME!D223=0,"",MonthlyFAME!D223)</f>
        <v/>
      </c>
      <c r="E221" s="21" t="str">
        <f>IF(MonthlyFAME!F223=0,"",MonthlyFAME!F223)</f>
        <v/>
      </c>
      <c r="F221" s="21" t="str">
        <f>IF(MonthlyFAME!G223=0,"",MonthlyFAME!G223)</f>
        <v/>
      </c>
      <c r="G221" s="21">
        <f>IF(MonthlyFAME!H223=0,"",MonthlyFAME!H223)</f>
        <v>5.671199574565069</v>
      </c>
      <c r="H221" s="21">
        <f>IF(MonthlyFAME!I223=0,"",MonthlyFAME!I223)</f>
        <v>24833</v>
      </c>
      <c r="I221" s="21">
        <f>IF(MonthlyFAME!J223=0,"",MonthlyFAME!J223)</f>
        <v>868.1</v>
      </c>
      <c r="J221" s="24"/>
      <c r="K221" s="21">
        <f>IF(MonthlyFAME!L223=0,"",MonthlyFAME!L223)</f>
        <v>54.801707665539702</v>
      </c>
      <c r="L221" s="21">
        <f>IF(MonthlyFAME!M223=0,"",MonthlyFAME!M223)</f>
        <v>1167.5</v>
      </c>
      <c r="M221" s="21" t="str">
        <f>IF(MonthlyFAME!N223=0,"",MonthlyFAME!N223)</f>
        <v/>
      </c>
      <c r="N221" s="21" t="str">
        <f>IF(MonthlyFAME!O223=0,"",MonthlyFAME!O223)</f>
        <v/>
      </c>
      <c r="O221" s="21" t="str">
        <f>IF(MonthlyFAME!P223=0,"",MonthlyFAME!P223)</f>
        <v/>
      </c>
      <c r="P221" s="21" t="str">
        <f>IF(MonthlyFAME!Q223=0,"",MonthlyFAME!Q223)</f>
        <v/>
      </c>
      <c r="Q221" s="21" t="str">
        <f>IF(MonthlyFAME!R223=0,"",MonthlyFAME!R223)</f>
        <v/>
      </c>
      <c r="R221" s="21" t="str">
        <f>IF(MonthlyFAME!S223=0,"",MonthlyFAME!S223)</f>
        <v/>
      </c>
      <c r="S221" s="21" t="str">
        <f>IF(MonthlyFAME!T223=0,"",MonthlyFAME!T223)</f>
        <v/>
      </c>
      <c r="T221" s="21" t="str">
        <f>IF(MonthlyFAME!U223=0,"",MonthlyFAME!U223)</f>
        <v/>
      </c>
    </row>
    <row r="222" spans="1:20" x14ac:dyDescent="0.2">
      <c r="A222" s="23">
        <f>IF(MonthlyFAME!A224=0,"",MonthlyFAME!A224)</f>
        <v>28549</v>
      </c>
      <c r="B222" s="21" t="str">
        <f>IF(MonthlyFAME!B224=0,"",MonthlyFAME!B224)</f>
        <v/>
      </c>
      <c r="C222" s="21">
        <f>IF(MonthlyFAME!C224=0,"",MonthlyFAME!C224)</f>
        <v>61.5</v>
      </c>
      <c r="D222" s="21" t="str">
        <f>IF(MonthlyFAME!D224=0,"",MonthlyFAME!D224)</f>
        <v/>
      </c>
      <c r="E222" s="21" t="str">
        <f>IF(MonthlyFAME!F224=0,"",MonthlyFAME!F224)</f>
        <v/>
      </c>
      <c r="F222" s="21" t="str">
        <f>IF(MonthlyFAME!G224=0,"",MonthlyFAME!G224)</f>
        <v/>
      </c>
      <c r="G222" s="21">
        <f>IF(MonthlyFAME!H224=0,"",MonthlyFAME!H224)</f>
        <v>5.6365846247341231</v>
      </c>
      <c r="H222" s="21">
        <f>IF(MonthlyFAME!I224=0,"",MonthlyFAME!I224)</f>
        <v>24844</v>
      </c>
      <c r="I222" s="21">
        <f>IF(MonthlyFAME!J224=0,"",MonthlyFAME!J224)</f>
        <v>868.4</v>
      </c>
      <c r="J222" s="24"/>
      <c r="K222" s="21">
        <f>IF(MonthlyFAME!L224=0,"",MonthlyFAME!L224)</f>
        <v>55.407583609630002</v>
      </c>
      <c r="L222" s="21">
        <f>IF(MonthlyFAME!M224=0,"",MonthlyFAME!M224)</f>
        <v>1150.9000000000001</v>
      </c>
      <c r="M222" s="21" t="str">
        <f>IF(MonthlyFAME!N224=0,"",MonthlyFAME!N224)</f>
        <v/>
      </c>
      <c r="N222" s="21" t="str">
        <f>IF(MonthlyFAME!O224=0,"",MonthlyFAME!O224)</f>
        <v/>
      </c>
      <c r="O222" s="21" t="str">
        <f>IF(MonthlyFAME!P224=0,"",MonthlyFAME!P224)</f>
        <v/>
      </c>
      <c r="P222" s="21" t="str">
        <f>IF(MonthlyFAME!Q224=0,"",MonthlyFAME!Q224)</f>
        <v/>
      </c>
      <c r="Q222" s="21" t="str">
        <f>IF(MonthlyFAME!R224=0,"",MonthlyFAME!R224)</f>
        <v/>
      </c>
      <c r="R222" s="21" t="str">
        <f>IF(MonthlyFAME!S224=0,"",MonthlyFAME!S224)</f>
        <v/>
      </c>
      <c r="S222" s="21" t="str">
        <f>IF(MonthlyFAME!T224=0,"",MonthlyFAME!T224)</f>
        <v/>
      </c>
      <c r="T222" s="21" t="str">
        <f>IF(MonthlyFAME!U224=0,"",MonthlyFAME!U224)</f>
        <v/>
      </c>
    </row>
    <row r="223" spans="1:20" x14ac:dyDescent="0.2">
      <c r="A223" s="23">
        <f>IF(MonthlyFAME!A225=0,"",MonthlyFAME!A225)</f>
        <v>28580</v>
      </c>
      <c r="B223" s="21" t="str">
        <f>IF(MonthlyFAME!B225=0,"",MonthlyFAME!B225)</f>
        <v/>
      </c>
      <c r="C223" s="21">
        <f>IF(MonthlyFAME!C225=0,"",MonthlyFAME!C225)</f>
        <v>60.9</v>
      </c>
      <c r="D223" s="21" t="str">
        <f>IF(MonthlyFAME!D225=0,"",MonthlyFAME!D225)</f>
        <v/>
      </c>
      <c r="E223" s="21" t="str">
        <f>IF(MonthlyFAME!F225=0,"",MonthlyFAME!F225)</f>
        <v/>
      </c>
      <c r="F223" s="21" t="str">
        <f>IF(MonthlyFAME!G225=0,"",MonthlyFAME!G225)</f>
        <v/>
      </c>
      <c r="G223" s="21">
        <f>IF(MonthlyFAME!H225=0,"",MonthlyFAME!H225)</f>
        <v>5.5969015795868771</v>
      </c>
      <c r="H223" s="21">
        <f>IF(MonthlyFAME!I225=0,"",MonthlyFAME!I225)</f>
        <v>24862</v>
      </c>
      <c r="I223" s="21">
        <f>IF(MonthlyFAME!J225=0,"",MonthlyFAME!J225)</f>
        <v>869</v>
      </c>
      <c r="J223" s="24"/>
      <c r="K223" s="21">
        <f>IF(MonthlyFAME!L225=0,"",MonthlyFAME!L225)</f>
        <v>55.837663879809703</v>
      </c>
      <c r="L223" s="21">
        <f>IF(MonthlyFAME!M225=0,"",MonthlyFAME!M225)</f>
        <v>1148.0999999999999</v>
      </c>
      <c r="M223" s="21" t="str">
        <f>IF(MonthlyFAME!N225=0,"",MonthlyFAME!N225)</f>
        <v/>
      </c>
      <c r="N223" s="21" t="str">
        <f>IF(MonthlyFAME!O225=0,"",MonthlyFAME!O225)</f>
        <v/>
      </c>
      <c r="O223" s="21" t="str">
        <f>IF(MonthlyFAME!P225=0,"",MonthlyFAME!P225)</f>
        <v/>
      </c>
      <c r="P223" s="21" t="str">
        <f>IF(MonthlyFAME!Q225=0,"",MonthlyFAME!Q225)</f>
        <v/>
      </c>
      <c r="Q223" s="21" t="str">
        <f>IF(MonthlyFAME!R225=0,"",MonthlyFAME!R225)</f>
        <v/>
      </c>
      <c r="R223" s="21" t="str">
        <f>IF(MonthlyFAME!S225=0,"",MonthlyFAME!S225)</f>
        <v/>
      </c>
      <c r="S223" s="21" t="str">
        <f>IF(MonthlyFAME!T225=0,"",MonthlyFAME!T225)</f>
        <v/>
      </c>
      <c r="T223" s="21" t="str">
        <f>IF(MonthlyFAME!U225=0,"",MonthlyFAME!U225)</f>
        <v/>
      </c>
    </row>
    <row r="224" spans="1:20" x14ac:dyDescent="0.2">
      <c r="A224" s="23">
        <f>IF(MonthlyFAME!A226=0,"",MonthlyFAME!A226)</f>
        <v>28610</v>
      </c>
      <c r="B224" s="21" t="str">
        <f>IF(MonthlyFAME!B226=0,"",MonthlyFAME!B226)</f>
        <v/>
      </c>
      <c r="C224" s="21">
        <f>IF(MonthlyFAME!C226=0,"",MonthlyFAME!C226)</f>
        <v>64.599999999999994</v>
      </c>
      <c r="D224" s="21" t="str">
        <f>IF(MonthlyFAME!D226=0,"",MonthlyFAME!D226)</f>
        <v/>
      </c>
      <c r="E224" s="21" t="str">
        <f>IF(MonthlyFAME!F226=0,"",MonthlyFAME!F226)</f>
        <v/>
      </c>
      <c r="F224" s="21" t="str">
        <f>IF(MonthlyFAME!G226=0,"",MonthlyFAME!G226)</f>
        <v/>
      </c>
      <c r="G224" s="21">
        <f>IF(MonthlyFAME!H226=0,"",MonthlyFAME!H226)</f>
        <v>5.5764339672778345</v>
      </c>
      <c r="H224" s="21">
        <f>IF(MonthlyFAME!I226=0,"",MonthlyFAME!I226)</f>
        <v>24874</v>
      </c>
      <c r="I224" s="21">
        <f>IF(MonthlyFAME!J226=0,"",MonthlyFAME!J226)</f>
        <v>869.5</v>
      </c>
      <c r="J224" s="24"/>
      <c r="K224" s="21">
        <f>IF(MonthlyFAME!L226=0,"",MonthlyFAME!L226)</f>
        <v>56.803931716447401</v>
      </c>
      <c r="L224" s="21">
        <f>IF(MonthlyFAME!M226=0,"",MonthlyFAME!M226)</f>
        <v>1147.3</v>
      </c>
      <c r="M224" s="21" t="str">
        <f>IF(MonthlyFAME!N226=0,"",MonthlyFAME!N226)</f>
        <v/>
      </c>
      <c r="N224" s="21" t="str">
        <f>IF(MonthlyFAME!O226=0,"",MonthlyFAME!O226)</f>
        <v/>
      </c>
      <c r="O224" s="21" t="str">
        <f>IF(MonthlyFAME!P226=0,"",MonthlyFAME!P226)</f>
        <v/>
      </c>
      <c r="P224" s="21" t="str">
        <f>IF(MonthlyFAME!Q226=0,"",MonthlyFAME!Q226)</f>
        <v/>
      </c>
      <c r="Q224" s="21" t="str">
        <f>IF(MonthlyFAME!R226=0,"",MonthlyFAME!R226)</f>
        <v/>
      </c>
      <c r="R224" s="21" t="str">
        <f>IF(MonthlyFAME!S226=0,"",MonthlyFAME!S226)</f>
        <v/>
      </c>
      <c r="S224" s="21" t="str">
        <f>IF(MonthlyFAME!T226=0,"",MonthlyFAME!T226)</f>
        <v/>
      </c>
      <c r="T224" s="21" t="str">
        <f>IF(MonthlyFAME!U226=0,"",MonthlyFAME!U226)</f>
        <v/>
      </c>
    </row>
    <row r="225" spans="1:20" x14ac:dyDescent="0.2">
      <c r="A225" s="23">
        <f>IF(MonthlyFAME!A227=0,"",MonthlyFAME!A227)</f>
        <v>28641</v>
      </c>
      <c r="B225" s="21" t="str">
        <f>IF(MonthlyFAME!B227=0,"",MonthlyFAME!B227)</f>
        <v/>
      </c>
      <c r="C225" s="21">
        <f>IF(MonthlyFAME!C227=0,"",MonthlyFAME!C227)</f>
        <v>62.4</v>
      </c>
      <c r="D225" s="21" t="str">
        <f>IF(MonthlyFAME!D227=0,"",MonthlyFAME!D227)</f>
        <v/>
      </c>
      <c r="E225" s="21" t="str">
        <f>IF(MonthlyFAME!F227=0,"",MonthlyFAME!F227)</f>
        <v/>
      </c>
      <c r="F225" s="21" t="str">
        <f>IF(MonthlyFAME!G227=0,"",MonthlyFAME!G227)</f>
        <v/>
      </c>
      <c r="G225" s="21">
        <f>IF(MonthlyFAME!H227=0,"",MonthlyFAME!H227)</f>
        <v>5.5631451123254401</v>
      </c>
      <c r="H225" s="21">
        <f>IF(MonthlyFAME!I227=0,"",MonthlyFAME!I227)</f>
        <v>24886</v>
      </c>
      <c r="I225" s="21">
        <f>IF(MonthlyFAME!J227=0,"",MonthlyFAME!J227)</f>
        <v>869.8</v>
      </c>
      <c r="J225" s="24"/>
      <c r="K225" s="21">
        <f>IF(MonthlyFAME!L227=0,"",MonthlyFAME!L227)</f>
        <v>57.553985655180703</v>
      </c>
      <c r="L225" s="21">
        <f>IF(MonthlyFAME!M227=0,"",MonthlyFAME!M227)</f>
        <v>1140.5999999999999</v>
      </c>
      <c r="M225" s="21" t="str">
        <f>IF(MonthlyFAME!N227=0,"",MonthlyFAME!N227)</f>
        <v/>
      </c>
      <c r="N225" s="21" t="str">
        <f>IF(MonthlyFAME!O227=0,"",MonthlyFAME!O227)</f>
        <v/>
      </c>
      <c r="O225" s="21" t="str">
        <f>IF(MonthlyFAME!P227=0,"",MonthlyFAME!P227)</f>
        <v/>
      </c>
      <c r="P225" s="21" t="str">
        <f>IF(MonthlyFAME!Q227=0,"",MonthlyFAME!Q227)</f>
        <v/>
      </c>
      <c r="Q225" s="21" t="str">
        <f>IF(MonthlyFAME!R227=0,"",MonthlyFAME!R227)</f>
        <v/>
      </c>
      <c r="R225" s="21" t="str">
        <f>IF(MonthlyFAME!S227=0,"",MonthlyFAME!S227)</f>
        <v/>
      </c>
      <c r="S225" s="21" t="str">
        <f>IF(MonthlyFAME!T227=0,"",MonthlyFAME!T227)</f>
        <v/>
      </c>
      <c r="T225" s="21" t="str">
        <f>IF(MonthlyFAME!U227=0,"",MonthlyFAME!U227)</f>
        <v/>
      </c>
    </row>
    <row r="226" spans="1:20" x14ac:dyDescent="0.2">
      <c r="A226" s="23">
        <f>IF(MonthlyFAME!A228=0,"",MonthlyFAME!A228)</f>
        <v>28671</v>
      </c>
      <c r="B226" s="21" t="str">
        <f>IF(MonthlyFAME!B228=0,"",MonthlyFAME!B228)</f>
        <v/>
      </c>
      <c r="C226" s="21">
        <f>IF(MonthlyFAME!C228=0,"",MonthlyFAME!C228)</f>
        <v>62.4</v>
      </c>
      <c r="D226" s="21" t="str">
        <f>IF(MonthlyFAME!D228=0,"",MonthlyFAME!D228)</f>
        <v/>
      </c>
      <c r="E226" s="21" t="str">
        <f>IF(MonthlyFAME!F228=0,"",MonthlyFAME!F228)</f>
        <v/>
      </c>
      <c r="F226" s="21" t="str">
        <f>IF(MonthlyFAME!G228=0,"",MonthlyFAME!G228)</f>
        <v/>
      </c>
      <c r="G226" s="21">
        <f>IF(MonthlyFAME!H228=0,"",MonthlyFAME!H228)</f>
        <v>5.5500758725341424</v>
      </c>
      <c r="H226" s="21">
        <f>IF(MonthlyFAME!I228=0,"",MonthlyFAME!I228)</f>
        <v>24897</v>
      </c>
      <c r="I226" s="21">
        <f>IF(MonthlyFAME!J228=0,"",MonthlyFAME!J228)</f>
        <v>870.2</v>
      </c>
      <c r="J226" s="24"/>
      <c r="K226" s="21">
        <f>IF(MonthlyFAME!L228=0,"",MonthlyFAME!L228)</f>
        <v>58.650546721594701</v>
      </c>
      <c r="L226" s="21">
        <f>IF(MonthlyFAME!M228=0,"",MonthlyFAME!M228)</f>
        <v>1140.3</v>
      </c>
      <c r="M226" s="21" t="str">
        <f>IF(MonthlyFAME!N228=0,"",MonthlyFAME!N228)</f>
        <v/>
      </c>
      <c r="N226" s="21" t="str">
        <f>IF(MonthlyFAME!O228=0,"",MonthlyFAME!O228)</f>
        <v/>
      </c>
      <c r="O226" s="21" t="str">
        <f>IF(MonthlyFAME!P228=0,"",MonthlyFAME!P228)</f>
        <v/>
      </c>
      <c r="P226" s="21" t="str">
        <f>IF(MonthlyFAME!Q228=0,"",MonthlyFAME!Q228)</f>
        <v/>
      </c>
      <c r="Q226" s="21" t="str">
        <f>IF(MonthlyFAME!R228=0,"",MonthlyFAME!R228)</f>
        <v/>
      </c>
      <c r="R226" s="21" t="str">
        <f>IF(MonthlyFAME!S228=0,"",MonthlyFAME!S228)</f>
        <v/>
      </c>
      <c r="S226" s="21" t="str">
        <f>IF(MonthlyFAME!T228=0,"",MonthlyFAME!T228)</f>
        <v/>
      </c>
      <c r="T226" s="21" t="str">
        <f>IF(MonthlyFAME!U228=0,"",MonthlyFAME!U228)</f>
        <v/>
      </c>
    </row>
    <row r="227" spans="1:20" x14ac:dyDescent="0.2">
      <c r="A227" s="23">
        <f>IF(MonthlyFAME!A229=0,"",MonthlyFAME!A229)</f>
        <v>28702</v>
      </c>
      <c r="B227" s="21" t="str">
        <f>IF(MonthlyFAME!B229=0,"",MonthlyFAME!B229)</f>
        <v/>
      </c>
      <c r="C227" s="21">
        <f>IF(MonthlyFAME!C229=0,"",MonthlyFAME!C229)</f>
        <v>63.4</v>
      </c>
      <c r="D227" s="21" t="str">
        <f>IF(MonthlyFAME!D229=0,"",MonthlyFAME!D229)</f>
        <v/>
      </c>
      <c r="E227" s="21" t="str">
        <f>IF(MonthlyFAME!F229=0,"",MonthlyFAME!F229)</f>
        <v/>
      </c>
      <c r="F227" s="21" t="str">
        <f>IF(MonthlyFAME!G229=0,"",MonthlyFAME!G229)</f>
        <v/>
      </c>
      <c r="G227" s="21">
        <f>IF(MonthlyFAME!H229=0,"",MonthlyFAME!H229)</f>
        <v>5.5334319414419539</v>
      </c>
      <c r="H227" s="21">
        <f>IF(MonthlyFAME!I229=0,"",MonthlyFAME!I229)</f>
        <v>24908</v>
      </c>
      <c r="I227" s="21">
        <f>IF(MonthlyFAME!J229=0,"",MonthlyFAME!J229)</f>
        <v>870.6</v>
      </c>
      <c r="J227" s="24"/>
      <c r="K227" s="21">
        <f>IF(MonthlyFAME!L229=0,"",MonthlyFAME!L229)</f>
        <v>58.923811557724399</v>
      </c>
      <c r="L227" s="21">
        <f>IF(MonthlyFAME!M229=0,"",MonthlyFAME!M229)</f>
        <v>1134.5999999999999</v>
      </c>
      <c r="M227" s="21" t="str">
        <f>IF(MonthlyFAME!N229=0,"",MonthlyFAME!N229)</f>
        <v/>
      </c>
      <c r="N227" s="21" t="str">
        <f>IF(MonthlyFAME!O229=0,"",MonthlyFAME!O229)</f>
        <v/>
      </c>
      <c r="O227" s="21" t="str">
        <f>IF(MonthlyFAME!P229=0,"",MonthlyFAME!P229)</f>
        <v/>
      </c>
      <c r="P227" s="21" t="str">
        <f>IF(MonthlyFAME!Q229=0,"",MonthlyFAME!Q229)</f>
        <v/>
      </c>
      <c r="Q227" s="21" t="str">
        <f>IF(MonthlyFAME!R229=0,"",MonthlyFAME!R229)</f>
        <v/>
      </c>
      <c r="R227" s="21" t="str">
        <f>IF(MonthlyFAME!S229=0,"",MonthlyFAME!S229)</f>
        <v/>
      </c>
      <c r="S227" s="21" t="str">
        <f>IF(MonthlyFAME!T229=0,"",MonthlyFAME!T229)</f>
        <v/>
      </c>
      <c r="T227" s="21" t="str">
        <f>IF(MonthlyFAME!U229=0,"",MonthlyFAME!U229)</f>
        <v/>
      </c>
    </row>
    <row r="228" spans="1:20" x14ac:dyDescent="0.2">
      <c r="A228" s="23">
        <f>IF(MonthlyFAME!A230=0,"",MonthlyFAME!A230)</f>
        <v>28733</v>
      </c>
      <c r="B228" s="21" t="str">
        <f>IF(MonthlyFAME!B230=0,"",MonthlyFAME!B230)</f>
        <v/>
      </c>
      <c r="C228" s="21">
        <f>IF(MonthlyFAME!C230=0,"",MonthlyFAME!C230)</f>
        <v>63.8</v>
      </c>
      <c r="D228" s="21" t="str">
        <f>IF(MonthlyFAME!D230=0,"",MonthlyFAME!D230)</f>
        <v/>
      </c>
      <c r="E228" s="21" t="str">
        <f>IF(MonthlyFAME!F230=0,"",MonthlyFAME!F230)</f>
        <v/>
      </c>
      <c r="F228" s="21" t="str">
        <f>IF(MonthlyFAME!G230=0,"",MonthlyFAME!G230)</f>
        <v/>
      </c>
      <c r="G228" s="21">
        <f>IF(MonthlyFAME!H230=0,"",MonthlyFAME!H230)</f>
        <v>5.5311244218667071</v>
      </c>
      <c r="H228" s="21">
        <f>IF(MonthlyFAME!I230=0,"",MonthlyFAME!I230)</f>
        <v>24919</v>
      </c>
      <c r="I228" s="21">
        <f>IF(MonthlyFAME!J230=0,"",MonthlyFAME!J230)</f>
        <v>871.2</v>
      </c>
      <c r="J228" s="24"/>
      <c r="K228" s="21">
        <f>IF(MonthlyFAME!L230=0,"",MonthlyFAME!L230)</f>
        <v>58.963395462658497</v>
      </c>
      <c r="L228" s="21">
        <f>IF(MonthlyFAME!M230=0,"",MonthlyFAME!M230)</f>
        <v>1144.5999999999999</v>
      </c>
      <c r="M228" s="21" t="str">
        <f>IF(MonthlyFAME!N230=0,"",MonthlyFAME!N230)</f>
        <v/>
      </c>
      <c r="N228" s="21" t="str">
        <f>IF(MonthlyFAME!O230=0,"",MonthlyFAME!O230)</f>
        <v/>
      </c>
      <c r="O228" s="21" t="str">
        <f>IF(MonthlyFAME!P230=0,"",MonthlyFAME!P230)</f>
        <v/>
      </c>
      <c r="P228" s="21" t="str">
        <f>IF(MonthlyFAME!Q230=0,"",MonthlyFAME!Q230)</f>
        <v/>
      </c>
      <c r="Q228" s="21" t="str">
        <f>IF(MonthlyFAME!R230=0,"",MonthlyFAME!R230)</f>
        <v/>
      </c>
      <c r="R228" s="21" t="str">
        <f>IF(MonthlyFAME!S230=0,"",MonthlyFAME!S230)</f>
        <v/>
      </c>
      <c r="S228" s="21" t="str">
        <f>IF(MonthlyFAME!T230=0,"",MonthlyFAME!T230)</f>
        <v/>
      </c>
      <c r="T228" s="21" t="str">
        <f>IF(MonthlyFAME!U230=0,"",MonthlyFAME!U230)</f>
        <v/>
      </c>
    </row>
    <row r="229" spans="1:20" x14ac:dyDescent="0.2">
      <c r="A229" s="23">
        <f>IF(MonthlyFAME!A231=0,"",MonthlyFAME!A231)</f>
        <v>28763</v>
      </c>
      <c r="B229" s="21" t="str">
        <f>IF(MonthlyFAME!B231=0,"",MonthlyFAME!B231)</f>
        <v/>
      </c>
      <c r="C229" s="21">
        <f>IF(MonthlyFAME!C231=0,"",MonthlyFAME!C231)</f>
        <v>63.8</v>
      </c>
      <c r="D229" s="21" t="str">
        <f>IF(MonthlyFAME!D231=0,"",MonthlyFAME!D231)</f>
        <v/>
      </c>
      <c r="E229" s="21" t="str">
        <f>IF(MonthlyFAME!F231=0,"",MonthlyFAME!F231)</f>
        <v/>
      </c>
      <c r="F229" s="21" t="str">
        <f>IF(MonthlyFAME!G231=0,"",MonthlyFAME!G231)</f>
        <v/>
      </c>
      <c r="G229" s="21">
        <f>IF(MonthlyFAME!H231=0,"",MonthlyFAME!H231)</f>
        <v>5.5121988180027275</v>
      </c>
      <c r="H229" s="21">
        <f>IF(MonthlyFAME!I231=0,"",MonthlyFAME!I231)</f>
        <v>24941</v>
      </c>
      <c r="I229" s="21">
        <f>IF(MonthlyFAME!J231=0,"",MonthlyFAME!J231)</f>
        <v>872</v>
      </c>
      <c r="J229" s="24"/>
      <c r="K229" s="21">
        <f>IF(MonthlyFAME!L231=0,"",MonthlyFAME!L231)</f>
        <v>59.937591239556397</v>
      </c>
      <c r="L229" s="21">
        <f>IF(MonthlyFAME!M231=0,"",MonthlyFAME!M231)</f>
        <v>1130.2</v>
      </c>
      <c r="M229" s="21" t="str">
        <f>IF(MonthlyFAME!N231=0,"",MonthlyFAME!N231)</f>
        <v/>
      </c>
      <c r="N229" s="21" t="str">
        <f>IF(MonthlyFAME!O231=0,"",MonthlyFAME!O231)</f>
        <v/>
      </c>
      <c r="O229" s="21" t="str">
        <f>IF(MonthlyFAME!P231=0,"",MonthlyFAME!P231)</f>
        <v/>
      </c>
      <c r="P229" s="21" t="str">
        <f>IF(MonthlyFAME!Q231=0,"",MonthlyFAME!Q231)</f>
        <v/>
      </c>
      <c r="Q229" s="21" t="str">
        <f>IF(MonthlyFAME!R231=0,"",MonthlyFAME!R231)</f>
        <v/>
      </c>
      <c r="R229" s="21" t="str">
        <f>IF(MonthlyFAME!S231=0,"",MonthlyFAME!S231)</f>
        <v/>
      </c>
      <c r="S229" s="21" t="str">
        <f>IF(MonthlyFAME!T231=0,"",MonthlyFAME!T231)</f>
        <v/>
      </c>
      <c r="T229" s="21" t="str">
        <f>IF(MonthlyFAME!U231=0,"",MonthlyFAME!U231)</f>
        <v/>
      </c>
    </row>
    <row r="230" spans="1:20" x14ac:dyDescent="0.2">
      <c r="A230" s="23">
        <f>IF(MonthlyFAME!A232=0,"",MonthlyFAME!A232)</f>
        <v>28794</v>
      </c>
      <c r="B230" s="21" t="str">
        <f>IF(MonthlyFAME!B232=0,"",MonthlyFAME!B232)</f>
        <v/>
      </c>
      <c r="C230" s="21">
        <f>IF(MonthlyFAME!C232=0,"",MonthlyFAME!C232)</f>
        <v>62.6</v>
      </c>
      <c r="D230" s="21" t="str">
        <f>IF(MonthlyFAME!D232=0,"",MonthlyFAME!D232)</f>
        <v/>
      </c>
      <c r="E230" s="21" t="str">
        <f>IF(MonthlyFAME!F232=0,"",MonthlyFAME!F232)</f>
        <v/>
      </c>
      <c r="F230" s="21" t="str">
        <f>IF(MonthlyFAME!G232=0,"",MonthlyFAME!G232)</f>
        <v/>
      </c>
      <c r="G230" s="21">
        <f>IF(MonthlyFAME!H232=0,"",MonthlyFAME!H232)</f>
        <v>5.4836512261580381</v>
      </c>
      <c r="H230" s="21">
        <f>IF(MonthlyFAME!I232=0,"",MonthlyFAME!I232)</f>
        <v>24975</v>
      </c>
      <c r="I230" s="21">
        <f>IF(MonthlyFAME!J232=0,"",MonthlyFAME!J232)</f>
        <v>873.4</v>
      </c>
      <c r="J230" s="24"/>
      <c r="K230" s="21">
        <f>IF(MonthlyFAME!L232=0,"",MonthlyFAME!L232)</f>
        <v>60.609502833721798</v>
      </c>
      <c r="L230" s="21">
        <f>IF(MonthlyFAME!M232=0,"",MonthlyFAME!M232)</f>
        <v>1115.4000000000001</v>
      </c>
      <c r="M230" s="21" t="str">
        <f>IF(MonthlyFAME!N232=0,"",MonthlyFAME!N232)</f>
        <v/>
      </c>
      <c r="N230" s="21" t="str">
        <f>IF(MonthlyFAME!O232=0,"",MonthlyFAME!O232)</f>
        <v/>
      </c>
      <c r="O230" s="21" t="str">
        <f>IF(MonthlyFAME!P232=0,"",MonthlyFAME!P232)</f>
        <v/>
      </c>
      <c r="P230" s="21" t="str">
        <f>IF(MonthlyFAME!Q232=0,"",MonthlyFAME!Q232)</f>
        <v/>
      </c>
      <c r="Q230" s="21" t="str">
        <f>IF(MonthlyFAME!R232=0,"",MonthlyFAME!R232)</f>
        <v/>
      </c>
      <c r="R230" s="21" t="str">
        <f>IF(MonthlyFAME!S232=0,"",MonthlyFAME!S232)</f>
        <v/>
      </c>
      <c r="S230" s="21" t="str">
        <f>IF(MonthlyFAME!T232=0,"",MonthlyFAME!T232)</f>
        <v/>
      </c>
      <c r="T230" s="21" t="str">
        <f>IF(MonthlyFAME!U232=0,"",MonthlyFAME!U232)</f>
        <v/>
      </c>
    </row>
    <row r="231" spans="1:20" x14ac:dyDescent="0.2">
      <c r="A231" s="23">
        <f>IF(MonthlyFAME!A233=0,"",MonthlyFAME!A233)</f>
        <v>28824</v>
      </c>
      <c r="B231" s="21" t="str">
        <f>IF(MonthlyFAME!B233=0,"",MonthlyFAME!B233)</f>
        <v/>
      </c>
      <c r="C231" s="21">
        <f>IF(MonthlyFAME!C233=0,"",MonthlyFAME!C233)</f>
        <v>63</v>
      </c>
      <c r="D231" s="21" t="str">
        <f>IF(MonthlyFAME!D233=0,"",MonthlyFAME!D233)</f>
        <v/>
      </c>
      <c r="E231" s="21" t="str">
        <f>IF(MonthlyFAME!F233=0,"",MonthlyFAME!F233)</f>
        <v/>
      </c>
      <c r="F231" s="21" t="str">
        <f>IF(MonthlyFAME!G233=0,"",MonthlyFAME!G233)</f>
        <v/>
      </c>
      <c r="G231" s="21">
        <f>IF(MonthlyFAME!H233=0,"",MonthlyFAME!H233)</f>
        <v>5.4249206109178889</v>
      </c>
      <c r="H231" s="21">
        <f>IF(MonthlyFAME!I233=0,"",MonthlyFAME!I233)</f>
        <v>25017</v>
      </c>
      <c r="I231" s="21">
        <f>IF(MonthlyFAME!J233=0,"",MonthlyFAME!J233)</f>
        <v>874.9</v>
      </c>
      <c r="J231" s="24"/>
      <c r="K231" s="21">
        <f>IF(MonthlyFAME!L233=0,"",MonthlyFAME!L233)</f>
        <v>60.958714165264396</v>
      </c>
      <c r="L231" s="21">
        <f>IF(MonthlyFAME!M233=0,"",MonthlyFAME!M233)</f>
        <v>1094.7</v>
      </c>
      <c r="M231" s="21" t="str">
        <f>IF(MonthlyFAME!N233=0,"",MonthlyFAME!N233)</f>
        <v/>
      </c>
      <c r="N231" s="21" t="str">
        <f>IF(MonthlyFAME!O233=0,"",MonthlyFAME!O233)</f>
        <v/>
      </c>
      <c r="O231" s="21" t="str">
        <f>IF(MonthlyFAME!P233=0,"",MonthlyFAME!P233)</f>
        <v/>
      </c>
      <c r="P231" s="21" t="str">
        <f>IF(MonthlyFAME!Q233=0,"",MonthlyFAME!Q233)</f>
        <v/>
      </c>
      <c r="Q231" s="21" t="str">
        <f>IF(MonthlyFAME!R233=0,"",MonthlyFAME!R233)</f>
        <v/>
      </c>
      <c r="R231" s="21" t="str">
        <f>IF(MonthlyFAME!S233=0,"",MonthlyFAME!S233)</f>
        <v/>
      </c>
      <c r="S231" s="21" t="str">
        <f>IF(MonthlyFAME!T233=0,"",MonthlyFAME!T233)</f>
        <v/>
      </c>
      <c r="T231" s="21" t="str">
        <f>IF(MonthlyFAME!U233=0,"",MonthlyFAME!U233)</f>
        <v/>
      </c>
    </row>
    <row r="232" spans="1:20" x14ac:dyDescent="0.2">
      <c r="A232" s="23">
        <f>IF(MonthlyFAME!A234=0,"",MonthlyFAME!A234)</f>
        <v>28855</v>
      </c>
      <c r="B232" s="21" t="str">
        <f>IF(MonthlyFAME!B234=0,"",MonthlyFAME!B234)</f>
        <v/>
      </c>
      <c r="C232" s="21">
        <f>IF(MonthlyFAME!C234=0,"",MonthlyFAME!C234)</f>
        <v>65</v>
      </c>
      <c r="D232" s="21" t="str">
        <f>IF(MonthlyFAME!D234=0,"",MonthlyFAME!D234)</f>
        <v/>
      </c>
      <c r="E232" s="21" t="str">
        <f>IF(MonthlyFAME!F234=0,"",MonthlyFAME!F234)</f>
        <v/>
      </c>
      <c r="F232" s="21" t="str">
        <f>IF(MonthlyFAME!G234=0,"",MonthlyFAME!G234)</f>
        <v/>
      </c>
      <c r="G232" s="21">
        <f>IF(MonthlyFAME!H234=0,"",MonthlyFAME!H234)</f>
        <v>5.3663141993957701</v>
      </c>
      <c r="H232" s="21">
        <f>IF(MonthlyFAME!I234=0,"",MonthlyFAME!I234)</f>
        <v>25059</v>
      </c>
      <c r="I232" s="21">
        <f>IF(MonthlyFAME!J234=0,"",MonthlyFAME!J234)</f>
        <v>876.6</v>
      </c>
      <c r="J232" s="24"/>
      <c r="K232" s="21">
        <f>IF(MonthlyFAME!L234=0,"",MonthlyFAME!L234)</f>
        <v>61.703925019245602</v>
      </c>
      <c r="L232" s="21">
        <f>IF(MonthlyFAME!M234=0,"",MonthlyFAME!M234)</f>
        <v>1083.8</v>
      </c>
      <c r="M232" s="21" t="str">
        <f>IF(MonthlyFAME!N234=0,"",MonthlyFAME!N234)</f>
        <v/>
      </c>
      <c r="N232" s="21" t="str">
        <f>IF(MonthlyFAME!O234=0,"",MonthlyFAME!O234)</f>
        <v/>
      </c>
      <c r="O232" s="21" t="str">
        <f>IF(MonthlyFAME!P234=0,"",MonthlyFAME!P234)</f>
        <v/>
      </c>
      <c r="P232" s="21" t="str">
        <f>IF(MonthlyFAME!Q234=0,"",MonthlyFAME!Q234)</f>
        <v/>
      </c>
      <c r="Q232" s="21" t="str">
        <f>IF(MonthlyFAME!R234=0,"",MonthlyFAME!R234)</f>
        <v/>
      </c>
      <c r="R232" s="21" t="str">
        <f>IF(MonthlyFAME!S234=0,"",MonthlyFAME!S234)</f>
        <v/>
      </c>
      <c r="S232" s="21" t="str">
        <f>IF(MonthlyFAME!T234=0,"",MonthlyFAME!T234)</f>
        <v/>
      </c>
      <c r="T232" s="21" t="str">
        <f>IF(MonthlyFAME!U234=0,"",MonthlyFAME!U234)</f>
        <v/>
      </c>
    </row>
    <row r="233" spans="1:20" x14ac:dyDescent="0.2">
      <c r="A233" s="23">
        <f>IF(MonthlyFAME!A235=0,"",MonthlyFAME!A235)</f>
        <v>28886</v>
      </c>
      <c r="B233" s="21" t="str">
        <f>IF(MonthlyFAME!B235=0,"",MonthlyFAME!B235)</f>
        <v/>
      </c>
      <c r="C233" s="21">
        <f>IF(MonthlyFAME!C235=0,"",MonthlyFAME!C235)</f>
        <v>60.5</v>
      </c>
      <c r="D233" s="21" t="str">
        <f>IF(MonthlyFAME!D235=0,"",MonthlyFAME!D235)</f>
        <v/>
      </c>
      <c r="E233" s="21" t="str">
        <f>IF(MonthlyFAME!F235=0,"",MonthlyFAME!F235)</f>
        <v/>
      </c>
      <c r="F233" s="21" t="str">
        <f>IF(MonthlyFAME!G235=0,"",MonthlyFAME!G235)</f>
        <v/>
      </c>
      <c r="G233" s="21">
        <f>IF(MonthlyFAME!H235=0,"",MonthlyFAME!H235)</f>
        <v>5.3320754716981131</v>
      </c>
      <c r="H233" s="21">
        <f>IF(MonthlyFAME!I235=0,"",MonthlyFAME!I235)</f>
        <v>25087</v>
      </c>
      <c r="I233" s="21">
        <f>IF(MonthlyFAME!J235=0,"",MonthlyFAME!J235)</f>
        <v>877.6</v>
      </c>
      <c r="J233" s="24"/>
      <c r="K233" s="21">
        <f>IF(MonthlyFAME!L235=0,"",MonthlyFAME!L235)</f>
        <v>61.323909687840398</v>
      </c>
      <c r="L233" s="21">
        <f>IF(MonthlyFAME!M235=0,"",MonthlyFAME!M235)</f>
        <v>1089.0999999999999</v>
      </c>
      <c r="M233" s="21" t="str">
        <f>IF(MonthlyFAME!N235=0,"",MonthlyFAME!N235)</f>
        <v/>
      </c>
      <c r="N233" s="21" t="str">
        <f>IF(MonthlyFAME!O235=0,"",MonthlyFAME!O235)</f>
        <v/>
      </c>
      <c r="O233" s="21" t="str">
        <f>IF(MonthlyFAME!P235=0,"",MonthlyFAME!P235)</f>
        <v/>
      </c>
      <c r="P233" s="21" t="str">
        <f>IF(MonthlyFAME!Q235=0,"",MonthlyFAME!Q235)</f>
        <v/>
      </c>
      <c r="Q233" s="21" t="str">
        <f>IF(MonthlyFAME!R235=0,"",MonthlyFAME!R235)</f>
        <v/>
      </c>
      <c r="R233" s="21" t="str">
        <f>IF(MonthlyFAME!S235=0,"",MonthlyFAME!S235)</f>
        <v/>
      </c>
      <c r="S233" s="21" t="str">
        <f>IF(MonthlyFAME!T235=0,"",MonthlyFAME!T235)</f>
        <v/>
      </c>
      <c r="T233" s="21" t="str">
        <f>IF(MonthlyFAME!U235=0,"",MonthlyFAME!U235)</f>
        <v/>
      </c>
    </row>
    <row r="234" spans="1:20" x14ac:dyDescent="0.2">
      <c r="A234" s="23">
        <f>IF(MonthlyFAME!A236=0,"",MonthlyFAME!A236)</f>
        <v>28914</v>
      </c>
      <c r="B234" s="21" t="str">
        <f>IF(MonthlyFAME!B236=0,"",MonthlyFAME!B236)</f>
        <v/>
      </c>
      <c r="C234" s="21">
        <f>IF(MonthlyFAME!C236=0,"",MonthlyFAME!C236)</f>
        <v>65</v>
      </c>
      <c r="D234" s="21" t="str">
        <f>IF(MonthlyFAME!D236=0,"",MonthlyFAME!D236)</f>
        <v/>
      </c>
      <c r="E234" s="21" t="str">
        <f>IF(MonthlyFAME!F236=0,"",MonthlyFAME!F236)</f>
        <v/>
      </c>
      <c r="F234" s="21" t="str">
        <f>IF(MonthlyFAME!G236=0,"",MonthlyFAME!G236)</f>
        <v/>
      </c>
      <c r="G234" s="21">
        <f>IF(MonthlyFAME!H236=0,"",MonthlyFAME!H236)</f>
        <v>5.3425328959770768</v>
      </c>
      <c r="H234" s="21">
        <f>IF(MonthlyFAME!I236=0,"",MonthlyFAME!I236)</f>
        <v>25106</v>
      </c>
      <c r="I234" s="21">
        <f>IF(MonthlyFAME!J236=0,"",MonthlyFAME!J236)</f>
        <v>878.3</v>
      </c>
      <c r="J234" s="24"/>
      <c r="K234" s="21">
        <f>IF(MonthlyFAME!L236=0,"",MonthlyFAME!L236)</f>
        <v>63.294430255221897</v>
      </c>
      <c r="L234" s="21">
        <f>IF(MonthlyFAME!M236=0,"",MonthlyFAME!M236)</f>
        <v>1109.4000000000001</v>
      </c>
      <c r="M234" s="21" t="str">
        <f>IF(MonthlyFAME!N236=0,"",MonthlyFAME!N236)</f>
        <v/>
      </c>
      <c r="N234" s="21" t="str">
        <f>IF(MonthlyFAME!O236=0,"",MonthlyFAME!O236)</f>
        <v/>
      </c>
      <c r="O234" s="21" t="str">
        <f>IF(MonthlyFAME!P236=0,"",MonthlyFAME!P236)</f>
        <v/>
      </c>
      <c r="P234" s="21" t="str">
        <f>IF(MonthlyFAME!Q236=0,"",MonthlyFAME!Q236)</f>
        <v/>
      </c>
      <c r="Q234" s="21" t="str">
        <f>IF(MonthlyFAME!R236=0,"",MonthlyFAME!R236)</f>
        <v/>
      </c>
      <c r="R234" s="21" t="str">
        <f>IF(MonthlyFAME!S236=0,"",MonthlyFAME!S236)</f>
        <v/>
      </c>
      <c r="S234" s="21" t="str">
        <f>IF(MonthlyFAME!T236=0,"",MonthlyFAME!T236)</f>
        <v/>
      </c>
      <c r="T234" s="21" t="str">
        <f>IF(MonthlyFAME!U236=0,"",MonthlyFAME!U236)</f>
        <v/>
      </c>
    </row>
    <row r="235" spans="1:20" x14ac:dyDescent="0.2">
      <c r="A235" s="23">
        <f>IF(MonthlyFAME!A237=0,"",MonthlyFAME!A237)</f>
        <v>28945</v>
      </c>
      <c r="B235" s="21" t="str">
        <f>IF(MonthlyFAME!B237=0,"",MonthlyFAME!B237)</f>
        <v/>
      </c>
      <c r="C235" s="21">
        <f>IF(MonthlyFAME!C237=0,"",MonthlyFAME!C237)</f>
        <v>65.900000000000006</v>
      </c>
      <c r="D235" s="21" t="str">
        <f>IF(MonthlyFAME!D237=0,"",MonthlyFAME!D237)</f>
        <v/>
      </c>
      <c r="E235" s="21" t="str">
        <f>IF(MonthlyFAME!F237=0,"",MonthlyFAME!F237)</f>
        <v/>
      </c>
      <c r="F235" s="21" t="str">
        <f>IF(MonthlyFAME!G237=0,"",MonthlyFAME!G237)</f>
        <v/>
      </c>
      <c r="G235" s="21">
        <f>IF(MonthlyFAME!H237=0,"",MonthlyFAME!H237)</f>
        <v>5.351826027965175</v>
      </c>
      <c r="H235" s="21">
        <f>IF(MonthlyFAME!I237=0,"",MonthlyFAME!I237)</f>
        <v>25113</v>
      </c>
      <c r="I235" s="21">
        <f>IF(MonthlyFAME!J237=0,"",MonthlyFAME!J237)</f>
        <v>878.6</v>
      </c>
      <c r="J235" s="24"/>
      <c r="K235" s="21">
        <f>IF(MonthlyFAME!L237=0,"",MonthlyFAME!L237)</f>
        <v>64.194073297142197</v>
      </c>
      <c r="L235" s="21">
        <f>IF(MonthlyFAME!M237=0,"",MonthlyFAME!M237)</f>
        <v>1106.7</v>
      </c>
      <c r="M235" s="21" t="str">
        <f>IF(MonthlyFAME!N237=0,"",MonthlyFAME!N237)</f>
        <v/>
      </c>
      <c r="N235" s="21" t="str">
        <f>IF(MonthlyFAME!O237=0,"",MonthlyFAME!O237)</f>
        <v/>
      </c>
      <c r="O235" s="21" t="str">
        <f>IF(MonthlyFAME!P237=0,"",MonthlyFAME!P237)</f>
        <v/>
      </c>
      <c r="P235" s="21" t="str">
        <f>IF(MonthlyFAME!Q237=0,"",MonthlyFAME!Q237)</f>
        <v/>
      </c>
      <c r="Q235" s="21" t="str">
        <f>IF(MonthlyFAME!R237=0,"",MonthlyFAME!R237)</f>
        <v/>
      </c>
      <c r="R235" s="21" t="str">
        <f>IF(MonthlyFAME!S237=0,"",MonthlyFAME!S237)</f>
        <v/>
      </c>
      <c r="S235" s="21" t="str">
        <f>IF(MonthlyFAME!T237=0,"",MonthlyFAME!T237)</f>
        <v/>
      </c>
      <c r="T235" s="21" t="str">
        <f>IF(MonthlyFAME!U237=0,"",MonthlyFAME!U237)</f>
        <v/>
      </c>
    </row>
    <row r="236" spans="1:20" x14ac:dyDescent="0.2">
      <c r="A236" s="23">
        <f>IF(MonthlyFAME!A238=0,"",MonthlyFAME!A238)</f>
        <v>28975</v>
      </c>
      <c r="B236" s="21" t="str">
        <f>IF(MonthlyFAME!B238=0,"",MonthlyFAME!B238)</f>
        <v/>
      </c>
      <c r="C236" s="21">
        <f>IF(MonthlyFAME!C238=0,"",MonthlyFAME!C238)</f>
        <v>65.8</v>
      </c>
      <c r="D236" s="21" t="str">
        <f>IF(MonthlyFAME!D238=0,"",MonthlyFAME!D238)</f>
        <v/>
      </c>
      <c r="E236" s="21" t="str">
        <f>IF(MonthlyFAME!F238=0,"",MonthlyFAME!F238)</f>
        <v/>
      </c>
      <c r="F236" s="21" t="str">
        <f>IF(MonthlyFAME!G238=0,"",MonthlyFAME!G238)</f>
        <v/>
      </c>
      <c r="G236" s="21">
        <f>IF(MonthlyFAME!H238=0,"",MonthlyFAME!H238)</f>
        <v>5.3288110043338985</v>
      </c>
      <c r="H236" s="21">
        <f>IF(MonthlyFAME!I238=0,"",MonthlyFAME!I238)</f>
        <v>25121</v>
      </c>
      <c r="I236" s="21">
        <f>IF(MonthlyFAME!J238=0,"",MonthlyFAME!J238)</f>
        <v>878.8</v>
      </c>
      <c r="J236" s="24"/>
      <c r="K236" s="21">
        <f>IF(MonthlyFAME!L238=0,"",MonthlyFAME!L238)</f>
        <v>65.832245562084793</v>
      </c>
      <c r="L236" s="21">
        <f>IF(MonthlyFAME!M238=0,"",MonthlyFAME!M238)</f>
        <v>1076.5999999999999</v>
      </c>
      <c r="M236" s="21" t="str">
        <f>IF(MonthlyFAME!N238=0,"",MonthlyFAME!N238)</f>
        <v/>
      </c>
      <c r="N236" s="21" t="str">
        <f>IF(MonthlyFAME!O238=0,"",MonthlyFAME!O238)</f>
        <v/>
      </c>
      <c r="O236" s="21" t="str">
        <f>IF(MonthlyFAME!P238=0,"",MonthlyFAME!P238)</f>
        <v/>
      </c>
      <c r="P236" s="21" t="str">
        <f>IF(MonthlyFAME!Q238=0,"",MonthlyFAME!Q238)</f>
        <v/>
      </c>
      <c r="Q236" s="21" t="str">
        <f>IF(MonthlyFAME!R238=0,"",MonthlyFAME!R238)</f>
        <v/>
      </c>
      <c r="R236" s="21" t="str">
        <f>IF(MonthlyFAME!S238=0,"",MonthlyFAME!S238)</f>
        <v/>
      </c>
      <c r="S236" s="21" t="str">
        <f>IF(MonthlyFAME!T238=0,"",MonthlyFAME!T238)</f>
        <v/>
      </c>
      <c r="T236" s="21" t="str">
        <f>IF(MonthlyFAME!U238=0,"",MonthlyFAME!U238)</f>
        <v/>
      </c>
    </row>
    <row r="237" spans="1:20" x14ac:dyDescent="0.2">
      <c r="A237" s="23">
        <f>IF(MonthlyFAME!A239=0,"",MonthlyFAME!A239)</f>
        <v>29006</v>
      </c>
      <c r="B237" s="21" t="str">
        <f>IF(MonthlyFAME!B239=0,"",MonthlyFAME!B239)</f>
        <v/>
      </c>
      <c r="C237" s="21">
        <f>IF(MonthlyFAME!C239=0,"",MonthlyFAME!C239)</f>
        <v>66.7</v>
      </c>
      <c r="D237" s="21" t="str">
        <f>IF(MonthlyFAME!D239=0,"",MonthlyFAME!D239)</f>
        <v/>
      </c>
      <c r="E237" s="21" t="str">
        <f>IF(MonthlyFAME!F239=0,"",MonthlyFAME!F239)</f>
        <v/>
      </c>
      <c r="F237" s="21" t="str">
        <f>IF(MonthlyFAME!G239=0,"",MonthlyFAME!G239)</f>
        <v/>
      </c>
      <c r="G237" s="21">
        <f>IF(MonthlyFAME!H239=0,"",MonthlyFAME!H239)</f>
        <v>5.2936965449681628</v>
      </c>
      <c r="H237" s="21">
        <f>IF(MonthlyFAME!I239=0,"",MonthlyFAME!I239)</f>
        <v>25136</v>
      </c>
      <c r="I237" s="21">
        <f>IF(MonthlyFAME!J239=0,"",MonthlyFAME!J239)</f>
        <v>879.2</v>
      </c>
      <c r="J237" s="24"/>
      <c r="K237" s="21">
        <f>IF(MonthlyFAME!L239=0,"",MonthlyFAME!L239)</f>
        <v>66.523507870393601</v>
      </c>
      <c r="L237" s="21">
        <f>IF(MonthlyFAME!M239=0,"",MonthlyFAME!M239)</f>
        <v>1076.5999999999999</v>
      </c>
      <c r="M237" s="21" t="str">
        <f>IF(MonthlyFAME!N239=0,"",MonthlyFAME!N239)</f>
        <v/>
      </c>
      <c r="N237" s="21" t="str">
        <f>IF(MonthlyFAME!O239=0,"",MonthlyFAME!O239)</f>
        <v/>
      </c>
      <c r="O237" s="21" t="str">
        <f>IF(MonthlyFAME!P239=0,"",MonthlyFAME!P239)</f>
        <v/>
      </c>
      <c r="P237" s="21" t="str">
        <f>IF(MonthlyFAME!Q239=0,"",MonthlyFAME!Q239)</f>
        <v/>
      </c>
      <c r="Q237" s="21" t="str">
        <f>IF(MonthlyFAME!R239=0,"",MonthlyFAME!R239)</f>
        <v/>
      </c>
      <c r="R237" s="21" t="str">
        <f>IF(MonthlyFAME!S239=0,"",MonthlyFAME!S239)</f>
        <v/>
      </c>
      <c r="S237" s="21" t="str">
        <f>IF(MonthlyFAME!T239=0,"",MonthlyFAME!T239)</f>
        <v/>
      </c>
      <c r="T237" s="21" t="str">
        <f>IF(MonthlyFAME!U239=0,"",MonthlyFAME!U239)</f>
        <v/>
      </c>
    </row>
    <row r="238" spans="1:20" x14ac:dyDescent="0.2">
      <c r="A238" s="23">
        <f>IF(MonthlyFAME!A240=0,"",MonthlyFAME!A240)</f>
        <v>29036</v>
      </c>
      <c r="B238" s="21" t="str">
        <f>IF(MonthlyFAME!B240=0,"",MonthlyFAME!B240)</f>
        <v/>
      </c>
      <c r="C238" s="21">
        <f>IF(MonthlyFAME!C240=0,"",MonthlyFAME!C240)</f>
        <v>67.8</v>
      </c>
      <c r="D238" s="21" t="str">
        <f>IF(MonthlyFAME!D240=0,"",MonthlyFAME!D240)</f>
        <v/>
      </c>
      <c r="E238" s="21" t="str">
        <f>IF(MonthlyFAME!F240=0,"",MonthlyFAME!F240)</f>
        <v/>
      </c>
      <c r="F238" s="21" t="str">
        <f>IF(MonthlyFAME!G240=0,"",MonthlyFAME!G240)</f>
        <v/>
      </c>
      <c r="G238" s="21">
        <f>IF(MonthlyFAME!H240=0,"",MonthlyFAME!H240)</f>
        <v>5.2891130853787081</v>
      </c>
      <c r="H238" s="21">
        <f>IF(MonthlyFAME!I240=0,"",MonthlyFAME!I240)</f>
        <v>25159</v>
      </c>
      <c r="I238" s="21">
        <f>IF(MonthlyFAME!J240=0,"",MonthlyFAME!J240)</f>
        <v>879.6</v>
      </c>
      <c r="J238" s="24"/>
      <c r="K238" s="21">
        <f>IF(MonthlyFAME!L240=0,"",MonthlyFAME!L240)</f>
        <v>68.077637149089995</v>
      </c>
      <c r="L238" s="21">
        <f>IF(MonthlyFAME!M240=0,"",MonthlyFAME!M240)</f>
        <v>1057.8</v>
      </c>
      <c r="M238" s="21" t="str">
        <f>IF(MonthlyFAME!N240=0,"",MonthlyFAME!N240)</f>
        <v/>
      </c>
      <c r="N238" s="21" t="str">
        <f>IF(MonthlyFAME!O240=0,"",MonthlyFAME!O240)</f>
        <v/>
      </c>
      <c r="O238" s="21" t="str">
        <f>IF(MonthlyFAME!P240=0,"",MonthlyFAME!P240)</f>
        <v/>
      </c>
      <c r="P238" s="21" t="str">
        <f>IF(MonthlyFAME!Q240=0,"",MonthlyFAME!Q240)</f>
        <v/>
      </c>
      <c r="Q238" s="21" t="str">
        <f>IF(MonthlyFAME!R240=0,"",MonthlyFAME!R240)</f>
        <v/>
      </c>
      <c r="R238" s="21" t="str">
        <f>IF(MonthlyFAME!S240=0,"",MonthlyFAME!S240)</f>
        <v/>
      </c>
      <c r="S238" s="21" t="str">
        <f>IF(MonthlyFAME!T240=0,"",MonthlyFAME!T240)</f>
        <v/>
      </c>
      <c r="T238" s="21" t="str">
        <f>IF(MonthlyFAME!U240=0,"",MonthlyFAME!U240)</f>
        <v/>
      </c>
    </row>
    <row r="239" spans="1:20" x14ac:dyDescent="0.2">
      <c r="A239" s="23">
        <f>IF(MonthlyFAME!A241=0,"",MonthlyFAME!A241)</f>
        <v>29067</v>
      </c>
      <c r="B239" s="21" t="str">
        <f>IF(MonthlyFAME!B241=0,"",MonthlyFAME!B241)</f>
        <v/>
      </c>
      <c r="C239" s="21">
        <f>IF(MonthlyFAME!C241=0,"",MonthlyFAME!C241)</f>
        <v>67</v>
      </c>
      <c r="D239" s="21" t="str">
        <f>IF(MonthlyFAME!D241=0,"",MonthlyFAME!D241)</f>
        <v/>
      </c>
      <c r="E239" s="21" t="str">
        <f>IF(MonthlyFAME!F241=0,"",MonthlyFAME!F241)</f>
        <v/>
      </c>
      <c r="F239" s="21" t="str">
        <f>IF(MonthlyFAME!G241=0,"",MonthlyFAME!G241)</f>
        <v/>
      </c>
      <c r="G239" s="21">
        <f>IF(MonthlyFAME!H241=0,"",MonthlyFAME!H241)</f>
        <v>5.3193488966580205</v>
      </c>
      <c r="H239" s="21">
        <f>IF(MonthlyFAME!I241=0,"",MonthlyFAME!I241)</f>
        <v>25186</v>
      </c>
      <c r="I239" s="21">
        <f>IF(MonthlyFAME!J241=0,"",MonthlyFAME!J241)</f>
        <v>880.1</v>
      </c>
      <c r="J239" s="24"/>
      <c r="K239" s="21">
        <f>IF(MonthlyFAME!L241=0,"",MonthlyFAME!L241)</f>
        <v>69.346520594660404</v>
      </c>
      <c r="L239" s="21">
        <f>IF(MonthlyFAME!M241=0,"",MonthlyFAME!M241)</f>
        <v>1053.5999999999999</v>
      </c>
      <c r="M239" s="21" t="str">
        <f>IF(MonthlyFAME!N241=0,"",MonthlyFAME!N241)</f>
        <v/>
      </c>
      <c r="N239" s="21" t="str">
        <f>IF(MonthlyFAME!O241=0,"",MonthlyFAME!O241)</f>
        <v/>
      </c>
      <c r="O239" s="21" t="str">
        <f>IF(MonthlyFAME!P241=0,"",MonthlyFAME!P241)</f>
        <v/>
      </c>
      <c r="P239" s="21" t="str">
        <f>IF(MonthlyFAME!Q241=0,"",MonthlyFAME!Q241)</f>
        <v/>
      </c>
      <c r="Q239" s="21" t="str">
        <f>IF(MonthlyFAME!R241=0,"",MonthlyFAME!R241)</f>
        <v/>
      </c>
      <c r="R239" s="21" t="str">
        <f>IF(MonthlyFAME!S241=0,"",MonthlyFAME!S241)</f>
        <v/>
      </c>
      <c r="S239" s="21" t="str">
        <f>IF(MonthlyFAME!T241=0,"",MonthlyFAME!T241)</f>
        <v/>
      </c>
      <c r="T239" s="21" t="str">
        <f>IF(MonthlyFAME!U241=0,"",MonthlyFAME!U241)</f>
        <v/>
      </c>
    </row>
    <row r="240" spans="1:20" x14ac:dyDescent="0.2">
      <c r="A240" s="23">
        <f>IF(MonthlyFAME!A242=0,"",MonthlyFAME!A242)</f>
        <v>29098</v>
      </c>
      <c r="B240" s="21" t="str">
        <f>IF(MonthlyFAME!B242=0,"",MonthlyFAME!B242)</f>
        <v/>
      </c>
      <c r="C240" s="21">
        <f>IF(MonthlyFAME!C242=0,"",MonthlyFAME!C242)</f>
        <v>64.7</v>
      </c>
      <c r="D240" s="21" t="str">
        <f>IF(MonthlyFAME!D242=0,"",MonthlyFAME!D242)</f>
        <v/>
      </c>
      <c r="E240" s="21" t="str">
        <f>IF(MonthlyFAME!F242=0,"",MonthlyFAME!F242)</f>
        <v/>
      </c>
      <c r="F240" s="21" t="str">
        <f>IF(MonthlyFAME!G242=0,"",MonthlyFAME!G242)</f>
        <v/>
      </c>
      <c r="G240" s="21">
        <f>IF(MonthlyFAME!H242=0,"",MonthlyFAME!H242)</f>
        <v>5.3392407914992681</v>
      </c>
      <c r="H240" s="21">
        <f>IF(MonthlyFAME!I242=0,"",MonthlyFAME!I242)</f>
        <v>25211</v>
      </c>
      <c r="I240" s="21">
        <f>IF(MonthlyFAME!J242=0,"",MonthlyFAME!J242)</f>
        <v>880.5</v>
      </c>
      <c r="J240" s="24"/>
      <c r="K240" s="21">
        <f>IF(MonthlyFAME!L242=0,"",MonthlyFAME!L242)</f>
        <v>69.464693695636001</v>
      </c>
      <c r="L240" s="21">
        <f>IF(MonthlyFAME!M242=0,"",MonthlyFAME!M242)</f>
        <v>1040.9000000000001</v>
      </c>
      <c r="M240" s="21" t="str">
        <f>IF(MonthlyFAME!N242=0,"",MonthlyFAME!N242)</f>
        <v/>
      </c>
      <c r="N240" s="21" t="str">
        <f>IF(MonthlyFAME!O242=0,"",MonthlyFAME!O242)</f>
        <v/>
      </c>
      <c r="O240" s="21" t="str">
        <f>IF(MonthlyFAME!P242=0,"",MonthlyFAME!P242)</f>
        <v/>
      </c>
      <c r="P240" s="21" t="str">
        <f>IF(MonthlyFAME!Q242=0,"",MonthlyFAME!Q242)</f>
        <v/>
      </c>
      <c r="Q240" s="21" t="str">
        <f>IF(MonthlyFAME!R242=0,"",MonthlyFAME!R242)</f>
        <v/>
      </c>
      <c r="R240" s="21" t="str">
        <f>IF(MonthlyFAME!S242=0,"",MonthlyFAME!S242)</f>
        <v/>
      </c>
      <c r="S240" s="21" t="str">
        <f>IF(MonthlyFAME!T242=0,"",MonthlyFAME!T242)</f>
        <v/>
      </c>
      <c r="T240" s="21" t="str">
        <f>IF(MonthlyFAME!U242=0,"",MonthlyFAME!U242)</f>
        <v/>
      </c>
    </row>
    <row r="241" spans="1:20" x14ac:dyDescent="0.2">
      <c r="A241" s="23">
        <f>IF(MonthlyFAME!A243=0,"",MonthlyFAME!A243)</f>
        <v>29128</v>
      </c>
      <c r="B241" s="21" t="str">
        <f>IF(MonthlyFAME!B243=0,"",MonthlyFAME!B243)</f>
        <v/>
      </c>
      <c r="C241" s="21">
        <f>IF(MonthlyFAME!C243=0,"",MonthlyFAME!C243)</f>
        <v>64.5</v>
      </c>
      <c r="D241" s="21" t="str">
        <f>IF(MonthlyFAME!D243=0,"",MonthlyFAME!D243)</f>
        <v/>
      </c>
      <c r="E241" s="21" t="str">
        <f>IF(MonthlyFAME!F243=0,"",MonthlyFAME!F243)</f>
        <v/>
      </c>
      <c r="F241" s="21" t="str">
        <f>IF(MonthlyFAME!G243=0,"",MonthlyFAME!G243)</f>
        <v/>
      </c>
      <c r="G241" s="21">
        <f>IF(MonthlyFAME!H243=0,"",MonthlyFAME!H243)</f>
        <v>5.3640421621216099</v>
      </c>
      <c r="H241" s="21">
        <f>IF(MonthlyFAME!I243=0,"",MonthlyFAME!I243)</f>
        <v>25229</v>
      </c>
      <c r="I241" s="21">
        <f>IF(MonthlyFAME!J243=0,"",MonthlyFAME!J243)</f>
        <v>880.6</v>
      </c>
      <c r="J241" s="24"/>
      <c r="K241" s="21">
        <f>IF(MonthlyFAME!L243=0,"",MonthlyFAME!L243)</f>
        <v>69.349939030666405</v>
      </c>
      <c r="L241" s="21">
        <f>IF(MonthlyFAME!M243=0,"",MonthlyFAME!M243)</f>
        <v>1033.5</v>
      </c>
      <c r="M241" s="21" t="str">
        <f>IF(MonthlyFAME!N243=0,"",MonthlyFAME!N243)</f>
        <v/>
      </c>
      <c r="N241" s="21" t="str">
        <f>IF(MonthlyFAME!O243=0,"",MonthlyFAME!O243)</f>
        <v/>
      </c>
      <c r="O241" s="21" t="str">
        <f>IF(MonthlyFAME!P243=0,"",MonthlyFAME!P243)</f>
        <v/>
      </c>
      <c r="P241" s="21" t="str">
        <f>IF(MonthlyFAME!Q243=0,"",MonthlyFAME!Q243)</f>
        <v/>
      </c>
      <c r="Q241" s="21" t="str">
        <f>IF(MonthlyFAME!R243=0,"",MonthlyFAME!R243)</f>
        <v/>
      </c>
      <c r="R241" s="21" t="str">
        <f>IF(MonthlyFAME!S243=0,"",MonthlyFAME!S243)</f>
        <v/>
      </c>
      <c r="S241" s="21" t="str">
        <f>IF(MonthlyFAME!T243=0,"",MonthlyFAME!T243)</f>
        <v/>
      </c>
      <c r="T241" s="21" t="str">
        <f>IF(MonthlyFAME!U243=0,"",MonthlyFAME!U243)</f>
        <v/>
      </c>
    </row>
    <row r="242" spans="1:20" x14ac:dyDescent="0.2">
      <c r="A242" s="23">
        <f>IF(MonthlyFAME!A244=0,"",MonthlyFAME!A244)</f>
        <v>29159</v>
      </c>
      <c r="B242" s="21" t="str">
        <f>IF(MonthlyFAME!B244=0,"",MonthlyFAME!B244)</f>
        <v/>
      </c>
      <c r="C242" s="21">
        <f>IF(MonthlyFAME!C244=0,"",MonthlyFAME!C244)</f>
        <v>64.7</v>
      </c>
      <c r="D242" s="21" t="str">
        <f>IF(MonthlyFAME!D244=0,"",MonthlyFAME!D244)</f>
        <v/>
      </c>
      <c r="E242" s="21" t="str">
        <f>IF(MonthlyFAME!F244=0,"",MonthlyFAME!F244)</f>
        <v/>
      </c>
      <c r="F242" s="21" t="str">
        <f>IF(MonthlyFAME!G244=0,"",MonthlyFAME!G244)</f>
        <v/>
      </c>
      <c r="G242" s="21">
        <f>IF(MonthlyFAME!H244=0,"",MonthlyFAME!H244)</f>
        <v>5.399228146427367</v>
      </c>
      <c r="H242" s="21">
        <f>IF(MonthlyFAME!I244=0,"",MonthlyFAME!I244)</f>
        <v>25248</v>
      </c>
      <c r="I242" s="21">
        <f>IF(MonthlyFAME!J244=0,"",MonthlyFAME!J244)</f>
        <v>880.5</v>
      </c>
      <c r="J242" s="24"/>
      <c r="K242" s="21">
        <f>IF(MonthlyFAME!L244=0,"",MonthlyFAME!L244)</f>
        <v>71.984643046062601</v>
      </c>
      <c r="L242" s="21">
        <f>IF(MonthlyFAME!M244=0,"",MonthlyFAME!M244)</f>
        <v>1042.5</v>
      </c>
      <c r="M242" s="21" t="str">
        <f>IF(MonthlyFAME!N244=0,"",MonthlyFAME!N244)</f>
        <v/>
      </c>
      <c r="N242" s="21" t="str">
        <f>IF(MonthlyFAME!O244=0,"",MonthlyFAME!O244)</f>
        <v/>
      </c>
      <c r="O242" s="21" t="str">
        <f>IF(MonthlyFAME!P244=0,"",MonthlyFAME!P244)</f>
        <v/>
      </c>
      <c r="P242" s="21" t="str">
        <f>IF(MonthlyFAME!Q244=0,"",MonthlyFAME!Q244)</f>
        <v/>
      </c>
      <c r="Q242" s="21" t="str">
        <f>IF(MonthlyFAME!R244=0,"",MonthlyFAME!R244)</f>
        <v/>
      </c>
      <c r="R242" s="21" t="str">
        <f>IF(MonthlyFAME!S244=0,"",MonthlyFAME!S244)</f>
        <v/>
      </c>
      <c r="S242" s="21" t="str">
        <f>IF(MonthlyFAME!T244=0,"",MonthlyFAME!T244)</f>
        <v/>
      </c>
      <c r="T242" s="21" t="str">
        <f>IF(MonthlyFAME!U244=0,"",MonthlyFAME!U244)</f>
        <v/>
      </c>
    </row>
    <row r="243" spans="1:20" x14ac:dyDescent="0.2">
      <c r="A243" s="23">
        <f>IF(MonthlyFAME!A245=0,"",MonthlyFAME!A245)</f>
        <v>29189</v>
      </c>
      <c r="B243" s="21" t="str">
        <f>IF(MonthlyFAME!B245=0,"",MonthlyFAME!B245)</f>
        <v/>
      </c>
      <c r="C243" s="21">
        <f>IF(MonthlyFAME!C245=0,"",MonthlyFAME!C245)</f>
        <v>65.599999999999994</v>
      </c>
      <c r="D243" s="21" t="str">
        <f>IF(MonthlyFAME!D245=0,"",MonthlyFAME!D245)</f>
        <v/>
      </c>
      <c r="E243" s="21" t="str">
        <f>IF(MonthlyFAME!F245=0,"",MonthlyFAME!F245)</f>
        <v/>
      </c>
      <c r="F243" s="21" t="str">
        <f>IF(MonthlyFAME!G245=0,"",MonthlyFAME!G245)</f>
        <v/>
      </c>
      <c r="G243" s="21">
        <f>IF(MonthlyFAME!H245=0,"",MonthlyFAME!H245)</f>
        <v>5.4382813084811739</v>
      </c>
      <c r="H243" s="21">
        <f>IF(MonthlyFAME!I245=0,"",MonthlyFAME!I245)</f>
        <v>25265</v>
      </c>
      <c r="I243" s="21">
        <f>IF(MonthlyFAME!J245=0,"",MonthlyFAME!J245)</f>
        <v>880.3</v>
      </c>
      <c r="J243" s="24"/>
      <c r="K243" s="21">
        <f>IF(MonthlyFAME!L245=0,"",MonthlyFAME!L245)</f>
        <v>73.249172379116203</v>
      </c>
      <c r="L243" s="21">
        <f>IF(MonthlyFAME!M245=0,"",MonthlyFAME!M245)</f>
        <v>1033</v>
      </c>
      <c r="M243" s="21" t="str">
        <f>IF(MonthlyFAME!N245=0,"",MonthlyFAME!N245)</f>
        <v/>
      </c>
      <c r="N243" s="21" t="str">
        <f>IF(MonthlyFAME!O245=0,"",MonthlyFAME!O245)</f>
        <v/>
      </c>
      <c r="O243" s="21" t="str">
        <f>IF(MonthlyFAME!P245=0,"",MonthlyFAME!P245)</f>
        <v/>
      </c>
      <c r="P243" s="21" t="str">
        <f>IF(MonthlyFAME!Q245=0,"",MonthlyFAME!Q245)</f>
        <v/>
      </c>
      <c r="Q243" s="21" t="str">
        <f>IF(MonthlyFAME!R245=0,"",MonthlyFAME!R245)</f>
        <v/>
      </c>
      <c r="R243" s="21" t="str">
        <f>IF(MonthlyFAME!S245=0,"",MonthlyFAME!S245)</f>
        <v/>
      </c>
      <c r="S243" s="21" t="str">
        <f>IF(MonthlyFAME!T245=0,"",MonthlyFAME!T245)</f>
        <v/>
      </c>
      <c r="T243" s="21" t="str">
        <f>IF(MonthlyFAME!U245=0,"",MonthlyFAME!U245)</f>
        <v/>
      </c>
    </row>
    <row r="244" spans="1:20" x14ac:dyDescent="0.2">
      <c r="A244" s="23">
        <f>IF(MonthlyFAME!A246=0,"",MonthlyFAME!A246)</f>
        <v>29220</v>
      </c>
      <c r="B244" s="21" t="str">
        <f>IF(MonthlyFAME!B246=0,"",MonthlyFAME!B246)</f>
        <v/>
      </c>
      <c r="C244" s="21">
        <f>IF(MonthlyFAME!C246=0,"",MonthlyFAME!C246)</f>
        <v>66</v>
      </c>
      <c r="D244" s="21" t="str">
        <f>IF(MonthlyFAME!D246=0,"",MonthlyFAME!D246)</f>
        <v/>
      </c>
      <c r="E244" s="21" t="str">
        <f>IF(MonthlyFAME!F246=0,"",MonthlyFAME!F246)</f>
        <v/>
      </c>
      <c r="F244" s="21" t="str">
        <f>IF(MonthlyFAME!G246=0,"",MonthlyFAME!G246)</f>
        <v/>
      </c>
      <c r="G244" s="21">
        <f>IF(MonthlyFAME!H246=0,"",MonthlyFAME!H246)</f>
        <v>5.4988598557063284</v>
      </c>
      <c r="H244" s="21">
        <f>IF(MonthlyFAME!I246=0,"",MonthlyFAME!I246)</f>
        <v>25280</v>
      </c>
      <c r="I244" s="21">
        <f>IF(MonthlyFAME!J246=0,"",MonthlyFAME!J246)</f>
        <v>879.8</v>
      </c>
      <c r="J244" s="24"/>
      <c r="K244" s="21">
        <f>IF(MonthlyFAME!L246=0,"",MonthlyFAME!L246)</f>
        <v>74.647601806562307</v>
      </c>
      <c r="L244" s="21">
        <f>IF(MonthlyFAME!M246=0,"",MonthlyFAME!M246)</f>
        <v>1044.0999999999999</v>
      </c>
      <c r="M244" s="21" t="str">
        <f>IF(MonthlyFAME!N246=0,"",MonthlyFAME!N246)</f>
        <v/>
      </c>
      <c r="N244" s="21" t="str">
        <f>IF(MonthlyFAME!O246=0,"",MonthlyFAME!O246)</f>
        <v/>
      </c>
      <c r="O244" s="21" t="str">
        <f>IF(MonthlyFAME!P246=0,"",MonthlyFAME!P246)</f>
        <v/>
      </c>
      <c r="P244" s="21" t="str">
        <f>IF(MonthlyFAME!Q246=0,"",MonthlyFAME!Q246)</f>
        <v/>
      </c>
      <c r="Q244" s="21" t="str">
        <f>IF(MonthlyFAME!R246=0,"",MonthlyFAME!R246)</f>
        <v/>
      </c>
      <c r="R244" s="21" t="str">
        <f>IF(MonthlyFAME!S246=0,"",MonthlyFAME!S246)</f>
        <v/>
      </c>
      <c r="S244" s="21" t="str">
        <f>IF(MonthlyFAME!T246=0,"",MonthlyFAME!T246)</f>
        <v/>
      </c>
      <c r="T244" s="21" t="str">
        <f>IF(MonthlyFAME!U246=0,"",MonthlyFAME!U246)</f>
        <v/>
      </c>
    </row>
    <row r="245" spans="1:20" x14ac:dyDescent="0.2">
      <c r="A245" s="23">
        <f>IF(MonthlyFAME!A247=0,"",MonthlyFAME!A247)</f>
        <v>29251</v>
      </c>
      <c r="B245" s="21" t="str">
        <f>IF(MonthlyFAME!B247=0,"",MonthlyFAME!B247)</f>
        <v/>
      </c>
      <c r="C245" s="21">
        <f>IF(MonthlyFAME!C247=0,"",MonthlyFAME!C247)</f>
        <v>65.5</v>
      </c>
      <c r="D245" s="21" t="str">
        <f>IF(MonthlyFAME!D247=0,"",MonthlyFAME!D247)</f>
        <v/>
      </c>
      <c r="E245" s="21">
        <f>IF(MonthlyFAME!F247=0,"",MonthlyFAME!F247)</f>
        <v>6777</v>
      </c>
      <c r="F245" s="21">
        <f>IF(MonthlyFAME!G247=0,"",MonthlyFAME!G247)</f>
        <v>6619</v>
      </c>
      <c r="G245" s="21">
        <f>IF(MonthlyFAME!H247=0,"",MonthlyFAME!H247)</f>
        <v>5.5659320134478891</v>
      </c>
      <c r="H245" s="21">
        <f>IF(MonthlyFAME!I247=0,"",MonthlyFAME!I247)</f>
        <v>25280</v>
      </c>
      <c r="I245" s="21">
        <f>IF(MonthlyFAME!J247=0,"",MonthlyFAME!J247)</f>
        <v>878.7</v>
      </c>
      <c r="J245" s="24"/>
      <c r="K245" s="21">
        <f>IF(MonthlyFAME!L247=0,"",MonthlyFAME!L247)</f>
        <v>75.422488560161298</v>
      </c>
      <c r="L245" s="21">
        <f>IF(MonthlyFAME!M247=0,"",MonthlyFAME!M247)</f>
        <v>1060.8</v>
      </c>
      <c r="M245" s="21" t="str">
        <f>IF(MonthlyFAME!N247=0,"",MonthlyFAME!N247)</f>
        <v/>
      </c>
      <c r="N245" s="21" t="str">
        <f>IF(MonthlyFAME!O247=0,"",MonthlyFAME!O247)</f>
        <v/>
      </c>
      <c r="O245" s="21" t="str">
        <f>IF(MonthlyFAME!P247=0,"",MonthlyFAME!P247)</f>
        <v/>
      </c>
      <c r="P245" s="21" t="str">
        <f>IF(MonthlyFAME!Q247=0,"",MonthlyFAME!Q247)</f>
        <v/>
      </c>
      <c r="Q245" s="21" t="str">
        <f>IF(MonthlyFAME!R247=0,"",MonthlyFAME!R247)</f>
        <v/>
      </c>
      <c r="R245" s="21" t="str">
        <f>IF(MonthlyFAME!S247=0,"",MonthlyFAME!S247)</f>
        <v/>
      </c>
      <c r="S245" s="21" t="str">
        <f>IF(MonthlyFAME!T247=0,"",MonthlyFAME!T247)</f>
        <v/>
      </c>
      <c r="T245" s="21" t="str">
        <f>IF(MonthlyFAME!U247=0,"",MonthlyFAME!U247)</f>
        <v/>
      </c>
    </row>
    <row r="246" spans="1:20" x14ac:dyDescent="0.2">
      <c r="A246" s="23">
        <f>IF(MonthlyFAME!A248=0,"",MonthlyFAME!A248)</f>
        <v>29280</v>
      </c>
      <c r="B246" s="21" t="str">
        <f>IF(MonthlyFAME!B248=0,"",MonthlyFAME!B248)</f>
        <v/>
      </c>
      <c r="C246" s="21">
        <f>IF(MonthlyFAME!C248=0,"",MonthlyFAME!C248)</f>
        <v>64</v>
      </c>
      <c r="D246" s="21" t="str">
        <f>IF(MonthlyFAME!D248=0,"",MonthlyFAME!D248)</f>
        <v/>
      </c>
      <c r="E246" s="21">
        <f>IF(MonthlyFAME!F248=0,"",MonthlyFAME!F248)</f>
        <v>6552</v>
      </c>
      <c r="F246" s="21">
        <f>IF(MonthlyFAME!G248=0,"",MonthlyFAME!G248)</f>
        <v>6734</v>
      </c>
      <c r="G246" s="21">
        <f>IF(MonthlyFAME!H248=0,"",MonthlyFAME!H248)</f>
        <v>5.6772796834757937</v>
      </c>
      <c r="H246" s="21">
        <f>IF(MonthlyFAME!I248=0,"",MonthlyFAME!I248)</f>
        <v>25270</v>
      </c>
      <c r="I246" s="21">
        <f>IF(MonthlyFAME!J248=0,"",MonthlyFAME!J248)</f>
        <v>877.1</v>
      </c>
      <c r="J246" s="24"/>
      <c r="K246" s="21">
        <f>IF(MonthlyFAME!L248=0,"",MonthlyFAME!L248)</f>
        <v>77.044638311329905</v>
      </c>
      <c r="L246" s="21">
        <f>IF(MonthlyFAME!M248=0,"",MonthlyFAME!M248)</f>
        <v>1096</v>
      </c>
      <c r="M246" s="21" t="str">
        <f>IF(MonthlyFAME!N248=0,"",MonthlyFAME!N248)</f>
        <v/>
      </c>
      <c r="N246" s="21" t="str">
        <f>IF(MonthlyFAME!O248=0,"",MonthlyFAME!O248)</f>
        <v/>
      </c>
      <c r="O246" s="21" t="str">
        <f>IF(MonthlyFAME!P248=0,"",MonthlyFAME!P248)</f>
        <v/>
      </c>
      <c r="P246" s="21" t="str">
        <f>IF(MonthlyFAME!Q248=0,"",MonthlyFAME!Q248)</f>
        <v/>
      </c>
      <c r="Q246" s="21" t="str">
        <f>IF(MonthlyFAME!R248=0,"",MonthlyFAME!R248)</f>
        <v/>
      </c>
      <c r="R246" s="21" t="str">
        <f>IF(MonthlyFAME!S248=0,"",MonthlyFAME!S248)</f>
        <v/>
      </c>
      <c r="S246" s="21" t="str">
        <f>IF(MonthlyFAME!T248=0,"",MonthlyFAME!T248)</f>
        <v/>
      </c>
      <c r="T246" s="21" t="str">
        <f>IF(MonthlyFAME!U248=0,"",MonthlyFAME!U248)</f>
        <v/>
      </c>
    </row>
    <row r="247" spans="1:20" x14ac:dyDescent="0.2">
      <c r="A247" s="23">
        <f>IF(MonthlyFAME!A249=0,"",MonthlyFAME!A249)</f>
        <v>29311</v>
      </c>
      <c r="B247" s="21" t="str">
        <f>IF(MonthlyFAME!B249=0,"",MonthlyFAME!B249)</f>
        <v/>
      </c>
      <c r="C247" s="21">
        <f>IF(MonthlyFAME!C249=0,"",MonthlyFAME!C249)</f>
        <v>63.6</v>
      </c>
      <c r="D247" s="21" t="str">
        <f>IF(MonthlyFAME!D249=0,"",MonthlyFAME!D249)</f>
        <v/>
      </c>
      <c r="E247" s="21">
        <f>IF(MonthlyFAME!F249=0,"",MonthlyFAME!F249)</f>
        <v>6072</v>
      </c>
      <c r="F247" s="21">
        <f>IF(MonthlyFAME!G249=0,"",MonthlyFAME!G249)</f>
        <v>6182</v>
      </c>
      <c r="G247" s="21">
        <f>IF(MonthlyFAME!H249=0,"",MonthlyFAME!H249)</f>
        <v>5.8116980005968371</v>
      </c>
      <c r="H247" s="21">
        <f>IF(MonthlyFAME!I249=0,"",MonthlyFAME!I249)</f>
        <v>25250</v>
      </c>
      <c r="I247" s="21">
        <f>IF(MonthlyFAME!J249=0,"",MonthlyFAME!J249)</f>
        <v>875.1</v>
      </c>
      <c r="J247" s="24"/>
      <c r="K247" s="21">
        <f>IF(MonthlyFAME!L249=0,"",MonthlyFAME!L249)</f>
        <v>78.863103038336604</v>
      </c>
      <c r="L247" s="21">
        <f>IF(MonthlyFAME!M249=0,"",MonthlyFAME!M249)</f>
        <v>1125.0999999999999</v>
      </c>
      <c r="M247" s="21" t="str">
        <f>IF(MonthlyFAME!N249=0,"",MonthlyFAME!N249)</f>
        <v/>
      </c>
      <c r="N247" s="21" t="str">
        <f>IF(MonthlyFAME!O249=0,"",MonthlyFAME!O249)</f>
        <v/>
      </c>
      <c r="O247" s="21" t="str">
        <f>IF(MonthlyFAME!P249=0,"",MonthlyFAME!P249)</f>
        <v/>
      </c>
      <c r="P247" s="21" t="str">
        <f>IF(MonthlyFAME!Q249=0,"",MonthlyFAME!Q249)</f>
        <v/>
      </c>
      <c r="Q247" s="21" t="str">
        <f>IF(MonthlyFAME!R249=0,"",MonthlyFAME!R249)</f>
        <v/>
      </c>
      <c r="R247" s="21" t="str">
        <f>IF(MonthlyFAME!S249=0,"",MonthlyFAME!S249)</f>
        <v/>
      </c>
      <c r="S247" s="21" t="str">
        <f>IF(MonthlyFAME!T249=0,"",MonthlyFAME!T249)</f>
        <v/>
      </c>
      <c r="T247" s="21" t="str">
        <f>IF(MonthlyFAME!U249=0,"",MonthlyFAME!U249)</f>
        <v/>
      </c>
    </row>
    <row r="248" spans="1:20" x14ac:dyDescent="0.2">
      <c r="A248" s="23">
        <f>IF(MonthlyFAME!A250=0,"",MonthlyFAME!A250)</f>
        <v>29341</v>
      </c>
      <c r="B248" s="21" t="str">
        <f>IF(MonthlyFAME!B250=0,"",MonthlyFAME!B250)</f>
        <v/>
      </c>
      <c r="C248" s="21">
        <f>IF(MonthlyFAME!C250=0,"",MonthlyFAME!C250)</f>
        <v>61.8</v>
      </c>
      <c r="D248" s="21" t="str">
        <f>IF(MonthlyFAME!D250=0,"",MonthlyFAME!D250)</f>
        <v/>
      </c>
      <c r="E248" s="21">
        <f>IF(MonthlyFAME!F250=0,"",MonthlyFAME!F250)</f>
        <v>6148</v>
      </c>
      <c r="F248" s="21">
        <f>IF(MonthlyFAME!G250=0,"",MonthlyFAME!G250)</f>
        <v>6518</v>
      </c>
      <c r="G248" s="21">
        <f>IF(MonthlyFAME!H250=0,"",MonthlyFAME!H250)</f>
        <v>5.9728742827334376</v>
      </c>
      <c r="H248" s="21">
        <f>IF(MonthlyFAME!I250=0,"",MonthlyFAME!I250)</f>
        <v>25235</v>
      </c>
      <c r="I248" s="21">
        <f>IF(MonthlyFAME!J250=0,"",MonthlyFAME!J250)</f>
        <v>873.1</v>
      </c>
      <c r="J248" s="24"/>
      <c r="K248" s="21">
        <f>IF(MonthlyFAME!L250=0,"",MonthlyFAME!L250)</f>
        <v>79.906981389315305</v>
      </c>
      <c r="L248" s="21">
        <f>IF(MonthlyFAME!M250=0,"",MonthlyFAME!M250)</f>
        <v>1172.3</v>
      </c>
      <c r="M248" s="21" t="str">
        <f>IF(MonthlyFAME!N250=0,"",MonthlyFAME!N250)</f>
        <v/>
      </c>
      <c r="N248" s="21" t="str">
        <f>IF(MonthlyFAME!O250=0,"",MonthlyFAME!O250)</f>
        <v/>
      </c>
      <c r="O248" s="21" t="str">
        <f>IF(MonthlyFAME!P250=0,"",MonthlyFAME!P250)</f>
        <v/>
      </c>
      <c r="P248" s="21" t="str">
        <f>IF(MonthlyFAME!Q250=0,"",MonthlyFAME!Q250)</f>
        <v/>
      </c>
      <c r="Q248" s="21" t="str">
        <f>IF(MonthlyFAME!R250=0,"",MonthlyFAME!R250)</f>
        <v/>
      </c>
      <c r="R248" s="21" t="str">
        <f>IF(MonthlyFAME!S250=0,"",MonthlyFAME!S250)</f>
        <v/>
      </c>
      <c r="S248" s="21" t="str">
        <f>IF(MonthlyFAME!T250=0,"",MonthlyFAME!T250)</f>
        <v/>
      </c>
      <c r="T248" s="21" t="str">
        <f>IF(MonthlyFAME!U250=0,"",MonthlyFAME!U250)</f>
        <v/>
      </c>
    </row>
    <row r="249" spans="1:20" x14ac:dyDescent="0.2">
      <c r="A249" s="23">
        <f>IF(MonthlyFAME!A251=0,"",MonthlyFAME!A251)</f>
        <v>29372</v>
      </c>
      <c r="B249" s="21" t="str">
        <f>IF(MonthlyFAME!B251=0,"",MonthlyFAME!B251)</f>
        <v/>
      </c>
      <c r="C249" s="21">
        <f>IF(MonthlyFAME!C251=0,"",MonthlyFAME!C251)</f>
        <v>61.9</v>
      </c>
      <c r="D249" s="21" t="str">
        <f>IF(MonthlyFAME!D251=0,"",MonthlyFAME!D251)</f>
        <v/>
      </c>
      <c r="E249" s="21">
        <f>IF(MonthlyFAME!F251=0,"",MonthlyFAME!F251)</f>
        <v>6192</v>
      </c>
      <c r="F249" s="21">
        <f>IF(MonthlyFAME!G251=0,"",MonthlyFAME!G251)</f>
        <v>6002</v>
      </c>
      <c r="G249" s="21">
        <f>IF(MonthlyFAME!H251=0,"",MonthlyFAME!H251)</f>
        <v>6.1348322972117781</v>
      </c>
      <c r="H249" s="21">
        <f>IF(MonthlyFAME!I251=0,"",MonthlyFAME!I251)</f>
        <v>25215</v>
      </c>
      <c r="I249" s="21">
        <f>IF(MonthlyFAME!J251=0,"",MonthlyFAME!J251)</f>
        <v>870.7</v>
      </c>
      <c r="J249" s="24"/>
      <c r="K249" s="21">
        <f>IF(MonthlyFAME!L251=0,"",MonthlyFAME!L251)</f>
        <v>81.031557780164604</v>
      </c>
      <c r="L249" s="21">
        <f>IF(MonthlyFAME!M251=0,"",MonthlyFAME!M251)</f>
        <v>1211.0999999999999</v>
      </c>
      <c r="M249" s="21" t="str">
        <f>IF(MonthlyFAME!N251=0,"",MonthlyFAME!N251)</f>
        <v/>
      </c>
      <c r="N249" s="21" t="str">
        <f>IF(MonthlyFAME!O251=0,"",MonthlyFAME!O251)</f>
        <v/>
      </c>
      <c r="O249" s="21" t="str">
        <f>IF(MonthlyFAME!P251=0,"",MonthlyFAME!P251)</f>
        <v/>
      </c>
      <c r="P249" s="21" t="str">
        <f>IF(MonthlyFAME!Q251=0,"",MonthlyFAME!Q251)</f>
        <v/>
      </c>
      <c r="Q249" s="21" t="str">
        <f>IF(MonthlyFAME!R251=0,"",MonthlyFAME!R251)</f>
        <v/>
      </c>
      <c r="R249" s="21" t="str">
        <f>IF(MonthlyFAME!S251=0,"",MonthlyFAME!S251)</f>
        <v/>
      </c>
      <c r="S249" s="21" t="str">
        <f>IF(MonthlyFAME!T251=0,"",MonthlyFAME!T251)</f>
        <v/>
      </c>
      <c r="T249" s="21" t="str">
        <f>IF(MonthlyFAME!U251=0,"",MonthlyFAME!U251)</f>
        <v/>
      </c>
    </row>
    <row r="250" spans="1:20" x14ac:dyDescent="0.2">
      <c r="A250" s="23">
        <f>IF(MonthlyFAME!A252=0,"",MonthlyFAME!A252)</f>
        <v>29402</v>
      </c>
      <c r="B250" s="21" t="str">
        <f>IF(MonthlyFAME!B252=0,"",MonthlyFAME!B252)</f>
        <v/>
      </c>
      <c r="C250" s="21">
        <f>IF(MonthlyFAME!C252=0,"",MonthlyFAME!C252)</f>
        <v>62</v>
      </c>
      <c r="D250" s="21" t="str">
        <f>IF(MonthlyFAME!D252=0,"",MonthlyFAME!D252)</f>
        <v/>
      </c>
      <c r="E250" s="21">
        <f>IF(MonthlyFAME!F252=0,"",MonthlyFAME!F252)</f>
        <v>6128</v>
      </c>
      <c r="F250" s="21">
        <f>IF(MonthlyFAME!G252=0,"",MonthlyFAME!G252)</f>
        <v>6034</v>
      </c>
      <c r="G250" s="21">
        <f>IF(MonthlyFAME!H252=0,"",MonthlyFAME!H252)</f>
        <v>6.3220528077352176</v>
      </c>
      <c r="H250" s="21">
        <f>IF(MonthlyFAME!I252=0,"",MonthlyFAME!I252)</f>
        <v>25190</v>
      </c>
      <c r="I250" s="21">
        <f>IF(MonthlyFAME!J252=0,"",MonthlyFAME!J252)</f>
        <v>868.2</v>
      </c>
      <c r="J250" s="24"/>
      <c r="K250" s="21">
        <f>IF(MonthlyFAME!L252=0,"",MonthlyFAME!L252)</f>
        <v>82.481814450645501</v>
      </c>
      <c r="L250" s="21">
        <f>IF(MonthlyFAME!M252=0,"",MonthlyFAME!M252)</f>
        <v>1261.9000000000001</v>
      </c>
      <c r="M250" s="21" t="str">
        <f>IF(MonthlyFAME!N252=0,"",MonthlyFAME!N252)</f>
        <v/>
      </c>
      <c r="N250" s="21" t="str">
        <f>IF(MonthlyFAME!O252=0,"",MonthlyFAME!O252)</f>
        <v/>
      </c>
      <c r="O250" s="21" t="str">
        <f>IF(MonthlyFAME!P252=0,"",MonthlyFAME!P252)</f>
        <v/>
      </c>
      <c r="P250" s="21" t="str">
        <f>IF(MonthlyFAME!Q252=0,"",MonthlyFAME!Q252)</f>
        <v/>
      </c>
      <c r="Q250" s="21" t="str">
        <f>IF(MonthlyFAME!R252=0,"",MonthlyFAME!R252)</f>
        <v/>
      </c>
      <c r="R250" s="21" t="str">
        <f>IF(MonthlyFAME!S252=0,"",MonthlyFAME!S252)</f>
        <v/>
      </c>
      <c r="S250" s="21" t="str">
        <f>IF(MonthlyFAME!T252=0,"",MonthlyFAME!T252)</f>
        <v/>
      </c>
      <c r="T250" s="21" t="str">
        <f>IF(MonthlyFAME!U252=0,"",MonthlyFAME!U252)</f>
        <v/>
      </c>
    </row>
    <row r="251" spans="1:20" x14ac:dyDescent="0.2">
      <c r="A251" s="23">
        <f>IF(MonthlyFAME!A253=0,"",MonthlyFAME!A253)</f>
        <v>29433</v>
      </c>
      <c r="B251" s="21" t="str">
        <f>IF(MonthlyFAME!B253=0,"",MonthlyFAME!B253)</f>
        <v/>
      </c>
      <c r="C251" s="21">
        <f>IF(MonthlyFAME!C253=0,"",MonthlyFAME!C253)</f>
        <v>60.7</v>
      </c>
      <c r="D251" s="21" t="str">
        <f>IF(MonthlyFAME!D253=0,"",MonthlyFAME!D253)</f>
        <v/>
      </c>
      <c r="E251" s="21">
        <f>IF(MonthlyFAME!F253=0,"",MonthlyFAME!F253)</f>
        <v>6188</v>
      </c>
      <c r="F251" s="21">
        <f>IF(MonthlyFAME!G253=0,"",MonthlyFAME!G253)</f>
        <v>5695</v>
      </c>
      <c r="G251" s="21">
        <f>IF(MonthlyFAME!H253=0,"",MonthlyFAME!H253)</f>
        <v>6.5240005944419677</v>
      </c>
      <c r="H251" s="21">
        <f>IF(MonthlyFAME!I253=0,"",MonthlyFAME!I253)</f>
        <v>25160</v>
      </c>
      <c r="I251" s="21">
        <f>IF(MonthlyFAME!J253=0,"",MonthlyFAME!J253)</f>
        <v>865.3</v>
      </c>
      <c r="J251" s="24"/>
      <c r="K251" s="21">
        <f>IF(MonthlyFAME!L253=0,"",MonthlyFAME!L253)</f>
        <v>82.866393550108299</v>
      </c>
      <c r="L251" s="21">
        <f>IF(MonthlyFAME!M253=0,"",MonthlyFAME!M253)</f>
        <v>1324.8</v>
      </c>
      <c r="M251" s="21" t="str">
        <f>IF(MonthlyFAME!N253=0,"",MonthlyFAME!N253)</f>
        <v/>
      </c>
      <c r="N251" s="21" t="str">
        <f>IF(MonthlyFAME!O253=0,"",MonthlyFAME!O253)</f>
        <v/>
      </c>
      <c r="O251" s="21" t="str">
        <f>IF(MonthlyFAME!P253=0,"",MonthlyFAME!P253)</f>
        <v/>
      </c>
      <c r="P251" s="21" t="str">
        <f>IF(MonthlyFAME!Q253=0,"",MonthlyFAME!Q253)</f>
        <v/>
      </c>
      <c r="Q251" s="21" t="str">
        <f>IF(MonthlyFAME!R253=0,"",MonthlyFAME!R253)</f>
        <v/>
      </c>
      <c r="R251" s="21" t="str">
        <f>IF(MonthlyFAME!S253=0,"",MonthlyFAME!S253)</f>
        <v/>
      </c>
      <c r="S251" s="21" t="str">
        <f>IF(MonthlyFAME!T253=0,"",MonthlyFAME!T253)</f>
        <v/>
      </c>
      <c r="T251" s="21" t="str">
        <f>IF(MonthlyFAME!U253=0,"",MonthlyFAME!U253)</f>
        <v/>
      </c>
    </row>
    <row r="252" spans="1:20" x14ac:dyDescent="0.2">
      <c r="A252" s="23">
        <f>IF(MonthlyFAME!A254=0,"",MonthlyFAME!A254)</f>
        <v>29464</v>
      </c>
      <c r="B252" s="21" t="str">
        <f>IF(MonthlyFAME!B254=0,"",MonthlyFAME!B254)</f>
        <v/>
      </c>
      <c r="C252" s="21">
        <f>IF(MonthlyFAME!C254=0,"",MonthlyFAME!C254)</f>
        <v>59.7</v>
      </c>
      <c r="D252" s="21" t="str">
        <f>IF(MonthlyFAME!D254=0,"",MonthlyFAME!D254)</f>
        <v/>
      </c>
      <c r="E252" s="21">
        <f>IF(MonthlyFAME!F254=0,"",MonthlyFAME!F254)</f>
        <v>5806</v>
      </c>
      <c r="F252" s="21">
        <f>IF(MonthlyFAME!G254=0,"",MonthlyFAME!G254)</f>
        <v>5697</v>
      </c>
      <c r="G252" s="21">
        <f>IF(MonthlyFAME!H254=0,"",MonthlyFAME!H254)</f>
        <v>6.785952928947955</v>
      </c>
      <c r="H252" s="21">
        <f>IF(MonthlyFAME!I254=0,"",MonthlyFAME!I254)</f>
        <v>25110</v>
      </c>
      <c r="I252" s="21">
        <f>IF(MonthlyFAME!J254=0,"",MonthlyFAME!J254)</f>
        <v>861.6</v>
      </c>
      <c r="J252" s="24"/>
      <c r="K252" s="21">
        <f>IF(MonthlyFAME!L254=0,"",MonthlyFAME!L254)</f>
        <v>84.945096875616002</v>
      </c>
      <c r="L252" s="21">
        <f>IF(MonthlyFAME!M254=0,"",MonthlyFAME!M254)</f>
        <v>1421.5</v>
      </c>
      <c r="M252" s="21" t="str">
        <f>IF(MonthlyFAME!N254=0,"",MonthlyFAME!N254)</f>
        <v/>
      </c>
      <c r="N252" s="21" t="str">
        <f>IF(MonthlyFAME!O254=0,"",MonthlyFAME!O254)</f>
        <v/>
      </c>
      <c r="O252" s="21" t="str">
        <f>IF(MonthlyFAME!P254=0,"",MonthlyFAME!P254)</f>
        <v/>
      </c>
      <c r="P252" s="21" t="str">
        <f>IF(MonthlyFAME!Q254=0,"",MonthlyFAME!Q254)</f>
        <v/>
      </c>
      <c r="Q252" s="21" t="str">
        <f>IF(MonthlyFAME!R254=0,"",MonthlyFAME!R254)</f>
        <v/>
      </c>
      <c r="R252" s="21" t="str">
        <f>IF(MonthlyFAME!S254=0,"",MonthlyFAME!S254)</f>
        <v/>
      </c>
      <c r="S252" s="21" t="str">
        <f>IF(MonthlyFAME!T254=0,"",MonthlyFAME!T254)</f>
        <v/>
      </c>
      <c r="T252" s="21" t="str">
        <f>IF(MonthlyFAME!U254=0,"",MonthlyFAME!U254)</f>
        <v/>
      </c>
    </row>
    <row r="253" spans="1:20" x14ac:dyDescent="0.2">
      <c r="A253" s="23">
        <f>IF(MonthlyFAME!A255=0,"",MonthlyFAME!A255)</f>
        <v>29494</v>
      </c>
      <c r="B253" s="21" t="str">
        <f>IF(MonthlyFAME!B255=0,"",MonthlyFAME!B255)</f>
        <v/>
      </c>
      <c r="C253" s="21">
        <f>IF(MonthlyFAME!C255=0,"",MonthlyFAME!C255)</f>
        <v>58.6</v>
      </c>
      <c r="D253" s="21" t="str">
        <f>IF(MonthlyFAME!D255=0,"",MonthlyFAME!D255)</f>
        <v/>
      </c>
      <c r="E253" s="21">
        <f>IF(MonthlyFAME!F255=0,"",MonthlyFAME!F255)</f>
        <v>5899</v>
      </c>
      <c r="F253" s="21">
        <f>IF(MonthlyFAME!G255=0,"",MonthlyFAME!G255)</f>
        <v>5384</v>
      </c>
      <c r="G253" s="21">
        <f>IF(MonthlyFAME!H255=0,"",MonthlyFAME!H255)</f>
        <v>7.0673344462993875</v>
      </c>
      <c r="H253" s="21">
        <f>IF(MonthlyFAME!I255=0,"",MonthlyFAME!I255)</f>
        <v>25050</v>
      </c>
      <c r="I253" s="21">
        <f>IF(MonthlyFAME!J255=0,"",MonthlyFAME!J255)</f>
        <v>857.4</v>
      </c>
      <c r="J253" s="24"/>
      <c r="K253" s="21">
        <f>IF(MonthlyFAME!L255=0,"",MonthlyFAME!L255)</f>
        <v>87.723322587105997</v>
      </c>
      <c r="L253" s="21">
        <f>IF(MonthlyFAME!M255=0,"",MonthlyFAME!M255)</f>
        <v>1491.6</v>
      </c>
      <c r="M253" s="21" t="str">
        <f>IF(MonthlyFAME!N255=0,"",MonthlyFAME!N255)</f>
        <v/>
      </c>
      <c r="N253" s="21" t="str">
        <f>IF(MonthlyFAME!O255=0,"",MonthlyFAME!O255)</f>
        <v/>
      </c>
      <c r="O253" s="21" t="str">
        <f>IF(MonthlyFAME!P255=0,"",MonthlyFAME!P255)</f>
        <v/>
      </c>
      <c r="P253" s="21" t="str">
        <f>IF(MonthlyFAME!Q255=0,"",MonthlyFAME!Q255)</f>
        <v/>
      </c>
      <c r="Q253" s="21" t="str">
        <f>IF(MonthlyFAME!R255=0,"",MonthlyFAME!R255)</f>
        <v/>
      </c>
      <c r="R253" s="21" t="str">
        <f>IF(MonthlyFAME!S255=0,"",MonthlyFAME!S255)</f>
        <v/>
      </c>
      <c r="S253" s="21" t="str">
        <f>IF(MonthlyFAME!T255=0,"",MonthlyFAME!T255)</f>
        <v/>
      </c>
      <c r="T253" s="21" t="str">
        <f>IF(MonthlyFAME!U255=0,"",MonthlyFAME!U255)</f>
        <v/>
      </c>
    </row>
    <row r="254" spans="1:20" x14ac:dyDescent="0.2">
      <c r="A254" s="23">
        <f>IF(MonthlyFAME!A256=0,"",MonthlyFAME!A256)</f>
        <v>29525</v>
      </c>
      <c r="B254" s="21" t="str">
        <f>IF(MonthlyFAME!B256=0,"",MonthlyFAME!B256)</f>
        <v/>
      </c>
      <c r="C254" s="21">
        <f>IF(MonthlyFAME!C256=0,"",MonthlyFAME!C256)</f>
        <v>58.5</v>
      </c>
      <c r="D254" s="21" t="str">
        <f>IF(MonthlyFAME!D256=0,"",MonthlyFAME!D256)</f>
        <v/>
      </c>
      <c r="E254" s="21">
        <f>IF(MonthlyFAME!F256=0,"",MonthlyFAME!F256)</f>
        <v>5976</v>
      </c>
      <c r="F254" s="21">
        <f>IF(MonthlyFAME!G256=0,"",MonthlyFAME!G256)</f>
        <v>5291</v>
      </c>
      <c r="G254" s="21">
        <f>IF(MonthlyFAME!H256=0,"",MonthlyFAME!H256)</f>
        <v>7.3737673315044114</v>
      </c>
      <c r="H254" s="21">
        <f>IF(MonthlyFAME!I256=0,"",MonthlyFAME!I256)</f>
        <v>24985</v>
      </c>
      <c r="I254" s="21">
        <f>IF(MonthlyFAME!J256=0,"",MonthlyFAME!J256)</f>
        <v>853.2</v>
      </c>
      <c r="J254" s="24"/>
      <c r="K254" s="21">
        <f>IF(MonthlyFAME!L256=0,"",MonthlyFAME!L256)</f>
        <v>86.267373358140205</v>
      </c>
      <c r="L254" s="21">
        <f>IF(MonthlyFAME!M256=0,"",MonthlyFAME!M256)</f>
        <v>1579.6</v>
      </c>
      <c r="M254" s="21" t="str">
        <f>IF(MonthlyFAME!N256=0,"",MonthlyFAME!N256)</f>
        <v/>
      </c>
      <c r="N254" s="21" t="str">
        <f>IF(MonthlyFAME!O256=0,"",MonthlyFAME!O256)</f>
        <v/>
      </c>
      <c r="O254" s="21" t="str">
        <f>IF(MonthlyFAME!P256=0,"",MonthlyFAME!P256)</f>
        <v/>
      </c>
      <c r="P254" s="21" t="str">
        <f>IF(MonthlyFAME!Q256=0,"",MonthlyFAME!Q256)</f>
        <v/>
      </c>
      <c r="Q254" s="21" t="str">
        <f>IF(MonthlyFAME!R256=0,"",MonthlyFAME!R256)</f>
        <v/>
      </c>
      <c r="R254" s="21" t="str">
        <f>IF(MonthlyFAME!S256=0,"",MonthlyFAME!S256)</f>
        <v/>
      </c>
      <c r="S254" s="21" t="str">
        <f>IF(MonthlyFAME!T256=0,"",MonthlyFAME!T256)</f>
        <v/>
      </c>
      <c r="T254" s="21" t="str">
        <f>IF(MonthlyFAME!U256=0,"",MonthlyFAME!U256)</f>
        <v/>
      </c>
    </row>
    <row r="255" spans="1:20" x14ac:dyDescent="0.2">
      <c r="A255" s="23">
        <f>IF(MonthlyFAME!A257=0,"",MonthlyFAME!A257)</f>
        <v>29555</v>
      </c>
      <c r="B255" s="21" t="str">
        <f>IF(MonthlyFAME!B257=0,"",MonthlyFAME!B257)</f>
        <v/>
      </c>
      <c r="C255" s="21">
        <f>IF(MonthlyFAME!C257=0,"",MonthlyFAME!C257)</f>
        <v>58.5</v>
      </c>
      <c r="D255" s="21" t="str">
        <f>IF(MonthlyFAME!D257=0,"",MonthlyFAME!D257)</f>
        <v/>
      </c>
      <c r="E255" s="21">
        <f>IF(MonthlyFAME!F257=0,"",MonthlyFAME!F257)</f>
        <v>5995</v>
      </c>
      <c r="F255" s="21">
        <f>IF(MonthlyFAME!G257=0,"",MonthlyFAME!G257)</f>
        <v>5334</v>
      </c>
      <c r="G255" s="21">
        <f>IF(MonthlyFAME!H257=0,"",MonthlyFAME!H257)</f>
        <v>7.6948725548310613</v>
      </c>
      <c r="H255" s="21">
        <f>IF(MonthlyFAME!I257=0,"",MonthlyFAME!I257)</f>
        <v>24915</v>
      </c>
      <c r="I255" s="21">
        <f>IF(MonthlyFAME!J257=0,"",MonthlyFAME!J257)</f>
        <v>848.7</v>
      </c>
      <c r="J255" s="24"/>
      <c r="K255" s="21">
        <f>IF(MonthlyFAME!L257=0,"",MonthlyFAME!L257)</f>
        <v>87.092533552042894</v>
      </c>
      <c r="L255" s="21">
        <f>IF(MonthlyFAME!M257=0,"",MonthlyFAME!M257)</f>
        <v>1689.8</v>
      </c>
      <c r="M255" s="21" t="str">
        <f>IF(MonthlyFAME!N257=0,"",MonthlyFAME!N257)</f>
        <v/>
      </c>
      <c r="N255" s="21" t="str">
        <f>IF(MonthlyFAME!O257=0,"",MonthlyFAME!O257)</f>
        <v/>
      </c>
      <c r="O255" s="21" t="str">
        <f>IF(MonthlyFAME!P257=0,"",MonthlyFAME!P257)</f>
        <v/>
      </c>
      <c r="P255" s="21" t="str">
        <f>IF(MonthlyFAME!Q257=0,"",MonthlyFAME!Q257)</f>
        <v/>
      </c>
      <c r="Q255" s="21" t="str">
        <f>IF(MonthlyFAME!R257=0,"",MonthlyFAME!R257)</f>
        <v/>
      </c>
      <c r="R255" s="21" t="str">
        <f>IF(MonthlyFAME!S257=0,"",MonthlyFAME!S257)</f>
        <v/>
      </c>
      <c r="S255" s="21" t="str">
        <f>IF(MonthlyFAME!T257=0,"",MonthlyFAME!T257)</f>
        <v/>
      </c>
      <c r="T255" s="21" t="str">
        <f>IF(MonthlyFAME!U257=0,"",MonthlyFAME!U257)</f>
        <v/>
      </c>
    </row>
    <row r="256" spans="1:20" x14ac:dyDescent="0.2">
      <c r="A256" s="23">
        <f>IF(MonthlyFAME!A258=0,"",MonthlyFAME!A258)</f>
        <v>29586</v>
      </c>
      <c r="B256" s="21" t="str">
        <f>IF(MonthlyFAME!B258=0,"",MonthlyFAME!B258)</f>
        <v/>
      </c>
      <c r="C256" s="21">
        <f>IF(MonthlyFAME!C258=0,"",MonthlyFAME!C258)</f>
        <v>58.1</v>
      </c>
      <c r="D256" s="21" t="str">
        <f>IF(MonthlyFAME!D258=0,"",MonthlyFAME!D258)</f>
        <v/>
      </c>
      <c r="E256" s="21">
        <f>IF(MonthlyFAME!F258=0,"",MonthlyFAME!F258)</f>
        <v>6012</v>
      </c>
      <c r="F256" s="21">
        <f>IF(MonthlyFAME!G258=0,"",MonthlyFAME!G258)</f>
        <v>5655</v>
      </c>
      <c r="G256" s="21">
        <f>IF(MonthlyFAME!H258=0,"",MonthlyFAME!H258)</f>
        <v>8.0261989342806395</v>
      </c>
      <c r="H256" s="21">
        <f>IF(MonthlyFAME!I258=0,"",MonthlyFAME!I258)</f>
        <v>24855</v>
      </c>
      <c r="I256" s="21">
        <f>IF(MonthlyFAME!J258=0,"",MonthlyFAME!J258)</f>
        <v>844.6</v>
      </c>
      <c r="J256" s="24"/>
      <c r="K256" s="21">
        <f>IF(MonthlyFAME!L258=0,"",MonthlyFAME!L258)</f>
        <v>89.143631579803497</v>
      </c>
      <c r="L256" s="21">
        <f>IF(MonthlyFAME!M258=0,"",MonthlyFAME!M258)</f>
        <v>1777.4</v>
      </c>
      <c r="M256" s="21" t="str">
        <f>IF(MonthlyFAME!N258=0,"",MonthlyFAME!N258)</f>
        <v/>
      </c>
      <c r="N256" s="21" t="str">
        <f>IF(MonthlyFAME!O258=0,"",MonthlyFAME!O258)</f>
        <v/>
      </c>
      <c r="O256" s="21" t="str">
        <f>IF(MonthlyFAME!P258=0,"",MonthlyFAME!P258)</f>
        <v/>
      </c>
      <c r="P256" s="21" t="str">
        <f>IF(MonthlyFAME!Q258=0,"",MonthlyFAME!Q258)</f>
        <v/>
      </c>
      <c r="Q256" s="21" t="str">
        <f>IF(MonthlyFAME!R258=0,"",MonthlyFAME!R258)</f>
        <v/>
      </c>
      <c r="R256" s="21" t="str">
        <f>IF(MonthlyFAME!S258=0,"",MonthlyFAME!S258)</f>
        <v/>
      </c>
      <c r="S256" s="21" t="str">
        <f>IF(MonthlyFAME!T258=0,"",MonthlyFAME!T258)</f>
        <v/>
      </c>
      <c r="T256" s="21" t="str">
        <f>IF(MonthlyFAME!U258=0,"",MonthlyFAME!U258)</f>
        <v/>
      </c>
    </row>
    <row r="257" spans="1:20" x14ac:dyDescent="0.2">
      <c r="A257" s="23">
        <f>IF(MonthlyFAME!A259=0,"",MonthlyFAME!A259)</f>
        <v>29617</v>
      </c>
      <c r="B257" s="21" t="str">
        <f>IF(MonthlyFAME!B259=0,"",MonthlyFAME!B259)</f>
        <v/>
      </c>
      <c r="C257" s="21">
        <f>IF(MonthlyFAME!C259=0,"",MonthlyFAME!C259)</f>
        <v>58</v>
      </c>
      <c r="D257" s="21" t="str">
        <f>IF(MonthlyFAME!D259=0,"",MonthlyFAME!D259)</f>
        <v/>
      </c>
      <c r="E257" s="21">
        <f>IF(MonthlyFAME!F259=0,"",MonthlyFAME!F259)</f>
        <v>6178</v>
      </c>
      <c r="F257" s="21">
        <f>IF(MonthlyFAME!G259=0,"",MonthlyFAME!G259)</f>
        <v>5126</v>
      </c>
      <c r="G257" s="21">
        <f>IF(MonthlyFAME!H259=0,"",MonthlyFAME!H259)</f>
        <v>8.3394970414201186</v>
      </c>
      <c r="H257" s="21">
        <f>IF(MonthlyFAME!I259=0,"",MonthlyFAME!I259)</f>
        <v>24785</v>
      </c>
      <c r="I257" s="21">
        <f>IF(MonthlyFAME!J259=0,"",MonthlyFAME!J259)</f>
        <v>840.3</v>
      </c>
      <c r="J257" s="24"/>
      <c r="K257" s="21">
        <f>IF(MonthlyFAME!L259=0,"",MonthlyFAME!L259)</f>
        <v>89.684160965186805</v>
      </c>
      <c r="L257" s="21">
        <f>IF(MonthlyFAME!M259=0,"",MonthlyFAME!M259)</f>
        <v>1842.3</v>
      </c>
      <c r="M257" s="21" t="str">
        <f>IF(MonthlyFAME!N259=0,"",MonthlyFAME!N259)</f>
        <v/>
      </c>
      <c r="N257" s="21" t="str">
        <f>IF(MonthlyFAME!O259=0,"",MonthlyFAME!O259)</f>
        <v/>
      </c>
      <c r="O257" s="21" t="str">
        <f>IF(MonthlyFAME!P259=0,"",MonthlyFAME!P259)</f>
        <v/>
      </c>
      <c r="P257" s="21" t="str">
        <f>IF(MonthlyFAME!Q259=0,"",MonthlyFAME!Q259)</f>
        <v/>
      </c>
      <c r="Q257" s="21" t="str">
        <f>IF(MonthlyFAME!R259=0,"",MonthlyFAME!R259)</f>
        <v/>
      </c>
      <c r="R257" s="21" t="str">
        <f>IF(MonthlyFAME!S259=0,"",MonthlyFAME!S259)</f>
        <v/>
      </c>
      <c r="S257" s="21" t="str">
        <f>IF(MonthlyFAME!T259=0,"",MonthlyFAME!T259)</f>
        <v/>
      </c>
      <c r="T257" s="21" t="str">
        <f>IF(MonthlyFAME!U259=0,"",MonthlyFAME!U259)</f>
        <v/>
      </c>
    </row>
    <row r="258" spans="1:20" x14ac:dyDescent="0.2">
      <c r="A258" s="23">
        <f>IF(MonthlyFAME!A260=0,"",MonthlyFAME!A260)</f>
        <v>29645</v>
      </c>
      <c r="B258" s="21" t="str">
        <f>IF(MonthlyFAME!B260=0,"",MonthlyFAME!B260)</f>
        <v/>
      </c>
      <c r="C258" s="21">
        <f>IF(MonthlyFAME!C260=0,"",MonthlyFAME!C260)</f>
        <v>58.5</v>
      </c>
      <c r="D258" s="21" t="str">
        <f>IF(MonthlyFAME!D260=0,"",MonthlyFAME!D260)</f>
        <v/>
      </c>
      <c r="E258" s="21">
        <f>IF(MonthlyFAME!F260=0,"",MonthlyFAME!F260)</f>
        <v>5777</v>
      </c>
      <c r="F258" s="21">
        <f>IF(MonthlyFAME!G260=0,"",MonthlyFAME!G260)</f>
        <v>5341</v>
      </c>
      <c r="G258" s="21">
        <f>IF(MonthlyFAME!H260=0,"",MonthlyFAME!H260)</f>
        <v>8.6136783733826245</v>
      </c>
      <c r="H258" s="21">
        <f>IF(MonthlyFAME!I260=0,"",MonthlyFAME!I260)</f>
        <v>24720</v>
      </c>
      <c r="I258" s="21">
        <f>IF(MonthlyFAME!J260=0,"",MonthlyFAME!J260)</f>
        <v>836.4</v>
      </c>
      <c r="J258" s="24"/>
      <c r="K258" s="21">
        <f>IF(MonthlyFAME!L260=0,"",MonthlyFAME!L260)</f>
        <v>90.097230517852594</v>
      </c>
      <c r="L258" s="21">
        <f>IF(MonthlyFAME!M260=0,"",MonthlyFAME!M260)</f>
        <v>1911.2</v>
      </c>
      <c r="M258" s="21" t="str">
        <f>IF(MonthlyFAME!N260=0,"",MonthlyFAME!N260)</f>
        <v/>
      </c>
      <c r="N258" s="21" t="str">
        <f>IF(MonthlyFAME!O260=0,"",MonthlyFAME!O260)</f>
        <v/>
      </c>
      <c r="O258" s="21" t="str">
        <f>IF(MonthlyFAME!P260=0,"",MonthlyFAME!P260)</f>
        <v/>
      </c>
      <c r="P258" s="21" t="str">
        <f>IF(MonthlyFAME!Q260=0,"",MonthlyFAME!Q260)</f>
        <v/>
      </c>
      <c r="Q258" s="21" t="str">
        <f>IF(MonthlyFAME!R260=0,"",MonthlyFAME!R260)</f>
        <v/>
      </c>
      <c r="R258" s="21" t="str">
        <f>IF(MonthlyFAME!S260=0,"",MonthlyFAME!S260)</f>
        <v/>
      </c>
      <c r="S258" s="21" t="str">
        <f>IF(MonthlyFAME!T260=0,"",MonthlyFAME!T260)</f>
        <v/>
      </c>
      <c r="T258" s="21" t="str">
        <f>IF(MonthlyFAME!U260=0,"",MonthlyFAME!U260)</f>
        <v/>
      </c>
    </row>
    <row r="259" spans="1:20" x14ac:dyDescent="0.2">
      <c r="A259" s="23">
        <f>IF(MonthlyFAME!A261=0,"",MonthlyFAME!A261)</f>
        <v>29676</v>
      </c>
      <c r="B259" s="21" t="str">
        <f>IF(MonthlyFAME!B261=0,"",MonthlyFAME!B261)</f>
        <v/>
      </c>
      <c r="C259" s="21">
        <f>IF(MonthlyFAME!C261=0,"",MonthlyFAME!C261)</f>
        <v>58.5</v>
      </c>
      <c r="D259" s="21" t="str">
        <f>IF(MonthlyFAME!D261=0,"",MonthlyFAME!D261)</f>
        <v/>
      </c>
      <c r="E259" s="21">
        <f>IF(MonthlyFAME!F261=0,"",MonthlyFAME!F261)</f>
        <v>5770</v>
      </c>
      <c r="F259" s="21">
        <f>IF(MonthlyFAME!G261=0,"",MonthlyFAME!G261)</f>
        <v>5035</v>
      </c>
      <c r="G259" s="21">
        <f>IF(MonthlyFAME!H261=0,"",MonthlyFAME!H261)</f>
        <v>8.8789535914868463</v>
      </c>
      <c r="H259" s="21">
        <f>IF(MonthlyFAME!I261=0,"",MonthlyFAME!I261)</f>
        <v>24661</v>
      </c>
      <c r="I259" s="21">
        <f>IF(MonthlyFAME!J261=0,"",MonthlyFAME!J261)</f>
        <v>832.8</v>
      </c>
      <c r="J259" s="24"/>
      <c r="K259" s="21">
        <f>IF(MonthlyFAME!L261=0,"",MonthlyFAME!L261)</f>
        <v>90.708905250131906</v>
      </c>
      <c r="L259" s="21">
        <f>IF(MonthlyFAME!M261=0,"",MonthlyFAME!M261)</f>
        <v>1984.3</v>
      </c>
      <c r="M259" s="21" t="str">
        <f>IF(MonthlyFAME!N261=0,"",MonthlyFAME!N261)</f>
        <v/>
      </c>
      <c r="N259" s="21" t="str">
        <f>IF(MonthlyFAME!O261=0,"",MonthlyFAME!O261)</f>
        <v/>
      </c>
      <c r="O259" s="21" t="str">
        <f>IF(MonthlyFAME!P261=0,"",MonthlyFAME!P261)</f>
        <v/>
      </c>
      <c r="P259" s="21" t="str">
        <f>IF(MonthlyFAME!Q261=0,"",MonthlyFAME!Q261)</f>
        <v/>
      </c>
      <c r="Q259" s="21" t="str">
        <f>IF(MonthlyFAME!R261=0,"",MonthlyFAME!R261)</f>
        <v/>
      </c>
      <c r="R259" s="21" t="str">
        <f>IF(MonthlyFAME!S261=0,"",MonthlyFAME!S261)</f>
        <v/>
      </c>
      <c r="S259" s="21" t="str">
        <f>IF(MonthlyFAME!T261=0,"",MonthlyFAME!T261)</f>
        <v/>
      </c>
      <c r="T259" s="21" t="str">
        <f>IF(MonthlyFAME!U261=0,"",MonthlyFAME!U261)</f>
        <v/>
      </c>
    </row>
    <row r="260" spans="1:20" x14ac:dyDescent="0.2">
      <c r="A260" s="23">
        <f>IF(MonthlyFAME!A262=0,"",MonthlyFAME!A262)</f>
        <v>29706</v>
      </c>
      <c r="B260" s="21" t="str">
        <f>IF(MonthlyFAME!B262=0,"",MonthlyFAME!B262)</f>
        <v/>
      </c>
      <c r="C260" s="21">
        <f>IF(MonthlyFAME!C262=0,"",MonthlyFAME!C262)</f>
        <v>58.7</v>
      </c>
      <c r="D260" s="21" t="str">
        <f>IF(MonthlyFAME!D262=0,"",MonthlyFAME!D262)</f>
        <v/>
      </c>
      <c r="E260" s="21">
        <f>IF(MonthlyFAME!F262=0,"",MonthlyFAME!F262)</f>
        <v>6059</v>
      </c>
      <c r="F260" s="21">
        <f>IF(MonthlyFAME!G262=0,"",MonthlyFAME!G262)</f>
        <v>5055</v>
      </c>
      <c r="G260" s="21">
        <f>IF(MonthlyFAME!H262=0,"",MonthlyFAME!H262)</f>
        <v>9.1426039435787612</v>
      </c>
      <c r="H260" s="21">
        <f>IF(MonthlyFAME!I262=0,"",MonthlyFAME!I262)</f>
        <v>24606</v>
      </c>
      <c r="I260" s="21">
        <f>IF(MonthlyFAME!J262=0,"",MonthlyFAME!J262)</f>
        <v>829.6</v>
      </c>
      <c r="J260" s="24"/>
      <c r="K260" s="21">
        <f>IF(MonthlyFAME!L262=0,"",MonthlyFAME!L262)</f>
        <v>91.5750263358116</v>
      </c>
      <c r="L260" s="21">
        <f>IF(MonthlyFAME!M262=0,"",MonthlyFAME!M262)</f>
        <v>2048.1</v>
      </c>
      <c r="M260" s="21" t="str">
        <f>IF(MonthlyFAME!N262=0,"",MonthlyFAME!N262)</f>
        <v/>
      </c>
      <c r="N260" s="21" t="str">
        <f>IF(MonthlyFAME!O262=0,"",MonthlyFAME!O262)</f>
        <v/>
      </c>
      <c r="O260" s="21" t="str">
        <f>IF(MonthlyFAME!P262=0,"",MonthlyFAME!P262)</f>
        <v/>
      </c>
      <c r="P260" s="21" t="str">
        <f>IF(MonthlyFAME!Q262=0,"",MonthlyFAME!Q262)</f>
        <v/>
      </c>
      <c r="Q260" s="21" t="str">
        <f>IF(MonthlyFAME!R262=0,"",MonthlyFAME!R262)</f>
        <v/>
      </c>
      <c r="R260" s="21" t="str">
        <f>IF(MonthlyFAME!S262=0,"",MonthlyFAME!S262)</f>
        <v/>
      </c>
      <c r="S260" s="21" t="str">
        <f>IF(MonthlyFAME!T262=0,"",MonthlyFAME!T262)</f>
        <v/>
      </c>
      <c r="T260" s="21" t="str">
        <f>IF(MonthlyFAME!U262=0,"",MonthlyFAME!U262)</f>
        <v/>
      </c>
    </row>
    <row r="261" spans="1:20" x14ac:dyDescent="0.2">
      <c r="A261" s="23">
        <f>IF(MonthlyFAME!A263=0,"",MonthlyFAME!A263)</f>
        <v>29737</v>
      </c>
      <c r="B261" s="21" t="str">
        <f>IF(MonthlyFAME!B263=0,"",MonthlyFAME!B263)</f>
        <v/>
      </c>
      <c r="C261" s="21">
        <f>IF(MonthlyFAME!C263=0,"",MonthlyFAME!C263)</f>
        <v>57.9</v>
      </c>
      <c r="D261" s="21" t="str">
        <f>IF(MonthlyFAME!D263=0,"",MonthlyFAME!D263)</f>
        <v/>
      </c>
      <c r="E261" s="21">
        <f>IF(MonthlyFAME!F263=0,"",MonthlyFAME!F263)</f>
        <v>5927</v>
      </c>
      <c r="F261" s="21">
        <f>IF(MonthlyFAME!G263=0,"",MonthlyFAME!G263)</f>
        <v>5482</v>
      </c>
      <c r="G261" s="21">
        <f>IF(MonthlyFAME!H263=0,"",MonthlyFAME!H263)</f>
        <v>9.3898793046174287</v>
      </c>
      <c r="H261" s="21">
        <f>IF(MonthlyFAME!I263=0,"",MonthlyFAME!I263)</f>
        <v>24549</v>
      </c>
      <c r="I261" s="21">
        <f>IF(MonthlyFAME!J263=0,"",MonthlyFAME!J263)</f>
        <v>826.5</v>
      </c>
      <c r="J261" s="24"/>
      <c r="K261" s="21">
        <f>IF(MonthlyFAME!L263=0,"",MonthlyFAME!L263)</f>
        <v>92.273551318439203</v>
      </c>
      <c r="L261" s="21">
        <f>IF(MonthlyFAME!M263=0,"",MonthlyFAME!M263)</f>
        <v>2110.6999999999998</v>
      </c>
      <c r="M261" s="21" t="str">
        <f>IF(MonthlyFAME!N263=0,"",MonthlyFAME!N263)</f>
        <v/>
      </c>
      <c r="N261" s="21" t="str">
        <f>IF(MonthlyFAME!O263=0,"",MonthlyFAME!O263)</f>
        <v/>
      </c>
      <c r="O261" s="21" t="str">
        <f>IF(MonthlyFAME!P263=0,"",MonthlyFAME!P263)</f>
        <v/>
      </c>
      <c r="P261" s="21" t="str">
        <f>IF(MonthlyFAME!Q263=0,"",MonthlyFAME!Q263)</f>
        <v/>
      </c>
      <c r="Q261" s="21" t="str">
        <f>IF(MonthlyFAME!R263=0,"",MonthlyFAME!R263)</f>
        <v/>
      </c>
      <c r="R261" s="21" t="str">
        <f>IF(MonthlyFAME!S263=0,"",MonthlyFAME!S263)</f>
        <v/>
      </c>
      <c r="S261" s="21" t="str">
        <f>IF(MonthlyFAME!T263=0,"",MonthlyFAME!T263)</f>
        <v/>
      </c>
      <c r="T261" s="21" t="str">
        <f>IF(MonthlyFAME!U263=0,"",MonthlyFAME!U263)</f>
        <v/>
      </c>
    </row>
    <row r="262" spans="1:20" x14ac:dyDescent="0.2">
      <c r="A262" s="23">
        <f>IF(MonthlyFAME!A264=0,"",MonthlyFAME!A264)</f>
        <v>29767</v>
      </c>
      <c r="B262" s="21" t="str">
        <f>IF(MonthlyFAME!B264=0,"",MonthlyFAME!B264)</f>
        <v/>
      </c>
      <c r="C262" s="21">
        <f>IF(MonthlyFAME!C264=0,"",MonthlyFAME!C264)</f>
        <v>59.1</v>
      </c>
      <c r="D262" s="21" t="str">
        <f>IF(MonthlyFAME!D264=0,"",MonthlyFAME!D264)</f>
        <v/>
      </c>
      <c r="E262" s="21">
        <f>IF(MonthlyFAME!F264=0,"",MonthlyFAME!F264)</f>
        <v>5975</v>
      </c>
      <c r="F262" s="21">
        <f>IF(MonthlyFAME!G264=0,"",MonthlyFAME!G264)</f>
        <v>5708</v>
      </c>
      <c r="G262" s="21">
        <f>IF(MonthlyFAME!H264=0,"",MonthlyFAME!H264)</f>
        <v>9.5558099176605253</v>
      </c>
      <c r="H262" s="21">
        <f>IF(MonthlyFAME!I264=0,"",MonthlyFAME!I264)</f>
        <v>24495</v>
      </c>
      <c r="I262" s="21">
        <f>IF(MonthlyFAME!J264=0,"",MonthlyFAME!J264)</f>
        <v>823.7</v>
      </c>
      <c r="J262" s="24"/>
      <c r="K262" s="21">
        <f>IF(MonthlyFAME!L264=0,"",MonthlyFAME!L264)</f>
        <v>93.012284865725604</v>
      </c>
      <c r="L262" s="21">
        <f>IF(MonthlyFAME!M264=0,"",MonthlyFAME!M264)</f>
        <v>2157.1</v>
      </c>
      <c r="M262" s="21" t="str">
        <f>IF(MonthlyFAME!N264=0,"",MonthlyFAME!N264)</f>
        <v/>
      </c>
      <c r="N262" s="21" t="str">
        <f>IF(MonthlyFAME!O264=0,"",MonthlyFAME!O264)</f>
        <v/>
      </c>
      <c r="O262" s="21" t="str">
        <f>IF(MonthlyFAME!P264=0,"",MonthlyFAME!P264)</f>
        <v/>
      </c>
      <c r="P262" s="21" t="str">
        <f>IF(MonthlyFAME!Q264=0,"",MonthlyFAME!Q264)</f>
        <v/>
      </c>
      <c r="Q262" s="21" t="str">
        <f>IF(MonthlyFAME!R264=0,"",MonthlyFAME!R264)</f>
        <v/>
      </c>
      <c r="R262" s="21" t="str">
        <f>IF(MonthlyFAME!S264=0,"",MonthlyFAME!S264)</f>
        <v/>
      </c>
      <c r="S262" s="21" t="str">
        <f>IF(MonthlyFAME!T264=0,"",MonthlyFAME!T264)</f>
        <v/>
      </c>
      <c r="T262" s="21" t="str">
        <f>IF(MonthlyFAME!U264=0,"",MonthlyFAME!U264)</f>
        <v/>
      </c>
    </row>
    <row r="263" spans="1:20" x14ac:dyDescent="0.2">
      <c r="A263" s="23">
        <f>IF(MonthlyFAME!A265=0,"",MonthlyFAME!A265)</f>
        <v>29798</v>
      </c>
      <c r="B263" s="21" t="str">
        <f>IF(MonthlyFAME!B265=0,"",MonthlyFAME!B265)</f>
        <v/>
      </c>
      <c r="C263" s="21">
        <f>IF(MonthlyFAME!C265=0,"",MonthlyFAME!C265)</f>
        <v>59.3</v>
      </c>
      <c r="D263" s="21" t="str">
        <f>IF(MonthlyFAME!D265=0,"",MonthlyFAME!D265)</f>
        <v/>
      </c>
      <c r="E263" s="21">
        <f>IF(MonthlyFAME!F265=0,"",MonthlyFAME!F265)</f>
        <v>6168</v>
      </c>
      <c r="F263" s="21">
        <f>IF(MonthlyFAME!G265=0,"",MonthlyFAME!G265)</f>
        <v>5996</v>
      </c>
      <c r="G263" s="21">
        <f>IF(MonthlyFAME!H265=0,"",MonthlyFAME!H265)</f>
        <v>9.6941037387320819</v>
      </c>
      <c r="H263" s="21">
        <f>IF(MonthlyFAME!I265=0,"",MonthlyFAME!I265)</f>
        <v>24444</v>
      </c>
      <c r="I263" s="21">
        <f>IF(MonthlyFAME!J265=0,"",MonthlyFAME!J265)</f>
        <v>821.5</v>
      </c>
      <c r="J263" s="24"/>
      <c r="K263" s="21">
        <f>IF(MonthlyFAME!L265=0,"",MonthlyFAME!L265)</f>
        <v>93.532680152475507</v>
      </c>
      <c r="L263" s="21">
        <f>IF(MonthlyFAME!M265=0,"",MonthlyFAME!M265)</f>
        <v>2203.6</v>
      </c>
      <c r="M263" s="21" t="str">
        <f>IF(MonthlyFAME!N265=0,"",MonthlyFAME!N265)</f>
        <v/>
      </c>
      <c r="N263" s="21" t="str">
        <f>IF(MonthlyFAME!O265=0,"",MonthlyFAME!O265)</f>
        <v/>
      </c>
      <c r="O263" s="21" t="str">
        <f>IF(MonthlyFAME!P265=0,"",MonthlyFAME!P265)</f>
        <v/>
      </c>
      <c r="P263" s="21" t="str">
        <f>IF(MonthlyFAME!Q265=0,"",MonthlyFAME!Q265)</f>
        <v/>
      </c>
      <c r="Q263" s="21" t="str">
        <f>IF(MonthlyFAME!R265=0,"",MonthlyFAME!R265)</f>
        <v/>
      </c>
      <c r="R263" s="21" t="str">
        <f>IF(MonthlyFAME!S265=0,"",MonthlyFAME!S265)</f>
        <v/>
      </c>
      <c r="S263" s="21" t="str">
        <f>IF(MonthlyFAME!T265=0,"",MonthlyFAME!T265)</f>
        <v/>
      </c>
      <c r="T263" s="21" t="str">
        <f>IF(MonthlyFAME!U265=0,"",MonthlyFAME!U265)</f>
        <v/>
      </c>
    </row>
    <row r="264" spans="1:20" x14ac:dyDescent="0.2">
      <c r="A264" s="23">
        <f>IF(MonthlyFAME!A266=0,"",MonthlyFAME!A266)</f>
        <v>29829</v>
      </c>
      <c r="B264" s="21" t="str">
        <f>IF(MonthlyFAME!B266=0,"",MonthlyFAME!B266)</f>
        <v/>
      </c>
      <c r="C264" s="21">
        <f>IF(MonthlyFAME!C266=0,"",MonthlyFAME!C266)</f>
        <v>59.5</v>
      </c>
      <c r="D264" s="21" t="str">
        <f>IF(MonthlyFAME!D266=0,"",MonthlyFAME!D266)</f>
        <v/>
      </c>
      <c r="E264" s="21">
        <f>IF(MonthlyFAME!F266=0,"",MonthlyFAME!F266)</f>
        <v>6335</v>
      </c>
      <c r="F264" s="21">
        <f>IF(MonthlyFAME!G266=0,"",MonthlyFAME!G266)</f>
        <v>6616</v>
      </c>
      <c r="G264" s="21">
        <f>IF(MonthlyFAME!H266=0,"",MonthlyFAME!H266)</f>
        <v>9.8107348809699833</v>
      </c>
      <c r="H264" s="21">
        <f>IF(MonthlyFAME!I266=0,"",MonthlyFAME!I266)</f>
        <v>24398</v>
      </c>
      <c r="I264" s="21">
        <f>IF(MonthlyFAME!J266=0,"",MonthlyFAME!J266)</f>
        <v>819.5</v>
      </c>
      <c r="J264" s="24"/>
      <c r="K264" s="21">
        <f>IF(MonthlyFAME!L266=0,"",MonthlyFAME!L266)</f>
        <v>96.670577143915295</v>
      </c>
      <c r="L264" s="21">
        <f>IF(MonthlyFAME!M266=0,"",MonthlyFAME!M266)</f>
        <v>2241.5</v>
      </c>
      <c r="M264" s="21" t="str">
        <f>IF(MonthlyFAME!N266=0,"",MonthlyFAME!N266)</f>
        <v/>
      </c>
      <c r="N264" s="21" t="str">
        <f>IF(MonthlyFAME!O266=0,"",MonthlyFAME!O266)</f>
        <v/>
      </c>
      <c r="O264" s="21" t="str">
        <f>IF(MonthlyFAME!P266=0,"",MonthlyFAME!P266)</f>
        <v/>
      </c>
      <c r="P264" s="21" t="str">
        <f>IF(MonthlyFAME!Q266=0,"",MonthlyFAME!Q266)</f>
        <v/>
      </c>
      <c r="Q264" s="21" t="str">
        <f>IF(MonthlyFAME!R266=0,"",MonthlyFAME!R266)</f>
        <v/>
      </c>
      <c r="R264" s="21" t="str">
        <f>IF(MonthlyFAME!S266=0,"",MonthlyFAME!S266)</f>
        <v/>
      </c>
      <c r="S264" s="21" t="str">
        <f>IF(MonthlyFAME!T266=0,"",MonthlyFAME!T266)</f>
        <v/>
      </c>
      <c r="T264" s="21" t="str">
        <f>IF(MonthlyFAME!U266=0,"",MonthlyFAME!U266)</f>
        <v/>
      </c>
    </row>
    <row r="265" spans="1:20" x14ac:dyDescent="0.2">
      <c r="A265" s="23">
        <f>IF(MonthlyFAME!A267=0,"",MonthlyFAME!A267)</f>
        <v>29859</v>
      </c>
      <c r="B265" s="21" t="str">
        <f>IF(MonthlyFAME!B267=0,"",MonthlyFAME!B267)</f>
        <v/>
      </c>
      <c r="C265" s="21">
        <f>IF(MonthlyFAME!C267=0,"",MonthlyFAME!C267)</f>
        <v>59.6</v>
      </c>
      <c r="D265" s="21" t="str">
        <f>IF(MonthlyFAME!D267=0,"",MonthlyFAME!D267)</f>
        <v/>
      </c>
      <c r="E265" s="21">
        <f>IF(MonthlyFAME!F267=0,"",MonthlyFAME!F267)</f>
        <v>6194</v>
      </c>
      <c r="F265" s="21">
        <f>IF(MonthlyFAME!G267=0,"",MonthlyFAME!G267)</f>
        <v>5992</v>
      </c>
      <c r="G265" s="21">
        <f>IF(MonthlyFAME!H267=0,"",MonthlyFAME!H267)</f>
        <v>9.9264026036465847</v>
      </c>
      <c r="H265" s="21">
        <f>IF(MonthlyFAME!I267=0,"",MonthlyFAME!I267)</f>
        <v>24355</v>
      </c>
      <c r="I265" s="21">
        <f>IF(MonthlyFAME!J267=0,"",MonthlyFAME!J267)</f>
        <v>817.8</v>
      </c>
      <c r="J265" s="24"/>
      <c r="K265" s="21">
        <f>IF(MonthlyFAME!L267=0,"",MonthlyFAME!L267)</f>
        <v>97.209277726264204</v>
      </c>
      <c r="L265" s="21">
        <f>IF(MonthlyFAME!M267=0,"",MonthlyFAME!M267)</f>
        <v>2282.6</v>
      </c>
      <c r="M265" s="21" t="str">
        <f>IF(MonthlyFAME!N267=0,"",MonthlyFAME!N267)</f>
        <v/>
      </c>
      <c r="N265" s="21" t="str">
        <f>IF(MonthlyFAME!O267=0,"",MonthlyFAME!O267)</f>
        <v/>
      </c>
      <c r="O265" s="21" t="str">
        <f>IF(MonthlyFAME!P267=0,"",MonthlyFAME!P267)</f>
        <v/>
      </c>
      <c r="P265" s="21" t="str">
        <f>IF(MonthlyFAME!Q267=0,"",MonthlyFAME!Q267)</f>
        <v/>
      </c>
      <c r="Q265" s="21" t="str">
        <f>IF(MonthlyFAME!R267=0,"",MonthlyFAME!R267)</f>
        <v/>
      </c>
      <c r="R265" s="21" t="str">
        <f>IF(MonthlyFAME!S267=0,"",MonthlyFAME!S267)</f>
        <v/>
      </c>
      <c r="S265" s="21" t="str">
        <f>IF(MonthlyFAME!T267=0,"",MonthlyFAME!T267)</f>
        <v/>
      </c>
      <c r="T265" s="21" t="str">
        <f>IF(MonthlyFAME!U267=0,"",MonthlyFAME!U267)</f>
        <v/>
      </c>
    </row>
    <row r="266" spans="1:20" x14ac:dyDescent="0.2">
      <c r="A266" s="23">
        <f>IF(MonthlyFAME!A268=0,"",MonthlyFAME!A268)</f>
        <v>29890</v>
      </c>
      <c r="B266" s="21" t="str">
        <f>IF(MonthlyFAME!B268=0,"",MonthlyFAME!B268)</f>
        <v/>
      </c>
      <c r="C266" s="21">
        <f>IF(MonthlyFAME!C268=0,"",MonthlyFAME!C268)</f>
        <v>61</v>
      </c>
      <c r="D266" s="21" t="str">
        <f>IF(MonthlyFAME!D268=0,"",MonthlyFAME!D268)</f>
        <v/>
      </c>
      <c r="E266" s="21">
        <f>IF(MonthlyFAME!F268=0,"",MonthlyFAME!F268)</f>
        <v>6323</v>
      </c>
      <c r="F266" s="21">
        <f>IF(MonthlyFAME!G268=0,"",MonthlyFAME!G268)</f>
        <v>5706</v>
      </c>
      <c r="G266" s="21">
        <f>IF(MonthlyFAME!H268=0,"",MonthlyFAME!H268)</f>
        <v>10.039224393132031</v>
      </c>
      <c r="H266" s="21">
        <f>IF(MonthlyFAME!I268=0,"",MonthlyFAME!I268)</f>
        <v>24311</v>
      </c>
      <c r="I266" s="21">
        <f>IF(MonthlyFAME!J268=0,"",MonthlyFAME!J268)</f>
        <v>816.2</v>
      </c>
      <c r="J266" s="24"/>
      <c r="K266" s="21">
        <f>IF(MonthlyFAME!L268=0,"",MonthlyFAME!L268)</f>
        <v>98.045995836878802</v>
      </c>
      <c r="L266" s="21">
        <f>IF(MonthlyFAME!M268=0,"",MonthlyFAME!M268)</f>
        <v>2320</v>
      </c>
      <c r="M266" s="21" t="str">
        <f>IF(MonthlyFAME!N268=0,"",MonthlyFAME!N268)</f>
        <v/>
      </c>
      <c r="N266" s="21" t="str">
        <f>IF(MonthlyFAME!O268=0,"",MonthlyFAME!O268)</f>
        <v/>
      </c>
      <c r="O266" s="21" t="str">
        <f>IF(MonthlyFAME!P268=0,"",MonthlyFAME!P268)</f>
        <v/>
      </c>
      <c r="P266" s="21" t="str">
        <f>IF(MonthlyFAME!Q268=0,"",MonthlyFAME!Q268)</f>
        <v/>
      </c>
      <c r="Q266" s="21" t="str">
        <f>IF(MonthlyFAME!R268=0,"",MonthlyFAME!R268)</f>
        <v/>
      </c>
      <c r="R266" s="21" t="str">
        <f>IF(MonthlyFAME!S268=0,"",MonthlyFAME!S268)</f>
        <v/>
      </c>
      <c r="S266" s="21" t="str">
        <f>IF(MonthlyFAME!T268=0,"",MonthlyFAME!T268)</f>
        <v/>
      </c>
      <c r="T266" s="21" t="str">
        <f>IF(MonthlyFAME!U268=0,"",MonthlyFAME!U268)</f>
        <v/>
      </c>
    </row>
    <row r="267" spans="1:20" x14ac:dyDescent="0.2">
      <c r="A267" s="23">
        <f>IF(MonthlyFAME!A269=0,"",MonthlyFAME!A269)</f>
        <v>29920</v>
      </c>
      <c r="B267" s="21" t="str">
        <f>IF(MonthlyFAME!B269=0,"",MonthlyFAME!B269)</f>
        <v/>
      </c>
      <c r="C267" s="21">
        <f>IF(MonthlyFAME!C269=0,"",MonthlyFAME!C269)</f>
        <v>60.2</v>
      </c>
      <c r="D267" s="21" t="str">
        <f>IF(MonthlyFAME!D269=0,"",MonthlyFAME!D269)</f>
        <v/>
      </c>
      <c r="E267" s="21">
        <f>IF(MonthlyFAME!F269=0,"",MonthlyFAME!F269)</f>
        <v>6177</v>
      </c>
      <c r="F267" s="21">
        <f>IF(MonthlyFAME!G269=0,"",MonthlyFAME!G269)</f>
        <v>6296</v>
      </c>
      <c r="G267" s="21">
        <f>IF(MonthlyFAME!H269=0,"",MonthlyFAME!H269)</f>
        <v>10.147772304729454</v>
      </c>
      <c r="H267" s="21">
        <f>IF(MonthlyFAME!I269=0,"",MonthlyFAME!I269)</f>
        <v>24261</v>
      </c>
      <c r="I267" s="21">
        <f>IF(MonthlyFAME!J269=0,"",MonthlyFAME!J269)</f>
        <v>814.4</v>
      </c>
      <c r="J267" s="24"/>
      <c r="K267" s="21">
        <f>IF(MonthlyFAME!L269=0,"",MonthlyFAME!L269)</f>
        <v>98.139259661249497</v>
      </c>
      <c r="L267" s="21">
        <f>IF(MonthlyFAME!M269=0,"",MonthlyFAME!M269)</f>
        <v>2354.6</v>
      </c>
      <c r="M267" s="21" t="str">
        <f>IF(MonthlyFAME!N269=0,"",MonthlyFAME!N269)</f>
        <v/>
      </c>
      <c r="N267" s="21" t="str">
        <f>IF(MonthlyFAME!O269=0,"",MonthlyFAME!O269)</f>
        <v/>
      </c>
      <c r="O267" s="21" t="str">
        <f>IF(MonthlyFAME!P269=0,"",MonthlyFAME!P269)</f>
        <v/>
      </c>
      <c r="P267" s="21" t="str">
        <f>IF(MonthlyFAME!Q269=0,"",MonthlyFAME!Q269)</f>
        <v/>
      </c>
      <c r="Q267" s="21" t="str">
        <f>IF(MonthlyFAME!R269=0,"",MonthlyFAME!R269)</f>
        <v/>
      </c>
      <c r="R267" s="21" t="str">
        <f>IF(MonthlyFAME!S269=0,"",MonthlyFAME!S269)</f>
        <v/>
      </c>
      <c r="S267" s="21" t="str">
        <f>IF(MonthlyFAME!T269=0,"",MonthlyFAME!T269)</f>
        <v/>
      </c>
      <c r="T267" s="21" t="str">
        <f>IF(MonthlyFAME!U269=0,"",MonthlyFAME!U269)</f>
        <v/>
      </c>
    </row>
    <row r="268" spans="1:20" x14ac:dyDescent="0.2">
      <c r="A268" s="23">
        <f>IF(MonthlyFAME!A270=0,"",MonthlyFAME!A270)</f>
        <v>29951</v>
      </c>
      <c r="B268" s="21" t="str">
        <f>IF(MonthlyFAME!B270=0,"",MonthlyFAME!B270)</f>
        <v/>
      </c>
      <c r="C268" s="21">
        <f>IF(MonthlyFAME!C270=0,"",MonthlyFAME!C270)</f>
        <v>59.3</v>
      </c>
      <c r="D268" s="21" t="str">
        <f>IF(MonthlyFAME!D270=0,"",MonthlyFAME!D270)</f>
        <v/>
      </c>
      <c r="E268" s="21">
        <f>IF(MonthlyFAME!F270=0,"",MonthlyFAME!F270)</f>
        <v>6155</v>
      </c>
      <c r="F268" s="21">
        <f>IF(MonthlyFAME!G270=0,"",MonthlyFAME!G270)</f>
        <v>5953</v>
      </c>
      <c r="G268" s="21">
        <f>IF(MonthlyFAME!H270=0,"",MonthlyFAME!H270)</f>
        <v>10.237300704486467</v>
      </c>
      <c r="H268" s="21">
        <f>IF(MonthlyFAME!I270=0,"",MonthlyFAME!I270)</f>
        <v>24209</v>
      </c>
      <c r="I268" s="21">
        <f>IF(MonthlyFAME!J270=0,"",MonthlyFAME!J270)</f>
        <v>812.7</v>
      </c>
      <c r="J268" s="24"/>
      <c r="K268" s="21">
        <f>IF(MonthlyFAME!L270=0,"",MonthlyFAME!L270)</f>
        <v>98.666707414539403</v>
      </c>
      <c r="L268" s="21">
        <f>IF(MonthlyFAME!M270=0,"",MonthlyFAME!M270)</f>
        <v>2373.3000000000002</v>
      </c>
      <c r="M268" s="21" t="str">
        <f>IF(MonthlyFAME!N270=0,"",MonthlyFAME!N270)</f>
        <v/>
      </c>
      <c r="N268" s="21" t="str">
        <f>IF(MonthlyFAME!O270=0,"",MonthlyFAME!O270)</f>
        <v/>
      </c>
      <c r="O268" s="21" t="str">
        <f>IF(MonthlyFAME!P270=0,"",MonthlyFAME!P270)</f>
        <v/>
      </c>
      <c r="P268" s="21" t="str">
        <f>IF(MonthlyFAME!Q270=0,"",MonthlyFAME!Q270)</f>
        <v/>
      </c>
      <c r="Q268" s="21" t="str">
        <f>IF(MonthlyFAME!R270=0,"",MonthlyFAME!R270)</f>
        <v/>
      </c>
      <c r="R268" s="21" t="str">
        <f>IF(MonthlyFAME!S270=0,"",MonthlyFAME!S270)</f>
        <v/>
      </c>
      <c r="S268" s="21" t="str">
        <f>IF(MonthlyFAME!T270=0,"",MonthlyFAME!T270)</f>
        <v/>
      </c>
      <c r="T268" s="21" t="str">
        <f>IF(MonthlyFAME!U270=0,"",MonthlyFAME!U270)</f>
        <v/>
      </c>
    </row>
    <row r="269" spans="1:20" x14ac:dyDescent="0.2">
      <c r="A269" s="23">
        <f>IF(MonthlyFAME!A271=0,"",MonthlyFAME!A271)</f>
        <v>29982</v>
      </c>
      <c r="B269" s="21" t="str">
        <f>IF(MonthlyFAME!B271=0,"",MonthlyFAME!B271)</f>
        <v/>
      </c>
      <c r="C269" s="21">
        <f>IF(MonthlyFAME!C271=0,"",MonthlyFAME!C271)</f>
        <v>59.3</v>
      </c>
      <c r="D269" s="21" t="str">
        <f>IF(MonthlyFAME!D271=0,"",MonthlyFAME!D271)</f>
        <v/>
      </c>
      <c r="E269" s="21">
        <f>IF(MonthlyFAME!F271=0,"",MonthlyFAME!F271)</f>
        <v>6062</v>
      </c>
      <c r="F269" s="21">
        <f>IF(MonthlyFAME!G271=0,"",MonthlyFAME!G271)</f>
        <v>5975</v>
      </c>
      <c r="G269" s="21">
        <f>IF(MonthlyFAME!H271=0,"",MonthlyFAME!H271)</f>
        <v>10.315781661657205</v>
      </c>
      <c r="H269" s="21">
        <f>IF(MonthlyFAME!I271=0,"",MonthlyFAME!I271)</f>
        <v>24169</v>
      </c>
      <c r="I269" s="21">
        <f>IF(MonthlyFAME!J271=0,"",MonthlyFAME!J271)</f>
        <v>811.5</v>
      </c>
      <c r="J269" s="24"/>
      <c r="K269" s="21">
        <f>IF(MonthlyFAME!L271=0,"",MonthlyFAME!L271)</f>
        <v>99.480150451755904</v>
      </c>
      <c r="L269" s="21">
        <f>IF(MonthlyFAME!M271=0,"",MonthlyFAME!M271)</f>
        <v>2402.8000000000002</v>
      </c>
      <c r="M269" s="21" t="str">
        <f>IF(MonthlyFAME!N271=0,"",MonthlyFAME!N271)</f>
        <v/>
      </c>
      <c r="N269" s="21" t="str">
        <f>IF(MonthlyFAME!O271=0,"",MonthlyFAME!O271)</f>
        <v/>
      </c>
      <c r="O269" s="21" t="str">
        <f>IF(MonthlyFAME!P271=0,"",MonthlyFAME!P271)</f>
        <v/>
      </c>
      <c r="P269" s="21" t="str">
        <f>IF(MonthlyFAME!Q271=0,"",MonthlyFAME!Q271)</f>
        <v/>
      </c>
      <c r="Q269" s="21" t="str">
        <f>IF(MonthlyFAME!R271=0,"",MonthlyFAME!R271)</f>
        <v/>
      </c>
      <c r="R269" s="21" t="str">
        <f>IF(MonthlyFAME!S271=0,"",MonthlyFAME!S271)</f>
        <v/>
      </c>
      <c r="S269" s="21" t="str">
        <f>IF(MonthlyFAME!T271=0,"",MonthlyFAME!T271)</f>
        <v/>
      </c>
      <c r="T269" s="21" t="str">
        <f>IF(MonthlyFAME!U271=0,"",MonthlyFAME!U271)</f>
        <v/>
      </c>
    </row>
    <row r="270" spans="1:20" x14ac:dyDescent="0.2">
      <c r="A270" s="23">
        <f>IF(MonthlyFAME!A272=0,"",MonthlyFAME!A272)</f>
        <v>30010</v>
      </c>
      <c r="B270" s="21" t="str">
        <f>IF(MonthlyFAME!B272=0,"",MonthlyFAME!B272)</f>
        <v/>
      </c>
      <c r="C270" s="21">
        <f>IF(MonthlyFAME!C272=0,"",MonthlyFAME!C272)</f>
        <v>59.7</v>
      </c>
      <c r="D270" s="21" t="str">
        <f>IF(MonthlyFAME!D272=0,"",MonthlyFAME!D272)</f>
        <v/>
      </c>
      <c r="E270" s="21">
        <f>IF(MonthlyFAME!F272=0,"",MonthlyFAME!F272)</f>
        <v>6084</v>
      </c>
      <c r="F270" s="21">
        <f>IF(MonthlyFAME!G272=0,"",MonthlyFAME!G272)</f>
        <v>5770</v>
      </c>
      <c r="G270" s="21">
        <f>IF(MonthlyFAME!H272=0,"",MonthlyFAME!H272)</f>
        <v>10.367234785191787</v>
      </c>
      <c r="H270" s="21">
        <f>IF(MonthlyFAME!I272=0,"",MonthlyFAME!I272)</f>
        <v>24139</v>
      </c>
      <c r="I270" s="21">
        <f>IF(MonthlyFAME!J272=0,"",MonthlyFAME!J272)</f>
        <v>810.6</v>
      </c>
      <c r="J270" s="24"/>
      <c r="K270" s="21">
        <f>IF(MonthlyFAME!L272=0,"",MonthlyFAME!L272)</f>
        <v>100.52504937836299</v>
      </c>
      <c r="L270" s="21">
        <f>IF(MonthlyFAME!M272=0,"",MonthlyFAME!M272)</f>
        <v>2415.5</v>
      </c>
      <c r="M270" s="21" t="str">
        <f>IF(MonthlyFAME!N272=0,"",MonthlyFAME!N272)</f>
        <v/>
      </c>
      <c r="N270" s="21" t="str">
        <f>IF(MonthlyFAME!O272=0,"",MonthlyFAME!O272)</f>
        <v/>
      </c>
      <c r="O270" s="21" t="str">
        <f>IF(MonthlyFAME!P272=0,"",MonthlyFAME!P272)</f>
        <v/>
      </c>
      <c r="P270" s="21" t="str">
        <f>IF(MonthlyFAME!Q272=0,"",MonthlyFAME!Q272)</f>
        <v/>
      </c>
      <c r="Q270" s="21" t="str">
        <f>IF(MonthlyFAME!R272=0,"",MonthlyFAME!R272)</f>
        <v/>
      </c>
      <c r="R270" s="21" t="str">
        <f>IF(MonthlyFAME!S272=0,"",MonthlyFAME!S272)</f>
        <v/>
      </c>
      <c r="S270" s="21" t="str">
        <f>IF(MonthlyFAME!T272=0,"",MonthlyFAME!T272)</f>
        <v/>
      </c>
      <c r="T270" s="21" t="str">
        <f>IF(MonthlyFAME!U272=0,"",MonthlyFAME!U272)</f>
        <v/>
      </c>
    </row>
    <row r="271" spans="1:20" x14ac:dyDescent="0.2">
      <c r="A271" s="23">
        <f>IF(MonthlyFAME!A273=0,"",MonthlyFAME!A273)</f>
        <v>30041</v>
      </c>
      <c r="B271" s="21" t="str">
        <f>IF(MonthlyFAME!B273=0,"",MonthlyFAME!B273)</f>
        <v/>
      </c>
      <c r="C271" s="21">
        <f>IF(MonthlyFAME!C273=0,"",MonthlyFAME!C273)</f>
        <v>59.8</v>
      </c>
      <c r="D271" s="21" t="str">
        <f>IF(MonthlyFAME!D273=0,"",MonthlyFAME!D273)</f>
        <v/>
      </c>
      <c r="E271" s="21">
        <f>IF(MonthlyFAME!F273=0,"",MonthlyFAME!F273)</f>
        <v>6223</v>
      </c>
      <c r="F271" s="21">
        <f>IF(MonthlyFAME!G273=0,"",MonthlyFAME!G273)</f>
        <v>6081</v>
      </c>
      <c r="G271" s="21">
        <f>IF(MonthlyFAME!H273=0,"",MonthlyFAME!H273)</f>
        <v>10.411172603350295</v>
      </c>
      <c r="H271" s="21">
        <f>IF(MonthlyFAME!I273=0,"",MonthlyFAME!I273)</f>
        <v>24120</v>
      </c>
      <c r="I271" s="21">
        <f>IF(MonthlyFAME!J273=0,"",MonthlyFAME!J273)</f>
        <v>810.2</v>
      </c>
      <c r="J271" s="24"/>
      <c r="K271" s="21">
        <f>IF(MonthlyFAME!L273=0,"",MonthlyFAME!L273)</f>
        <v>101.44838629607401</v>
      </c>
      <c r="L271" s="21">
        <f>IF(MonthlyFAME!M273=0,"",MonthlyFAME!M273)</f>
        <v>2425.5</v>
      </c>
      <c r="M271" s="21" t="str">
        <f>IF(MonthlyFAME!N273=0,"",MonthlyFAME!N273)</f>
        <v/>
      </c>
      <c r="N271" s="21" t="str">
        <f>IF(MonthlyFAME!O273=0,"",MonthlyFAME!O273)</f>
        <v/>
      </c>
      <c r="O271" s="21" t="str">
        <f>IF(MonthlyFAME!P273=0,"",MonthlyFAME!P273)</f>
        <v/>
      </c>
      <c r="P271" s="21" t="str">
        <f>IF(MonthlyFAME!Q273=0,"",MonthlyFAME!Q273)</f>
        <v/>
      </c>
      <c r="Q271" s="21" t="str">
        <f>IF(MonthlyFAME!R273=0,"",MonthlyFAME!R273)</f>
        <v/>
      </c>
      <c r="R271" s="21" t="str">
        <f>IF(MonthlyFAME!S273=0,"",MonthlyFAME!S273)</f>
        <v/>
      </c>
      <c r="S271" s="21" t="str">
        <f>IF(MonthlyFAME!T273=0,"",MonthlyFAME!T273)</f>
        <v/>
      </c>
      <c r="T271" s="21" t="str">
        <f>IF(MonthlyFAME!U273=0,"",MonthlyFAME!U273)</f>
        <v/>
      </c>
    </row>
    <row r="272" spans="1:20" x14ac:dyDescent="0.2">
      <c r="A272" s="23">
        <f>IF(MonthlyFAME!A274=0,"",MonthlyFAME!A274)</f>
        <v>30071</v>
      </c>
      <c r="B272" s="21" t="str">
        <f>IF(MonthlyFAME!B274=0,"",MonthlyFAME!B274)</f>
        <v/>
      </c>
      <c r="C272" s="21">
        <f>IF(MonthlyFAME!C274=0,"",MonthlyFAME!C274)</f>
        <v>60.6</v>
      </c>
      <c r="D272" s="21" t="str">
        <f>IF(MonthlyFAME!D274=0,"",MonthlyFAME!D274)</f>
        <v/>
      </c>
      <c r="E272" s="21">
        <f>IF(MonthlyFAME!F274=0,"",MonthlyFAME!F274)</f>
        <v>6434</v>
      </c>
      <c r="F272" s="21">
        <f>IF(MonthlyFAME!G274=0,"",MonthlyFAME!G274)</f>
        <v>6080</v>
      </c>
      <c r="G272" s="21">
        <f>IF(MonthlyFAME!H274=0,"",MonthlyFAME!H274)</f>
        <v>10.455305705259246</v>
      </c>
      <c r="H272" s="21">
        <f>IF(MonthlyFAME!I274=0,"",MonthlyFAME!I274)</f>
        <v>24092</v>
      </c>
      <c r="I272" s="21">
        <f>IF(MonthlyFAME!J274=0,"",MonthlyFAME!J274)</f>
        <v>809.4</v>
      </c>
      <c r="J272" s="24"/>
      <c r="K272" s="21">
        <f>IF(MonthlyFAME!L274=0,"",MonthlyFAME!L274)</f>
        <v>101.436503037986</v>
      </c>
      <c r="L272" s="21">
        <f>IF(MonthlyFAME!M274=0,"",MonthlyFAME!M274)</f>
        <v>2454</v>
      </c>
      <c r="M272" s="21" t="str">
        <f>IF(MonthlyFAME!N274=0,"",MonthlyFAME!N274)</f>
        <v/>
      </c>
      <c r="N272" s="21" t="str">
        <f>IF(MonthlyFAME!O274=0,"",MonthlyFAME!O274)</f>
        <v/>
      </c>
      <c r="O272" s="21" t="str">
        <f>IF(MonthlyFAME!P274=0,"",MonthlyFAME!P274)</f>
        <v/>
      </c>
      <c r="P272" s="21" t="str">
        <f>IF(MonthlyFAME!Q274=0,"",MonthlyFAME!Q274)</f>
        <v/>
      </c>
      <c r="Q272" s="21" t="str">
        <f>IF(MonthlyFAME!R274=0,"",MonthlyFAME!R274)</f>
        <v/>
      </c>
      <c r="R272" s="21" t="str">
        <f>IF(MonthlyFAME!S274=0,"",MonthlyFAME!S274)</f>
        <v/>
      </c>
      <c r="S272" s="21" t="str">
        <f>IF(MonthlyFAME!T274=0,"",MonthlyFAME!T274)</f>
        <v/>
      </c>
      <c r="T272" s="21" t="str">
        <f>IF(MonthlyFAME!U274=0,"",MonthlyFAME!U274)</f>
        <v/>
      </c>
    </row>
    <row r="273" spans="1:20" x14ac:dyDescent="0.2">
      <c r="A273" s="23">
        <f>IF(MonthlyFAME!A275=0,"",MonthlyFAME!A275)</f>
        <v>30102</v>
      </c>
      <c r="B273" s="21" t="str">
        <f>IF(MonthlyFAME!B275=0,"",MonthlyFAME!B275)</f>
        <v/>
      </c>
      <c r="C273" s="21">
        <f>IF(MonthlyFAME!C275=0,"",MonthlyFAME!C275)</f>
        <v>61.1</v>
      </c>
      <c r="D273" s="21" t="str">
        <f>IF(MonthlyFAME!D275=0,"",MonthlyFAME!D275)</f>
        <v/>
      </c>
      <c r="E273" s="21">
        <f>IF(MonthlyFAME!F275=0,"",MonthlyFAME!F275)</f>
        <v>6301</v>
      </c>
      <c r="F273" s="21">
        <f>IF(MonthlyFAME!G275=0,"",MonthlyFAME!G275)</f>
        <v>6284</v>
      </c>
      <c r="G273" s="21">
        <f>IF(MonthlyFAME!H275=0,"",MonthlyFAME!H275)</f>
        <v>10.501654828753114</v>
      </c>
      <c r="H273" s="21">
        <f>IF(MonthlyFAME!I275=0,"",MonthlyFAME!I275)</f>
        <v>24067</v>
      </c>
      <c r="I273" s="21">
        <f>IF(MonthlyFAME!J275=0,"",MonthlyFAME!J275)</f>
        <v>808.5</v>
      </c>
      <c r="J273" s="24"/>
      <c r="K273" s="21">
        <f>IF(MonthlyFAME!L275=0,"",MonthlyFAME!L275)</f>
        <v>102.404533571214</v>
      </c>
      <c r="L273" s="21">
        <f>IF(MonthlyFAME!M275=0,"",MonthlyFAME!M275)</f>
        <v>2468.4</v>
      </c>
      <c r="M273" s="21" t="str">
        <f>IF(MonthlyFAME!N275=0,"",MonthlyFAME!N275)</f>
        <v/>
      </c>
      <c r="N273" s="21" t="str">
        <f>IF(MonthlyFAME!O275=0,"",MonthlyFAME!O275)</f>
        <v/>
      </c>
      <c r="O273" s="21" t="str">
        <f>IF(MonthlyFAME!P275=0,"",MonthlyFAME!P275)</f>
        <v/>
      </c>
      <c r="P273" s="21" t="str">
        <f>IF(MonthlyFAME!Q275=0,"",MonthlyFAME!Q275)</f>
        <v/>
      </c>
      <c r="Q273" s="21" t="str">
        <f>IF(MonthlyFAME!R275=0,"",MonthlyFAME!R275)</f>
        <v/>
      </c>
      <c r="R273" s="21" t="str">
        <f>IF(MonthlyFAME!S275=0,"",MonthlyFAME!S275)</f>
        <v/>
      </c>
      <c r="S273" s="21" t="str">
        <f>IF(MonthlyFAME!T275=0,"",MonthlyFAME!T275)</f>
        <v/>
      </c>
      <c r="T273" s="21" t="str">
        <f>IF(MonthlyFAME!U275=0,"",MonthlyFAME!U275)</f>
        <v/>
      </c>
    </row>
    <row r="274" spans="1:20" x14ac:dyDescent="0.2">
      <c r="A274" s="23">
        <f>IF(MonthlyFAME!A276=0,"",MonthlyFAME!A276)</f>
        <v>30132</v>
      </c>
      <c r="B274" s="21" t="str">
        <f>IF(MonthlyFAME!B276=0,"",MonthlyFAME!B276)</f>
        <v/>
      </c>
      <c r="C274" s="21">
        <f>IF(MonthlyFAME!C276=0,"",MonthlyFAME!C276)</f>
        <v>60.3</v>
      </c>
      <c r="D274" s="21" t="str">
        <f>IF(MonthlyFAME!D276=0,"",MonthlyFAME!D276)</f>
        <v/>
      </c>
      <c r="E274" s="21">
        <f>IF(MonthlyFAME!F276=0,"",MonthlyFAME!F276)</f>
        <v>6223</v>
      </c>
      <c r="F274" s="21">
        <f>IF(MonthlyFAME!G276=0,"",MonthlyFAME!G276)</f>
        <v>6105</v>
      </c>
      <c r="G274" s="21">
        <f>IF(MonthlyFAME!H276=0,"",MonthlyFAME!H276)</f>
        <v>10.573916927199642</v>
      </c>
      <c r="H274" s="21">
        <f>IF(MonthlyFAME!I276=0,"",MonthlyFAME!I276)</f>
        <v>24027</v>
      </c>
      <c r="I274" s="21">
        <f>IF(MonthlyFAME!J276=0,"",MonthlyFAME!J276)</f>
        <v>807</v>
      </c>
      <c r="J274" s="24"/>
      <c r="K274" s="21">
        <f>IF(MonthlyFAME!L276=0,"",MonthlyFAME!L276)</f>
        <v>102.861305633371</v>
      </c>
      <c r="L274" s="21">
        <f>IF(MonthlyFAME!M276=0,"",MonthlyFAME!M276)</f>
        <v>2498.9</v>
      </c>
      <c r="M274" s="21" t="str">
        <f>IF(MonthlyFAME!N276=0,"",MonthlyFAME!N276)</f>
        <v/>
      </c>
      <c r="N274" s="21" t="str">
        <f>IF(MonthlyFAME!O276=0,"",MonthlyFAME!O276)</f>
        <v/>
      </c>
      <c r="O274" s="21" t="str">
        <f>IF(MonthlyFAME!P276=0,"",MonthlyFAME!P276)</f>
        <v/>
      </c>
      <c r="P274" s="21" t="str">
        <f>IF(MonthlyFAME!Q276=0,"",MonthlyFAME!Q276)</f>
        <v/>
      </c>
      <c r="Q274" s="21" t="str">
        <f>IF(MonthlyFAME!R276=0,"",MonthlyFAME!R276)</f>
        <v/>
      </c>
      <c r="R274" s="21" t="str">
        <f>IF(MonthlyFAME!S276=0,"",MonthlyFAME!S276)</f>
        <v/>
      </c>
      <c r="S274" s="21" t="str">
        <f>IF(MonthlyFAME!T276=0,"",MonthlyFAME!T276)</f>
        <v/>
      </c>
      <c r="T274" s="21" t="str">
        <f>IF(MonthlyFAME!U276=0,"",MonthlyFAME!U276)</f>
        <v/>
      </c>
    </row>
    <row r="275" spans="1:20" x14ac:dyDescent="0.2">
      <c r="A275" s="23">
        <f>IF(MonthlyFAME!A277=0,"",MonthlyFAME!A277)</f>
        <v>30163</v>
      </c>
      <c r="B275" s="21" t="str">
        <f>IF(MonthlyFAME!B277=0,"",MonthlyFAME!B277)</f>
        <v/>
      </c>
      <c r="C275" s="21">
        <f>IF(MonthlyFAME!C277=0,"",MonthlyFAME!C277)</f>
        <v>60.3</v>
      </c>
      <c r="D275" s="21" t="str">
        <f>IF(MonthlyFAME!D277=0,"",MonthlyFAME!D277)</f>
        <v/>
      </c>
      <c r="E275" s="21">
        <f>IF(MonthlyFAME!F277=0,"",MonthlyFAME!F277)</f>
        <v>6168</v>
      </c>
      <c r="F275" s="21">
        <f>IF(MonthlyFAME!G277=0,"",MonthlyFAME!G277)</f>
        <v>5975</v>
      </c>
      <c r="G275" s="21">
        <f>IF(MonthlyFAME!H277=0,"",MonthlyFAME!H277)</f>
        <v>10.64099221572498</v>
      </c>
      <c r="H275" s="21">
        <f>IF(MonthlyFAME!I277=0,"",MonthlyFAME!I277)</f>
        <v>23992</v>
      </c>
      <c r="I275" s="21">
        <f>IF(MonthlyFAME!J277=0,"",MonthlyFAME!J277)</f>
        <v>805.7</v>
      </c>
      <c r="J275" s="24"/>
      <c r="K275" s="21">
        <f>IF(MonthlyFAME!L277=0,"",MonthlyFAME!L277)</f>
        <v>104.08598672706999</v>
      </c>
      <c r="L275" s="21">
        <f>IF(MonthlyFAME!M277=0,"",MonthlyFAME!M277)</f>
        <v>2528.1</v>
      </c>
      <c r="M275" s="21" t="str">
        <f>IF(MonthlyFAME!N277=0,"",MonthlyFAME!N277)</f>
        <v/>
      </c>
      <c r="N275" s="21" t="str">
        <f>IF(MonthlyFAME!O277=0,"",MonthlyFAME!O277)</f>
        <v/>
      </c>
      <c r="O275" s="21" t="str">
        <f>IF(MonthlyFAME!P277=0,"",MonthlyFAME!P277)</f>
        <v/>
      </c>
      <c r="P275" s="21" t="str">
        <f>IF(MonthlyFAME!Q277=0,"",MonthlyFAME!Q277)</f>
        <v/>
      </c>
      <c r="Q275" s="21" t="str">
        <f>IF(MonthlyFAME!R277=0,"",MonthlyFAME!R277)</f>
        <v/>
      </c>
      <c r="R275" s="21" t="str">
        <f>IF(MonthlyFAME!S277=0,"",MonthlyFAME!S277)</f>
        <v/>
      </c>
      <c r="S275" s="21" t="str">
        <f>IF(MonthlyFAME!T277=0,"",MonthlyFAME!T277)</f>
        <v/>
      </c>
      <c r="T275" s="21" t="str">
        <f>IF(MonthlyFAME!U277=0,"",MonthlyFAME!U277)</f>
        <v/>
      </c>
    </row>
    <row r="276" spans="1:20" x14ac:dyDescent="0.2">
      <c r="A276" s="23">
        <f>IF(MonthlyFAME!A278=0,"",MonthlyFAME!A278)</f>
        <v>30194</v>
      </c>
      <c r="B276" s="21" t="str">
        <f>IF(MonthlyFAME!B278=0,"",MonthlyFAME!B278)</f>
        <v/>
      </c>
      <c r="C276" s="21">
        <f>IF(MonthlyFAME!C278=0,"",MonthlyFAME!C278)</f>
        <v>60.9</v>
      </c>
      <c r="D276" s="21" t="str">
        <f>IF(MonthlyFAME!D278=0,"",MonthlyFAME!D278)</f>
        <v/>
      </c>
      <c r="E276" s="21">
        <f>IF(MonthlyFAME!F278=0,"",MonthlyFAME!F278)</f>
        <v>6011</v>
      </c>
      <c r="F276" s="21">
        <f>IF(MonthlyFAME!G278=0,"",MonthlyFAME!G278)</f>
        <v>5835</v>
      </c>
      <c r="G276" s="21">
        <f>IF(MonthlyFAME!H278=0,"",MonthlyFAME!H278)</f>
        <v>10.724670096175352</v>
      </c>
      <c r="H276" s="21">
        <f>IF(MonthlyFAME!I278=0,"",MonthlyFAME!I278)</f>
        <v>23949</v>
      </c>
      <c r="I276" s="21">
        <f>IF(MonthlyFAME!J278=0,"",MonthlyFAME!J278)</f>
        <v>804.2</v>
      </c>
      <c r="J276" s="24"/>
      <c r="K276" s="21">
        <f>IF(MonthlyFAME!L278=0,"",MonthlyFAME!L278)</f>
        <v>104.298594009659</v>
      </c>
      <c r="L276" s="21">
        <f>IF(MonthlyFAME!M278=0,"",MonthlyFAME!M278)</f>
        <v>2554.4</v>
      </c>
      <c r="M276" s="21" t="str">
        <f>IF(MonthlyFAME!N278=0,"",MonthlyFAME!N278)</f>
        <v/>
      </c>
      <c r="N276" s="21" t="str">
        <f>IF(MonthlyFAME!O278=0,"",MonthlyFAME!O278)</f>
        <v/>
      </c>
      <c r="O276" s="21" t="str">
        <f>IF(MonthlyFAME!P278=0,"",MonthlyFAME!P278)</f>
        <v/>
      </c>
      <c r="P276" s="21" t="str">
        <f>IF(MonthlyFAME!Q278=0,"",MonthlyFAME!Q278)</f>
        <v/>
      </c>
      <c r="Q276" s="21" t="str">
        <f>IF(MonthlyFAME!R278=0,"",MonthlyFAME!R278)</f>
        <v/>
      </c>
      <c r="R276" s="21" t="str">
        <f>IF(MonthlyFAME!S278=0,"",MonthlyFAME!S278)</f>
        <v/>
      </c>
      <c r="S276" s="21" t="str">
        <f>IF(MonthlyFAME!T278=0,"",MonthlyFAME!T278)</f>
        <v/>
      </c>
      <c r="T276" s="21" t="str">
        <f>IF(MonthlyFAME!U278=0,"",MonthlyFAME!U278)</f>
        <v/>
      </c>
    </row>
    <row r="277" spans="1:20" x14ac:dyDescent="0.2">
      <c r="A277" s="23">
        <f>IF(MonthlyFAME!A279=0,"",MonthlyFAME!A279)</f>
        <v>30224</v>
      </c>
      <c r="B277" s="21" t="str">
        <f>IF(MonthlyFAME!B279=0,"",MonthlyFAME!B279)</f>
        <v/>
      </c>
      <c r="C277" s="21">
        <f>IF(MonthlyFAME!C279=0,"",MonthlyFAME!C279)</f>
        <v>60.9</v>
      </c>
      <c r="D277" s="21" t="str">
        <f>IF(MonthlyFAME!D279=0,"",MonthlyFAME!D279)</f>
        <v/>
      </c>
      <c r="E277" s="21">
        <f>IF(MonthlyFAME!F279=0,"",MonthlyFAME!F279)</f>
        <v>6447</v>
      </c>
      <c r="F277" s="21">
        <f>IF(MonthlyFAME!G279=0,"",MonthlyFAME!G279)</f>
        <v>6087</v>
      </c>
      <c r="G277" s="21">
        <f>IF(MonthlyFAME!H279=0,"",MonthlyFAME!H279)</f>
        <v>10.810508246884096</v>
      </c>
      <c r="H277" s="21">
        <f>IF(MonthlyFAME!I279=0,"",MonthlyFAME!I279)</f>
        <v>23901</v>
      </c>
      <c r="I277" s="21">
        <f>IF(MonthlyFAME!J279=0,"",MonthlyFAME!J279)</f>
        <v>802.2</v>
      </c>
      <c r="J277" s="24"/>
      <c r="K277" s="21">
        <f>IF(MonthlyFAME!L279=0,"",MonthlyFAME!L279)</f>
        <v>104.47070912479199</v>
      </c>
      <c r="L277" s="21">
        <f>IF(MonthlyFAME!M279=0,"",MonthlyFAME!M279)</f>
        <v>2582.6999999999998</v>
      </c>
      <c r="M277" s="21" t="str">
        <f>IF(MonthlyFAME!N279=0,"",MonthlyFAME!N279)</f>
        <v/>
      </c>
      <c r="N277" s="21" t="str">
        <f>IF(MonthlyFAME!O279=0,"",MonthlyFAME!O279)</f>
        <v/>
      </c>
      <c r="O277" s="21" t="str">
        <f>IF(MonthlyFAME!P279=0,"",MonthlyFAME!P279)</f>
        <v/>
      </c>
      <c r="P277" s="21" t="str">
        <f>IF(MonthlyFAME!Q279=0,"",MonthlyFAME!Q279)</f>
        <v/>
      </c>
      <c r="Q277" s="21" t="str">
        <f>IF(MonthlyFAME!R279=0,"",MonthlyFAME!R279)</f>
        <v/>
      </c>
      <c r="R277" s="21" t="str">
        <f>IF(MonthlyFAME!S279=0,"",MonthlyFAME!S279)</f>
        <v/>
      </c>
      <c r="S277" s="21" t="str">
        <f>IF(MonthlyFAME!T279=0,"",MonthlyFAME!T279)</f>
        <v/>
      </c>
      <c r="T277" s="21" t="str">
        <f>IF(MonthlyFAME!U279=0,"",MonthlyFAME!U279)</f>
        <v/>
      </c>
    </row>
    <row r="278" spans="1:20" x14ac:dyDescent="0.2">
      <c r="A278" s="23">
        <f>IF(MonthlyFAME!A280=0,"",MonthlyFAME!A280)</f>
        <v>30255</v>
      </c>
      <c r="B278" s="21" t="str">
        <f>IF(MonthlyFAME!B280=0,"",MonthlyFAME!B280)</f>
        <v/>
      </c>
      <c r="C278" s="21">
        <f>IF(MonthlyFAME!C280=0,"",MonthlyFAME!C280)</f>
        <v>60.5</v>
      </c>
      <c r="D278" s="21" t="str">
        <f>IF(MonthlyFAME!D280=0,"",MonthlyFAME!D280)</f>
        <v/>
      </c>
      <c r="E278" s="21">
        <f>IF(MonthlyFAME!F280=0,"",MonthlyFAME!F280)</f>
        <v>6234</v>
      </c>
      <c r="F278" s="21">
        <f>IF(MonthlyFAME!G280=0,"",MonthlyFAME!G280)</f>
        <v>5853</v>
      </c>
      <c r="G278" s="21">
        <f>IF(MonthlyFAME!H280=0,"",MonthlyFAME!H280)</f>
        <v>10.896933019537524</v>
      </c>
      <c r="H278" s="21">
        <f>IF(MonthlyFAME!I280=0,"",MonthlyFAME!I280)</f>
        <v>23852</v>
      </c>
      <c r="I278" s="21">
        <f>IF(MonthlyFAME!J280=0,"",MonthlyFAME!J280)</f>
        <v>800.2</v>
      </c>
      <c r="J278" s="24"/>
      <c r="K278" s="21">
        <f>IF(MonthlyFAME!L280=0,"",MonthlyFAME!L280)</f>
        <v>104.98323113115001</v>
      </c>
      <c r="L278" s="21">
        <f>IF(MonthlyFAME!M280=0,"",MonthlyFAME!M280)</f>
        <v>2616</v>
      </c>
      <c r="M278" s="21" t="str">
        <f>IF(MonthlyFAME!N280=0,"",MonthlyFAME!N280)</f>
        <v/>
      </c>
      <c r="N278" s="21" t="str">
        <f>IF(MonthlyFAME!O280=0,"",MonthlyFAME!O280)</f>
        <v/>
      </c>
      <c r="O278" s="21" t="str">
        <f>IF(MonthlyFAME!P280=0,"",MonthlyFAME!P280)</f>
        <v/>
      </c>
      <c r="P278" s="21" t="str">
        <f>IF(MonthlyFAME!Q280=0,"",MonthlyFAME!Q280)</f>
        <v/>
      </c>
      <c r="Q278" s="21" t="str">
        <f>IF(MonthlyFAME!R280=0,"",MonthlyFAME!R280)</f>
        <v/>
      </c>
      <c r="R278" s="21" t="str">
        <f>IF(MonthlyFAME!S280=0,"",MonthlyFAME!S280)</f>
        <v/>
      </c>
      <c r="S278" s="21" t="str">
        <f>IF(MonthlyFAME!T280=0,"",MonthlyFAME!T280)</f>
        <v/>
      </c>
      <c r="T278" s="21" t="str">
        <f>IF(MonthlyFAME!U280=0,"",MonthlyFAME!U280)</f>
        <v/>
      </c>
    </row>
    <row r="279" spans="1:20" x14ac:dyDescent="0.2">
      <c r="A279" s="23">
        <f>IF(MonthlyFAME!A281=0,"",MonthlyFAME!A281)</f>
        <v>30285</v>
      </c>
      <c r="B279" s="21" t="str">
        <f>IF(MonthlyFAME!B281=0,"",MonthlyFAME!B281)</f>
        <v/>
      </c>
      <c r="C279" s="21">
        <f>IF(MonthlyFAME!C281=0,"",MonthlyFAME!C281)</f>
        <v>59.5</v>
      </c>
      <c r="D279" s="21" t="str">
        <f>IF(MonthlyFAME!D281=0,"",MonthlyFAME!D281)</f>
        <v/>
      </c>
      <c r="E279" s="21">
        <f>IF(MonthlyFAME!F281=0,"",MonthlyFAME!F281)</f>
        <v>6460</v>
      </c>
      <c r="F279" s="21">
        <f>IF(MonthlyFAME!G281=0,"",MonthlyFAME!G281)</f>
        <v>5920</v>
      </c>
      <c r="G279" s="21">
        <f>IF(MonthlyFAME!H281=0,"",MonthlyFAME!H281)</f>
        <v>10.986874088478366</v>
      </c>
      <c r="H279" s="21">
        <f>IF(MonthlyFAME!I281=0,"",MonthlyFAME!I281)</f>
        <v>23803</v>
      </c>
      <c r="I279" s="21">
        <f>IF(MonthlyFAME!J281=0,"",MonthlyFAME!J281)</f>
        <v>798.2</v>
      </c>
      <c r="J279" s="24"/>
      <c r="K279" s="21">
        <f>IF(MonthlyFAME!L281=0,"",MonthlyFAME!L281)</f>
        <v>106.48536063142301</v>
      </c>
      <c r="L279" s="21">
        <f>IF(MonthlyFAME!M281=0,"",MonthlyFAME!M281)</f>
        <v>2642.6</v>
      </c>
      <c r="M279" s="21" t="str">
        <f>IF(MonthlyFAME!N281=0,"",MonthlyFAME!N281)</f>
        <v/>
      </c>
      <c r="N279" s="21" t="str">
        <f>IF(MonthlyFAME!O281=0,"",MonthlyFAME!O281)</f>
        <v/>
      </c>
      <c r="O279" s="21" t="str">
        <f>IF(MonthlyFAME!P281=0,"",MonthlyFAME!P281)</f>
        <v/>
      </c>
      <c r="P279" s="21" t="str">
        <f>IF(MonthlyFAME!Q281=0,"",MonthlyFAME!Q281)</f>
        <v/>
      </c>
      <c r="Q279" s="21" t="str">
        <f>IF(MonthlyFAME!R281=0,"",MonthlyFAME!R281)</f>
        <v/>
      </c>
      <c r="R279" s="21" t="str">
        <f>IF(MonthlyFAME!S281=0,"",MonthlyFAME!S281)</f>
        <v/>
      </c>
      <c r="S279" s="21" t="str">
        <f>IF(MonthlyFAME!T281=0,"",MonthlyFAME!T281)</f>
        <v/>
      </c>
      <c r="T279" s="21" t="str">
        <f>IF(MonthlyFAME!U281=0,"",MonthlyFAME!U281)</f>
        <v/>
      </c>
    </row>
    <row r="280" spans="1:20" x14ac:dyDescent="0.2">
      <c r="A280" s="23">
        <f>IF(MonthlyFAME!A282=0,"",MonthlyFAME!A282)</f>
        <v>30316</v>
      </c>
      <c r="B280" s="21" t="str">
        <f>IF(MonthlyFAME!B282=0,"",MonthlyFAME!B282)</f>
        <v/>
      </c>
      <c r="C280" s="21">
        <f>IF(MonthlyFAME!C282=0,"",MonthlyFAME!C282)</f>
        <v>60.3</v>
      </c>
      <c r="D280" s="21" t="str">
        <f>IF(MonthlyFAME!D282=0,"",MonthlyFAME!D282)</f>
        <v/>
      </c>
      <c r="E280" s="21">
        <f>IF(MonthlyFAME!F282=0,"",MonthlyFAME!F282)</f>
        <v>6334</v>
      </c>
      <c r="F280" s="21">
        <f>IF(MonthlyFAME!G282=0,"",MonthlyFAME!G282)</f>
        <v>6066</v>
      </c>
      <c r="G280" s="21">
        <f>IF(MonthlyFAME!H282=0,"",MonthlyFAME!H282)</f>
        <v>11.079917649260715</v>
      </c>
      <c r="H280" s="21">
        <f>IF(MonthlyFAME!I282=0,"",MonthlyFAME!I282)</f>
        <v>23755</v>
      </c>
      <c r="I280" s="21">
        <f>IF(MonthlyFAME!J282=0,"",MonthlyFAME!J282)</f>
        <v>796.3</v>
      </c>
      <c r="J280" s="24"/>
      <c r="K280" s="21">
        <f>IF(MonthlyFAME!L282=0,"",MonthlyFAME!L282)</f>
        <v>106.62782780880001</v>
      </c>
      <c r="L280" s="21">
        <f>IF(MonthlyFAME!M282=0,"",MonthlyFAME!M282)</f>
        <v>2673.7</v>
      </c>
      <c r="M280" s="21" t="str">
        <f>IF(MonthlyFAME!N282=0,"",MonthlyFAME!N282)</f>
        <v/>
      </c>
      <c r="N280" s="21" t="str">
        <f>IF(MonthlyFAME!O282=0,"",MonthlyFAME!O282)</f>
        <v/>
      </c>
      <c r="O280" s="21" t="str">
        <f>IF(MonthlyFAME!P282=0,"",MonthlyFAME!P282)</f>
        <v/>
      </c>
      <c r="P280" s="21" t="str">
        <f>IF(MonthlyFAME!Q282=0,"",MonthlyFAME!Q282)</f>
        <v/>
      </c>
      <c r="Q280" s="21" t="str">
        <f>IF(MonthlyFAME!R282=0,"",MonthlyFAME!R282)</f>
        <v/>
      </c>
      <c r="R280" s="21" t="str">
        <f>IF(MonthlyFAME!S282=0,"",MonthlyFAME!S282)</f>
        <v/>
      </c>
      <c r="S280" s="21" t="str">
        <f>IF(MonthlyFAME!T282=0,"",MonthlyFAME!T282)</f>
        <v/>
      </c>
      <c r="T280" s="21" t="str">
        <f>IF(MonthlyFAME!U282=0,"",MonthlyFAME!U282)</f>
        <v/>
      </c>
    </row>
    <row r="281" spans="1:20" x14ac:dyDescent="0.2">
      <c r="A281" s="23">
        <f>IF(MonthlyFAME!A283=0,"",MonthlyFAME!A283)</f>
        <v>30347</v>
      </c>
      <c r="B281" s="21" t="str">
        <f>IF(MonthlyFAME!B283=0,"",MonthlyFAME!B283)</f>
        <v/>
      </c>
      <c r="C281" s="21">
        <f>IF(MonthlyFAME!C283=0,"",MonthlyFAME!C283)</f>
        <v>61</v>
      </c>
      <c r="D281" s="21" t="str">
        <f>IF(MonthlyFAME!D283=0,"",MonthlyFAME!D283)</f>
        <v/>
      </c>
      <c r="E281" s="21">
        <f>IF(MonthlyFAME!F283=0,"",MonthlyFAME!F283)</f>
        <v>6123</v>
      </c>
      <c r="F281" s="21">
        <f>IF(MonthlyFAME!G283=0,"",MonthlyFAME!G283)</f>
        <v>6526</v>
      </c>
      <c r="G281" s="21">
        <f>IF(MonthlyFAME!H283=0,"",MonthlyFAME!H283)</f>
        <v>11.151079136690647</v>
      </c>
      <c r="H281" s="21">
        <f>IF(MonthlyFAME!I283=0,"",MonthlyFAME!I283)</f>
        <v>23712</v>
      </c>
      <c r="I281" s="21">
        <f>IF(MonthlyFAME!J283=0,"",MonthlyFAME!J283)</f>
        <v>794.5</v>
      </c>
      <c r="J281" s="24"/>
      <c r="K281" s="21">
        <f>IF(MonthlyFAME!L283=0,"",MonthlyFAME!L283)</f>
        <v>108.22208799886501</v>
      </c>
      <c r="L281" s="21">
        <f>IF(MonthlyFAME!M283=0,"",MonthlyFAME!M283)</f>
        <v>2691</v>
      </c>
      <c r="M281" s="21" t="str">
        <f>IF(MonthlyFAME!N283=0,"",MonthlyFAME!N283)</f>
        <v/>
      </c>
      <c r="N281" s="21" t="str">
        <f>IF(MonthlyFAME!O283=0,"",MonthlyFAME!O283)</f>
        <v/>
      </c>
      <c r="O281" s="21" t="str">
        <f>IF(MonthlyFAME!P283=0,"",MonthlyFAME!P283)</f>
        <v/>
      </c>
      <c r="P281" s="21" t="str">
        <f>IF(MonthlyFAME!Q283=0,"",MonthlyFAME!Q283)</f>
        <v/>
      </c>
      <c r="Q281" s="21" t="str">
        <f>IF(MonthlyFAME!R283=0,"",MonthlyFAME!R283)</f>
        <v/>
      </c>
      <c r="R281" s="21" t="str">
        <f>IF(MonthlyFAME!S283=0,"",MonthlyFAME!S283)</f>
        <v/>
      </c>
      <c r="S281" s="21" t="str">
        <f>IF(MonthlyFAME!T283=0,"",MonthlyFAME!T283)</f>
        <v/>
      </c>
      <c r="T281" s="21" t="str">
        <f>IF(MonthlyFAME!U283=0,"",MonthlyFAME!U283)</f>
        <v/>
      </c>
    </row>
    <row r="282" spans="1:20" x14ac:dyDescent="0.2">
      <c r="A282" s="23">
        <f>IF(MonthlyFAME!A284=0,"",MonthlyFAME!A284)</f>
        <v>30375</v>
      </c>
      <c r="B282" s="21" t="str">
        <f>IF(MonthlyFAME!B284=0,"",MonthlyFAME!B284)</f>
        <v/>
      </c>
      <c r="C282" s="21">
        <f>IF(MonthlyFAME!C284=0,"",MonthlyFAME!C284)</f>
        <v>62</v>
      </c>
      <c r="D282" s="21" t="str">
        <f>IF(MonthlyFAME!D284=0,"",MonthlyFAME!D284)</f>
        <v/>
      </c>
      <c r="E282" s="21">
        <f>IF(MonthlyFAME!F284=0,"",MonthlyFAME!F284)</f>
        <v>6206</v>
      </c>
      <c r="F282" s="21">
        <f>IF(MonthlyFAME!G284=0,"",MonthlyFAME!G284)</f>
        <v>6328</v>
      </c>
      <c r="G282" s="21">
        <f>IF(MonthlyFAME!H284=0,"",MonthlyFAME!H284)</f>
        <v>11.206540899373664</v>
      </c>
      <c r="H282" s="21">
        <f>IF(MonthlyFAME!I284=0,"",MonthlyFAME!I284)</f>
        <v>23675</v>
      </c>
      <c r="I282" s="21">
        <f>IF(MonthlyFAME!J284=0,"",MonthlyFAME!J284)</f>
        <v>792.9</v>
      </c>
      <c r="J282" s="24"/>
      <c r="K282" s="21">
        <f>IF(MonthlyFAME!L284=0,"",MonthlyFAME!L284)</f>
        <v>109.686014695872</v>
      </c>
      <c r="L282" s="21">
        <f>IF(MonthlyFAME!M284=0,"",MonthlyFAME!M284)</f>
        <v>2699.8</v>
      </c>
      <c r="M282" s="21" t="str">
        <f>IF(MonthlyFAME!N284=0,"",MonthlyFAME!N284)</f>
        <v/>
      </c>
      <c r="N282" s="21" t="str">
        <f>IF(MonthlyFAME!O284=0,"",MonthlyFAME!O284)</f>
        <v/>
      </c>
      <c r="O282" s="21" t="str">
        <f>IF(MonthlyFAME!P284=0,"",MonthlyFAME!P284)</f>
        <v/>
      </c>
      <c r="P282" s="21" t="str">
        <f>IF(MonthlyFAME!Q284=0,"",MonthlyFAME!Q284)</f>
        <v/>
      </c>
      <c r="Q282" s="21" t="str">
        <f>IF(MonthlyFAME!R284=0,"",MonthlyFAME!R284)</f>
        <v/>
      </c>
      <c r="R282" s="21" t="str">
        <f>IF(MonthlyFAME!S284=0,"",MonthlyFAME!S284)</f>
        <v/>
      </c>
      <c r="S282" s="21" t="str">
        <f>IF(MonthlyFAME!T284=0,"",MonthlyFAME!T284)</f>
        <v/>
      </c>
      <c r="T282" s="21" t="str">
        <f>IF(MonthlyFAME!U284=0,"",MonthlyFAME!U284)</f>
        <v/>
      </c>
    </row>
    <row r="283" spans="1:20" x14ac:dyDescent="0.2">
      <c r="A283" s="23">
        <f>IF(MonthlyFAME!A285=0,"",MonthlyFAME!A285)</f>
        <v>30406</v>
      </c>
      <c r="B283" s="21" t="str">
        <f>IF(MonthlyFAME!B285=0,"",MonthlyFAME!B285)</f>
        <v/>
      </c>
      <c r="C283" s="21">
        <f>IF(MonthlyFAME!C285=0,"",MonthlyFAME!C285)</f>
        <v>61.1</v>
      </c>
      <c r="D283" s="21" t="str">
        <f>IF(MonthlyFAME!D285=0,"",MonthlyFAME!D285)</f>
        <v/>
      </c>
      <c r="E283" s="21">
        <f>IF(MonthlyFAME!F285=0,"",MonthlyFAME!F285)</f>
        <v>6453</v>
      </c>
      <c r="F283" s="21">
        <f>IF(MonthlyFAME!G285=0,"",MonthlyFAME!G285)</f>
        <v>6165</v>
      </c>
      <c r="G283" s="21">
        <f>IF(MonthlyFAME!H285=0,"",MonthlyFAME!H285)</f>
        <v>11.249953093924725</v>
      </c>
      <c r="H283" s="21">
        <f>IF(MonthlyFAME!I285=0,"",MonthlyFAME!I285)</f>
        <v>23651</v>
      </c>
      <c r="I283" s="21">
        <f>IF(MonthlyFAME!J285=0,"",MonthlyFAME!J285)</f>
        <v>791.7</v>
      </c>
      <c r="J283" s="24"/>
      <c r="K283" s="21">
        <f>IF(MonthlyFAME!L285=0,"",MonthlyFAME!L285)</f>
        <v>109.589161455325</v>
      </c>
      <c r="L283" s="21">
        <f>IF(MonthlyFAME!M285=0,"",MonthlyFAME!M285)</f>
        <v>2723.4</v>
      </c>
      <c r="M283" s="21" t="str">
        <f>IF(MonthlyFAME!N285=0,"",MonthlyFAME!N285)</f>
        <v/>
      </c>
      <c r="N283" s="21" t="str">
        <f>IF(MonthlyFAME!O285=0,"",MonthlyFAME!O285)</f>
        <v/>
      </c>
      <c r="O283" s="21" t="str">
        <f>IF(MonthlyFAME!P285=0,"",MonthlyFAME!P285)</f>
        <v/>
      </c>
      <c r="P283" s="21" t="str">
        <f>IF(MonthlyFAME!Q285=0,"",MonthlyFAME!Q285)</f>
        <v/>
      </c>
      <c r="Q283" s="21" t="str">
        <f>IF(MonthlyFAME!R285=0,"",MonthlyFAME!R285)</f>
        <v/>
      </c>
      <c r="R283" s="21" t="str">
        <f>IF(MonthlyFAME!S285=0,"",MonthlyFAME!S285)</f>
        <v/>
      </c>
      <c r="S283" s="21" t="str">
        <f>IF(MonthlyFAME!T285=0,"",MonthlyFAME!T285)</f>
        <v/>
      </c>
      <c r="T283" s="21" t="str">
        <f>IF(MonthlyFAME!U285=0,"",MonthlyFAME!U285)</f>
        <v/>
      </c>
    </row>
    <row r="284" spans="1:20" x14ac:dyDescent="0.2">
      <c r="A284" s="23">
        <f>IF(MonthlyFAME!A286=0,"",MonthlyFAME!A286)</f>
        <v>30436</v>
      </c>
      <c r="B284" s="21" t="str">
        <f>IF(MonthlyFAME!B286=0,"",MonthlyFAME!B286)</f>
        <v/>
      </c>
      <c r="C284" s="21">
        <f>IF(MonthlyFAME!C286=0,"",MonthlyFAME!C286)</f>
        <v>61.8</v>
      </c>
      <c r="D284" s="21" t="str">
        <f>IF(MonthlyFAME!D286=0,"",MonthlyFAME!D286)</f>
        <v/>
      </c>
      <c r="E284" s="21">
        <f>IF(MonthlyFAME!F286=0,"",MonthlyFAME!F286)</f>
        <v>6120</v>
      </c>
      <c r="F284" s="21">
        <f>IF(MonthlyFAME!G286=0,"",MonthlyFAME!G286)</f>
        <v>6276</v>
      </c>
      <c r="G284" s="21">
        <f>IF(MonthlyFAME!H286=0,"",MonthlyFAME!H286)</f>
        <v>11.289596156733223</v>
      </c>
      <c r="H284" s="21">
        <f>IF(MonthlyFAME!I286=0,"",MonthlyFAME!I286)</f>
        <v>23636</v>
      </c>
      <c r="I284" s="21">
        <f>IF(MonthlyFAME!J286=0,"",MonthlyFAME!J286)</f>
        <v>791.1</v>
      </c>
      <c r="J284" s="24"/>
      <c r="K284" s="21">
        <f>IF(MonthlyFAME!L286=0,"",MonthlyFAME!L286)</f>
        <v>110.322989586952</v>
      </c>
      <c r="L284" s="21">
        <f>IF(MonthlyFAME!M286=0,"",MonthlyFAME!M286)</f>
        <v>2739.6</v>
      </c>
      <c r="M284" s="21" t="str">
        <f>IF(MonthlyFAME!N286=0,"",MonthlyFAME!N286)</f>
        <v/>
      </c>
      <c r="N284" s="21" t="str">
        <f>IF(MonthlyFAME!O286=0,"",MonthlyFAME!O286)</f>
        <v/>
      </c>
      <c r="O284" s="21" t="str">
        <f>IF(MonthlyFAME!P286=0,"",MonthlyFAME!P286)</f>
        <v/>
      </c>
      <c r="P284" s="21" t="str">
        <f>IF(MonthlyFAME!Q286=0,"",MonthlyFAME!Q286)</f>
        <v/>
      </c>
      <c r="Q284" s="21" t="str">
        <f>IF(MonthlyFAME!R286=0,"",MonthlyFAME!R286)</f>
        <v/>
      </c>
      <c r="R284" s="21" t="str">
        <f>IF(MonthlyFAME!S286=0,"",MonthlyFAME!S286)</f>
        <v/>
      </c>
      <c r="S284" s="21" t="str">
        <f>IF(MonthlyFAME!T286=0,"",MonthlyFAME!T286)</f>
        <v/>
      </c>
      <c r="T284" s="21" t="str">
        <f>IF(MonthlyFAME!U286=0,"",MonthlyFAME!U286)</f>
        <v/>
      </c>
    </row>
    <row r="285" spans="1:20" x14ac:dyDescent="0.2">
      <c r="A285" s="23">
        <f>IF(MonthlyFAME!A287=0,"",MonthlyFAME!A287)</f>
        <v>30467</v>
      </c>
      <c r="B285" s="21" t="str">
        <f>IF(MonthlyFAME!B287=0,"",MonthlyFAME!B287)</f>
        <v/>
      </c>
      <c r="C285" s="21">
        <f>IF(MonthlyFAME!C287=0,"",MonthlyFAME!C287)</f>
        <v>62.6</v>
      </c>
      <c r="D285" s="21" t="str">
        <f>IF(MonthlyFAME!D287=0,"",MonthlyFAME!D287)</f>
        <v/>
      </c>
      <c r="E285" s="21">
        <f>IF(MonthlyFAME!F287=0,"",MonthlyFAME!F287)</f>
        <v>6222</v>
      </c>
      <c r="F285" s="21">
        <f>IF(MonthlyFAME!G287=0,"",MonthlyFAME!G287)</f>
        <v>6698</v>
      </c>
      <c r="G285" s="21">
        <f>IF(MonthlyFAME!H287=0,"",MonthlyFAME!H287)</f>
        <v>11.342062807188684</v>
      </c>
      <c r="H285" s="21">
        <f>IF(MonthlyFAME!I287=0,"",MonthlyFAME!I287)</f>
        <v>23630</v>
      </c>
      <c r="I285" s="21">
        <f>IF(MonthlyFAME!J287=0,"",MonthlyFAME!J287)</f>
        <v>790.5</v>
      </c>
      <c r="J285" s="24"/>
      <c r="K285" s="21">
        <f>IF(MonthlyFAME!L287=0,"",MonthlyFAME!L287)</f>
        <v>111.646600801991</v>
      </c>
      <c r="L285" s="21">
        <f>IF(MonthlyFAME!M287=0,"",MonthlyFAME!M287)</f>
        <v>2756.5</v>
      </c>
      <c r="M285" s="21" t="str">
        <f>IF(MonthlyFAME!N287=0,"",MonthlyFAME!N287)</f>
        <v/>
      </c>
      <c r="N285" s="21" t="str">
        <f>IF(MonthlyFAME!O287=0,"",MonthlyFAME!O287)</f>
        <v/>
      </c>
      <c r="O285" s="21" t="str">
        <f>IF(MonthlyFAME!P287=0,"",MonthlyFAME!P287)</f>
        <v/>
      </c>
      <c r="P285" s="21" t="str">
        <f>IF(MonthlyFAME!Q287=0,"",MonthlyFAME!Q287)</f>
        <v/>
      </c>
      <c r="Q285" s="21" t="str">
        <f>IF(MonthlyFAME!R287=0,"",MonthlyFAME!R287)</f>
        <v/>
      </c>
      <c r="R285" s="21" t="str">
        <f>IF(MonthlyFAME!S287=0,"",MonthlyFAME!S287)</f>
        <v/>
      </c>
      <c r="S285" s="21" t="str">
        <f>IF(MonthlyFAME!T287=0,"",MonthlyFAME!T287)</f>
        <v/>
      </c>
      <c r="T285" s="21" t="str">
        <f>IF(MonthlyFAME!U287=0,"",MonthlyFAME!U287)</f>
        <v/>
      </c>
    </row>
    <row r="286" spans="1:20" x14ac:dyDescent="0.2">
      <c r="A286" s="23">
        <f>IF(MonthlyFAME!A288=0,"",MonthlyFAME!A288)</f>
        <v>30497</v>
      </c>
      <c r="B286" s="21" t="str">
        <f>IF(MonthlyFAME!B288=0,"",MonthlyFAME!B288)</f>
        <v/>
      </c>
      <c r="C286" s="21">
        <f>IF(MonthlyFAME!C288=0,"",MonthlyFAME!C288)</f>
        <v>61.6</v>
      </c>
      <c r="D286" s="21" t="str">
        <f>IF(MonthlyFAME!D288=0,"",MonthlyFAME!D288)</f>
        <v/>
      </c>
      <c r="E286" s="21">
        <f>IF(MonthlyFAME!F288=0,"",MonthlyFAME!F288)</f>
        <v>6491</v>
      </c>
      <c r="F286" s="21">
        <f>IF(MonthlyFAME!G288=0,"",MonthlyFAME!G288)</f>
        <v>6466</v>
      </c>
      <c r="G286" s="21">
        <f>IF(MonthlyFAME!H288=0,"",MonthlyFAME!H288)</f>
        <v>11.421186694635901</v>
      </c>
      <c r="H286" s="21">
        <f>IF(MonthlyFAME!I288=0,"",MonthlyFAME!I288)</f>
        <v>23647</v>
      </c>
      <c r="I286" s="21">
        <f>IF(MonthlyFAME!J288=0,"",MonthlyFAME!J288)</f>
        <v>790.8</v>
      </c>
      <c r="J286" s="24"/>
      <c r="K286" s="21">
        <f>IF(MonthlyFAME!L288=0,"",MonthlyFAME!L288)</f>
        <v>112.213107887897</v>
      </c>
      <c r="L286" s="21">
        <f>IF(MonthlyFAME!M288=0,"",MonthlyFAME!M288)</f>
        <v>2779.9</v>
      </c>
      <c r="M286" s="21" t="str">
        <f>IF(MonthlyFAME!N288=0,"",MonthlyFAME!N288)</f>
        <v/>
      </c>
      <c r="N286" s="21" t="str">
        <f>IF(MonthlyFAME!O288=0,"",MonthlyFAME!O288)</f>
        <v/>
      </c>
      <c r="O286" s="21" t="str">
        <f>IF(MonthlyFAME!P288=0,"",MonthlyFAME!P288)</f>
        <v/>
      </c>
      <c r="P286" s="21" t="str">
        <f>IF(MonthlyFAME!Q288=0,"",MonthlyFAME!Q288)</f>
        <v/>
      </c>
      <c r="Q286" s="21" t="str">
        <f>IF(MonthlyFAME!R288=0,"",MonthlyFAME!R288)</f>
        <v/>
      </c>
      <c r="R286" s="21" t="str">
        <f>IF(MonthlyFAME!S288=0,"",MonthlyFAME!S288)</f>
        <v/>
      </c>
      <c r="S286" s="21" t="str">
        <f>IF(MonthlyFAME!T288=0,"",MonthlyFAME!T288)</f>
        <v/>
      </c>
      <c r="T286" s="21" t="str">
        <f>IF(MonthlyFAME!U288=0,"",MonthlyFAME!U288)</f>
        <v/>
      </c>
    </row>
    <row r="287" spans="1:20" x14ac:dyDescent="0.2">
      <c r="A287" s="23">
        <f>IF(MonthlyFAME!A289=0,"",MonthlyFAME!A289)</f>
        <v>30528</v>
      </c>
      <c r="B287" s="21" t="str">
        <f>IF(MonthlyFAME!B289=0,"",MonthlyFAME!B289)</f>
        <v/>
      </c>
      <c r="C287" s="21">
        <f>IF(MonthlyFAME!C289=0,"",MonthlyFAME!C289)</f>
        <v>62.7</v>
      </c>
      <c r="D287" s="21" t="str">
        <f>IF(MonthlyFAME!D289=0,"",MonthlyFAME!D289)</f>
        <v/>
      </c>
      <c r="E287" s="21">
        <f>IF(MonthlyFAME!F289=0,"",MonthlyFAME!F289)</f>
        <v>6230</v>
      </c>
      <c r="F287" s="21">
        <f>IF(MonthlyFAME!G289=0,"",MonthlyFAME!G289)</f>
        <v>6582</v>
      </c>
      <c r="G287" s="21">
        <f>IF(MonthlyFAME!H289=0,"",MonthlyFAME!H289)</f>
        <v>11.486865214304398</v>
      </c>
      <c r="H287" s="21">
        <f>IF(MonthlyFAME!I289=0,"",MonthlyFAME!I289)</f>
        <v>23687</v>
      </c>
      <c r="I287" s="21">
        <f>IF(MonthlyFAME!J289=0,"",MonthlyFAME!J289)</f>
        <v>792</v>
      </c>
      <c r="J287" s="24"/>
      <c r="K287" s="21">
        <f>IF(MonthlyFAME!L289=0,"",MonthlyFAME!L289)</f>
        <v>112.958038216421</v>
      </c>
      <c r="L287" s="21">
        <f>IF(MonthlyFAME!M289=0,"",MonthlyFAME!M289)</f>
        <v>2782.6</v>
      </c>
      <c r="M287" s="21" t="str">
        <f>IF(MonthlyFAME!N289=0,"",MonthlyFAME!N289)</f>
        <v/>
      </c>
      <c r="N287" s="21" t="str">
        <f>IF(MonthlyFAME!O289=0,"",MonthlyFAME!O289)</f>
        <v/>
      </c>
      <c r="O287" s="21" t="str">
        <f>IF(MonthlyFAME!P289=0,"",MonthlyFAME!P289)</f>
        <v/>
      </c>
      <c r="P287" s="21" t="str">
        <f>IF(MonthlyFAME!Q289=0,"",MonthlyFAME!Q289)</f>
        <v/>
      </c>
      <c r="Q287" s="21" t="str">
        <f>IF(MonthlyFAME!R289=0,"",MonthlyFAME!R289)</f>
        <v/>
      </c>
      <c r="R287" s="21" t="str">
        <f>IF(MonthlyFAME!S289=0,"",MonthlyFAME!S289)</f>
        <v/>
      </c>
      <c r="S287" s="21" t="str">
        <f>IF(MonthlyFAME!T289=0,"",MonthlyFAME!T289)</f>
        <v/>
      </c>
      <c r="T287" s="21" t="str">
        <f>IF(MonthlyFAME!U289=0,"",MonthlyFAME!U289)</f>
        <v/>
      </c>
    </row>
    <row r="288" spans="1:20" x14ac:dyDescent="0.2">
      <c r="A288" s="23">
        <f>IF(MonthlyFAME!A290=0,"",MonthlyFAME!A290)</f>
        <v>30559</v>
      </c>
      <c r="B288" s="21" t="str">
        <f>IF(MonthlyFAME!B290=0,"",MonthlyFAME!B290)</f>
        <v/>
      </c>
      <c r="C288" s="21">
        <f>IF(MonthlyFAME!C290=0,"",MonthlyFAME!C290)</f>
        <v>62.7</v>
      </c>
      <c r="D288" s="21" t="str">
        <f>IF(MonthlyFAME!D290=0,"",MonthlyFAME!D290)</f>
        <v/>
      </c>
      <c r="E288" s="21">
        <f>IF(MonthlyFAME!F290=0,"",MonthlyFAME!F290)</f>
        <v>6534</v>
      </c>
      <c r="F288" s="21">
        <f>IF(MonthlyFAME!G290=0,"",MonthlyFAME!G290)</f>
        <v>6502</v>
      </c>
      <c r="G288" s="21">
        <f>IF(MonthlyFAME!H290=0,"",MonthlyFAME!H290)</f>
        <v>11.526421703808602</v>
      </c>
      <c r="H288" s="21">
        <f>IF(MonthlyFAME!I290=0,"",MonthlyFAME!I290)</f>
        <v>23741</v>
      </c>
      <c r="I288" s="21">
        <f>IF(MonthlyFAME!J290=0,"",MonthlyFAME!J290)</f>
        <v>793.8</v>
      </c>
      <c r="J288" s="24"/>
      <c r="K288" s="21">
        <f>IF(MonthlyFAME!L290=0,"",MonthlyFAME!L290)</f>
        <v>113.387203296471</v>
      </c>
      <c r="L288" s="21">
        <f>IF(MonthlyFAME!M290=0,"",MonthlyFAME!M290)</f>
        <v>2774</v>
      </c>
      <c r="M288" s="21" t="str">
        <f>IF(MonthlyFAME!N290=0,"",MonthlyFAME!N290)</f>
        <v/>
      </c>
      <c r="N288" s="21" t="str">
        <f>IF(MonthlyFAME!O290=0,"",MonthlyFAME!O290)</f>
        <v/>
      </c>
      <c r="O288" s="21" t="str">
        <f>IF(MonthlyFAME!P290=0,"",MonthlyFAME!P290)</f>
        <v/>
      </c>
      <c r="P288" s="21" t="str">
        <f>IF(MonthlyFAME!Q290=0,"",MonthlyFAME!Q290)</f>
        <v/>
      </c>
      <c r="Q288" s="21" t="str">
        <f>IF(MonthlyFAME!R290=0,"",MonthlyFAME!R290)</f>
        <v/>
      </c>
      <c r="R288" s="21" t="str">
        <f>IF(MonthlyFAME!S290=0,"",MonthlyFAME!S290)</f>
        <v/>
      </c>
      <c r="S288" s="21" t="str">
        <f>IF(MonthlyFAME!T290=0,"",MonthlyFAME!T290)</f>
        <v/>
      </c>
      <c r="T288" s="21" t="str">
        <f>IF(MonthlyFAME!U290=0,"",MonthlyFAME!U290)</f>
        <v/>
      </c>
    </row>
    <row r="289" spans="1:20" x14ac:dyDescent="0.2">
      <c r="A289" s="23">
        <f>IF(MonthlyFAME!A291=0,"",MonthlyFAME!A291)</f>
        <v>30589</v>
      </c>
      <c r="B289" s="21" t="str">
        <f>IF(MonthlyFAME!B291=0,"",MonthlyFAME!B291)</f>
        <v/>
      </c>
      <c r="C289" s="21">
        <f>IF(MonthlyFAME!C291=0,"",MonthlyFAME!C291)</f>
        <v>63</v>
      </c>
      <c r="D289" s="21" t="str">
        <f>IF(MonthlyFAME!D291=0,"",MonthlyFAME!D291)</f>
        <v/>
      </c>
      <c r="E289" s="21">
        <f>IF(MonthlyFAME!F291=0,"",MonthlyFAME!F291)</f>
        <v>6512</v>
      </c>
      <c r="F289" s="21">
        <f>IF(MonthlyFAME!G291=0,"",MonthlyFAME!G291)</f>
        <v>6517</v>
      </c>
      <c r="G289" s="21">
        <f>IF(MonthlyFAME!H291=0,"",MonthlyFAME!H291)</f>
        <v>11.549892265398618</v>
      </c>
      <c r="H289" s="21">
        <f>IF(MonthlyFAME!I291=0,"",MonthlyFAME!I291)</f>
        <v>23809</v>
      </c>
      <c r="I289" s="21">
        <f>IF(MonthlyFAME!J291=0,"",MonthlyFAME!J291)</f>
        <v>796.1</v>
      </c>
      <c r="J289" s="24"/>
      <c r="K289" s="21">
        <f>IF(MonthlyFAME!L291=0,"",MonthlyFAME!L291)</f>
        <v>113.792265052734</v>
      </c>
      <c r="L289" s="21">
        <f>IF(MonthlyFAME!M291=0,"",MonthlyFAME!M291)</f>
        <v>2787.8</v>
      </c>
      <c r="M289" s="21" t="str">
        <f>IF(MonthlyFAME!N291=0,"",MonthlyFAME!N291)</f>
        <v/>
      </c>
      <c r="N289" s="21" t="str">
        <f>IF(MonthlyFAME!O291=0,"",MonthlyFAME!O291)</f>
        <v/>
      </c>
      <c r="O289" s="21" t="str">
        <f>IF(MonthlyFAME!P291=0,"",MonthlyFAME!P291)</f>
        <v/>
      </c>
      <c r="P289" s="21" t="str">
        <f>IF(MonthlyFAME!Q291=0,"",MonthlyFAME!Q291)</f>
        <v/>
      </c>
      <c r="Q289" s="21" t="str">
        <f>IF(MonthlyFAME!R291=0,"",MonthlyFAME!R291)</f>
        <v/>
      </c>
      <c r="R289" s="21" t="str">
        <f>IF(MonthlyFAME!S291=0,"",MonthlyFAME!S291)</f>
        <v/>
      </c>
      <c r="S289" s="21" t="str">
        <f>IF(MonthlyFAME!T291=0,"",MonthlyFAME!T291)</f>
        <v/>
      </c>
      <c r="T289" s="21" t="str">
        <f>IF(MonthlyFAME!U291=0,"",MonthlyFAME!U291)</f>
        <v/>
      </c>
    </row>
    <row r="290" spans="1:20" x14ac:dyDescent="0.2">
      <c r="A290" s="23">
        <f>IF(MonthlyFAME!A292=0,"",MonthlyFAME!A292)</f>
        <v>30620</v>
      </c>
      <c r="B290" s="21" t="str">
        <f>IF(MonthlyFAME!B292=0,"",MonthlyFAME!B292)</f>
        <v/>
      </c>
      <c r="C290" s="21">
        <f>IF(MonthlyFAME!C292=0,"",MonthlyFAME!C292)</f>
        <v>63.6</v>
      </c>
      <c r="D290" s="21" t="str">
        <f>IF(MonthlyFAME!D292=0,"",MonthlyFAME!D292)</f>
        <v/>
      </c>
      <c r="E290" s="21">
        <f>IF(MonthlyFAME!F292=0,"",MonthlyFAME!F292)</f>
        <v>6457</v>
      </c>
      <c r="F290" s="21">
        <f>IF(MonthlyFAME!G292=0,"",MonthlyFAME!G292)</f>
        <v>6994</v>
      </c>
      <c r="G290" s="21">
        <f>IF(MonthlyFAME!H292=0,"",MonthlyFAME!H292)</f>
        <v>11.572359650422159</v>
      </c>
      <c r="H290" s="21">
        <f>IF(MonthlyFAME!I292=0,"",MonthlyFAME!I292)</f>
        <v>23879</v>
      </c>
      <c r="I290" s="21">
        <f>IF(MonthlyFAME!J292=0,"",MonthlyFAME!J292)</f>
        <v>798.6</v>
      </c>
      <c r="J290" s="24"/>
      <c r="K290" s="21">
        <f>IF(MonthlyFAME!L292=0,"",MonthlyFAME!L292)</f>
        <v>114.437972703358</v>
      </c>
      <c r="L290" s="21">
        <f>IF(MonthlyFAME!M292=0,"",MonthlyFAME!M292)</f>
        <v>2792.5</v>
      </c>
      <c r="M290" s="21" t="str">
        <f>IF(MonthlyFAME!N292=0,"",MonthlyFAME!N292)</f>
        <v/>
      </c>
      <c r="N290" s="21" t="str">
        <f>IF(MonthlyFAME!O292=0,"",MonthlyFAME!O292)</f>
        <v/>
      </c>
      <c r="O290" s="21" t="str">
        <f>IF(MonthlyFAME!P292=0,"",MonthlyFAME!P292)</f>
        <v/>
      </c>
      <c r="P290" s="21" t="str">
        <f>IF(MonthlyFAME!Q292=0,"",MonthlyFAME!Q292)</f>
        <v/>
      </c>
      <c r="Q290" s="21" t="str">
        <f>IF(MonthlyFAME!R292=0,"",MonthlyFAME!R292)</f>
        <v/>
      </c>
      <c r="R290" s="21" t="str">
        <f>IF(MonthlyFAME!S292=0,"",MonthlyFAME!S292)</f>
        <v/>
      </c>
      <c r="S290" s="21" t="str">
        <f>IF(MonthlyFAME!T292=0,"",MonthlyFAME!T292)</f>
        <v/>
      </c>
      <c r="T290" s="21" t="str">
        <f>IF(MonthlyFAME!U292=0,"",MonthlyFAME!U292)</f>
        <v/>
      </c>
    </row>
    <row r="291" spans="1:20" x14ac:dyDescent="0.2">
      <c r="A291" s="23">
        <f>IF(MonthlyFAME!A293=0,"",MonthlyFAME!A293)</f>
        <v>30650</v>
      </c>
      <c r="B291" s="21" t="str">
        <f>IF(MonthlyFAME!B293=0,"",MonthlyFAME!B293)</f>
        <v/>
      </c>
      <c r="C291" s="21">
        <f>IF(MonthlyFAME!C293=0,"",MonthlyFAME!C293)</f>
        <v>63.6</v>
      </c>
      <c r="D291" s="21" t="str">
        <f>IF(MonthlyFAME!D293=0,"",MonthlyFAME!D293)</f>
        <v/>
      </c>
      <c r="E291" s="21">
        <f>IF(MonthlyFAME!F293=0,"",MonthlyFAME!F293)</f>
        <v>6436</v>
      </c>
      <c r="F291" s="21">
        <f>IF(MonthlyFAME!G293=0,"",MonthlyFAME!G293)</f>
        <v>6599</v>
      </c>
      <c r="G291" s="21">
        <f>IF(MonthlyFAME!H293=0,"",MonthlyFAME!H293)</f>
        <v>11.611855460820138</v>
      </c>
      <c r="H291" s="21">
        <f>IF(MonthlyFAME!I293=0,"",MonthlyFAME!I293)</f>
        <v>23947</v>
      </c>
      <c r="I291" s="21">
        <f>IF(MonthlyFAME!J293=0,"",MonthlyFAME!J293)</f>
        <v>801</v>
      </c>
      <c r="J291" s="24"/>
      <c r="K291" s="21">
        <f>IF(MonthlyFAME!L293=0,"",MonthlyFAME!L293)</f>
        <v>114.68456386295399</v>
      </c>
      <c r="L291" s="21">
        <f>IF(MonthlyFAME!M293=0,"",MonthlyFAME!M293)</f>
        <v>2801.5</v>
      </c>
      <c r="M291" s="21" t="str">
        <f>IF(MonthlyFAME!N293=0,"",MonthlyFAME!N293)</f>
        <v/>
      </c>
      <c r="N291" s="21" t="str">
        <f>IF(MonthlyFAME!O293=0,"",MonthlyFAME!O293)</f>
        <v/>
      </c>
      <c r="O291" s="21" t="str">
        <f>IF(MonthlyFAME!P293=0,"",MonthlyFAME!P293)</f>
        <v/>
      </c>
      <c r="P291" s="21" t="str">
        <f>IF(MonthlyFAME!Q293=0,"",MonthlyFAME!Q293)</f>
        <v/>
      </c>
      <c r="Q291" s="21" t="str">
        <f>IF(MonthlyFAME!R293=0,"",MonthlyFAME!R293)</f>
        <v/>
      </c>
      <c r="R291" s="21" t="str">
        <f>IF(MonthlyFAME!S293=0,"",MonthlyFAME!S293)</f>
        <v/>
      </c>
      <c r="S291" s="21" t="str">
        <f>IF(MonthlyFAME!T293=0,"",MonthlyFAME!T293)</f>
        <v/>
      </c>
      <c r="T291" s="21" t="str">
        <f>IF(MonthlyFAME!U293=0,"",MonthlyFAME!U293)</f>
        <v/>
      </c>
    </row>
    <row r="292" spans="1:20" x14ac:dyDescent="0.2">
      <c r="A292" s="23">
        <f>IF(MonthlyFAME!A294=0,"",MonthlyFAME!A294)</f>
        <v>30681</v>
      </c>
      <c r="B292" s="21" t="str">
        <f>IF(MonthlyFAME!B294=0,"",MonthlyFAME!B294)</f>
        <v/>
      </c>
      <c r="C292" s="21">
        <f>IF(MonthlyFAME!C294=0,"",MonthlyFAME!C294)</f>
        <v>63.8</v>
      </c>
      <c r="D292" s="21" t="str">
        <f>IF(MonthlyFAME!D294=0,"",MonthlyFAME!D294)</f>
        <v/>
      </c>
      <c r="E292" s="21">
        <f>IF(MonthlyFAME!F294=0,"",MonthlyFAME!F294)</f>
        <v>6825</v>
      </c>
      <c r="F292" s="21">
        <f>IF(MonthlyFAME!G294=0,"",MonthlyFAME!G294)</f>
        <v>6738</v>
      </c>
      <c r="G292" s="21">
        <f>IF(MonthlyFAME!H294=0,"",MonthlyFAME!H294)</f>
        <v>11.660100879938147</v>
      </c>
      <c r="H292" s="21">
        <f>IF(MonthlyFAME!I294=0,"",MonthlyFAME!I294)</f>
        <v>23994</v>
      </c>
      <c r="I292" s="21">
        <f>IF(MonthlyFAME!J294=0,"",MonthlyFAME!J294)</f>
        <v>802.8</v>
      </c>
      <c r="J292" s="24"/>
      <c r="K292" s="21">
        <f>IF(MonthlyFAME!L294=0,"",MonthlyFAME!L294)</f>
        <v>115.578402198478</v>
      </c>
      <c r="L292" s="21">
        <f>IF(MonthlyFAME!M294=0,"",MonthlyFAME!M294)</f>
        <v>2813.7</v>
      </c>
      <c r="M292" s="21" t="str">
        <f>IF(MonthlyFAME!N294=0,"",MonthlyFAME!N294)</f>
        <v/>
      </c>
      <c r="N292" s="21" t="str">
        <f>IF(MonthlyFAME!O294=0,"",MonthlyFAME!O294)</f>
        <v/>
      </c>
      <c r="O292" s="21" t="str">
        <f>IF(MonthlyFAME!P294=0,"",MonthlyFAME!P294)</f>
        <v/>
      </c>
      <c r="P292" s="21" t="str">
        <f>IF(MonthlyFAME!Q294=0,"",MonthlyFAME!Q294)</f>
        <v/>
      </c>
      <c r="Q292" s="21" t="str">
        <f>IF(MonthlyFAME!R294=0,"",MonthlyFAME!R294)</f>
        <v/>
      </c>
      <c r="R292" s="21" t="str">
        <f>IF(MonthlyFAME!S294=0,"",MonthlyFAME!S294)</f>
        <v/>
      </c>
      <c r="S292" s="21" t="str">
        <f>IF(MonthlyFAME!T294=0,"",MonthlyFAME!T294)</f>
        <v/>
      </c>
      <c r="T292" s="21" t="str">
        <f>IF(MonthlyFAME!U294=0,"",MonthlyFAME!U294)</f>
        <v/>
      </c>
    </row>
    <row r="293" spans="1:20" x14ac:dyDescent="0.2">
      <c r="A293" s="23">
        <f>IF(MonthlyFAME!A295=0,"",MonthlyFAME!A295)</f>
        <v>30712</v>
      </c>
      <c r="B293" s="21" t="str">
        <f>IF(MonthlyFAME!B295=0,"",MonthlyFAME!B295)</f>
        <v/>
      </c>
      <c r="C293" s="21">
        <f>IF(MonthlyFAME!C295=0,"",MonthlyFAME!C295)</f>
        <v>64.8</v>
      </c>
      <c r="D293" s="21" t="str">
        <f>IF(MonthlyFAME!D295=0,"",MonthlyFAME!D295)</f>
        <v/>
      </c>
      <c r="E293" s="21">
        <f>IF(MonthlyFAME!F295=0,"",MonthlyFAME!F295)</f>
        <v>6512</v>
      </c>
      <c r="F293" s="21">
        <f>IF(MonthlyFAME!G295=0,"",MonthlyFAME!G295)</f>
        <v>6842</v>
      </c>
      <c r="G293" s="21">
        <f>IF(MonthlyFAME!H295=0,"",MonthlyFAME!H295)</f>
        <v>11.710057650644439</v>
      </c>
      <c r="H293" s="21">
        <f>IF(MonthlyFAME!I295=0,"",MonthlyFAME!I295)</f>
        <v>24044</v>
      </c>
      <c r="I293" s="21">
        <f>IF(MonthlyFAME!J295=0,"",MonthlyFAME!J295)</f>
        <v>804.8</v>
      </c>
      <c r="J293" s="24"/>
      <c r="K293" s="21">
        <f>IF(MonthlyFAME!L295=0,"",MonthlyFAME!L295)</f>
        <v>115.79919644062601</v>
      </c>
      <c r="L293" s="21">
        <f>IF(MonthlyFAME!M295=0,"",MonthlyFAME!M295)</f>
        <v>2823.7</v>
      </c>
      <c r="M293" s="21" t="str">
        <f>IF(MonthlyFAME!N295=0,"",MonthlyFAME!N295)</f>
        <v/>
      </c>
      <c r="N293" s="21" t="str">
        <f>IF(MonthlyFAME!O295=0,"",MonthlyFAME!O295)</f>
        <v/>
      </c>
      <c r="O293" s="21" t="str">
        <f>IF(MonthlyFAME!P295=0,"",MonthlyFAME!P295)</f>
        <v/>
      </c>
      <c r="P293" s="21" t="str">
        <f>IF(MonthlyFAME!Q295=0,"",MonthlyFAME!Q295)</f>
        <v/>
      </c>
      <c r="Q293" s="21" t="str">
        <f>IF(MonthlyFAME!R295=0,"",MonthlyFAME!R295)</f>
        <v/>
      </c>
      <c r="R293" s="21" t="str">
        <f>IF(MonthlyFAME!S295=0,"",MonthlyFAME!S295)</f>
        <v/>
      </c>
      <c r="S293" s="21" t="str">
        <f>IF(MonthlyFAME!T295=0,"",MonthlyFAME!T295)</f>
        <v/>
      </c>
      <c r="T293" s="21" t="str">
        <f>IF(MonthlyFAME!U295=0,"",MonthlyFAME!U295)</f>
        <v/>
      </c>
    </row>
    <row r="294" spans="1:20" x14ac:dyDescent="0.2">
      <c r="A294" s="23">
        <f>IF(MonthlyFAME!A296=0,"",MonthlyFAME!A296)</f>
        <v>30741</v>
      </c>
      <c r="B294" s="21" t="str">
        <f>IF(MonthlyFAME!B296=0,"",MonthlyFAME!B296)</f>
        <v/>
      </c>
      <c r="C294" s="21">
        <f>IF(MonthlyFAME!C296=0,"",MonthlyFAME!C296)</f>
        <v>64.2</v>
      </c>
      <c r="D294" s="21" t="str">
        <f>IF(MonthlyFAME!D296=0,"",MonthlyFAME!D296)</f>
        <v/>
      </c>
      <c r="E294" s="21">
        <f>IF(MonthlyFAME!F296=0,"",MonthlyFAME!F296)</f>
        <v>6982</v>
      </c>
      <c r="F294" s="21">
        <f>IF(MonthlyFAME!G296=0,"",MonthlyFAME!G296)</f>
        <v>6684</v>
      </c>
      <c r="G294" s="21">
        <f>IF(MonthlyFAME!H296=0,"",MonthlyFAME!H296)</f>
        <v>11.776556776556777</v>
      </c>
      <c r="H294" s="21">
        <f>IF(MonthlyFAME!I296=0,"",MonthlyFAME!I296)</f>
        <v>24085</v>
      </c>
      <c r="I294" s="21">
        <f>IF(MonthlyFAME!J296=0,"",MonthlyFAME!J296)</f>
        <v>806.5</v>
      </c>
      <c r="J294" s="24"/>
      <c r="K294" s="21">
        <f>IF(MonthlyFAME!L296=0,"",MonthlyFAME!L296)</f>
        <v>116.62739980918199</v>
      </c>
      <c r="L294" s="21">
        <f>IF(MonthlyFAME!M296=0,"",MonthlyFAME!M296)</f>
        <v>2846.7</v>
      </c>
      <c r="M294" s="21" t="str">
        <f>IF(MonthlyFAME!N296=0,"",MonthlyFAME!N296)</f>
        <v/>
      </c>
      <c r="N294" s="21" t="str">
        <f>IF(MonthlyFAME!O296=0,"",MonthlyFAME!O296)</f>
        <v/>
      </c>
      <c r="O294" s="21" t="str">
        <f>IF(MonthlyFAME!P296=0,"",MonthlyFAME!P296)</f>
        <v/>
      </c>
      <c r="P294" s="21" t="str">
        <f>IF(MonthlyFAME!Q296=0,"",MonthlyFAME!Q296)</f>
        <v/>
      </c>
      <c r="Q294" s="21" t="str">
        <f>IF(MonthlyFAME!R296=0,"",MonthlyFAME!R296)</f>
        <v/>
      </c>
      <c r="R294" s="21" t="str">
        <f>IF(MonthlyFAME!S296=0,"",MonthlyFAME!S296)</f>
        <v/>
      </c>
      <c r="S294" s="21" t="str">
        <f>IF(MonthlyFAME!T296=0,"",MonthlyFAME!T296)</f>
        <v/>
      </c>
      <c r="T294" s="21" t="str">
        <f>IF(MonthlyFAME!U296=0,"",MonthlyFAME!U296)</f>
        <v/>
      </c>
    </row>
    <row r="295" spans="1:20" x14ac:dyDescent="0.2">
      <c r="A295" s="23">
        <f>IF(MonthlyFAME!A297=0,"",MonthlyFAME!A297)</f>
        <v>30772</v>
      </c>
      <c r="B295" s="21" t="str">
        <f>IF(MonthlyFAME!B297=0,"",MonthlyFAME!B297)</f>
        <v/>
      </c>
      <c r="C295" s="21">
        <f>IF(MonthlyFAME!C297=0,"",MonthlyFAME!C297)</f>
        <v>63.4</v>
      </c>
      <c r="D295" s="21" t="str">
        <f>IF(MonthlyFAME!D297=0,"",MonthlyFAME!D297)</f>
        <v/>
      </c>
      <c r="E295" s="21">
        <f>IF(MonthlyFAME!F297=0,"",MonthlyFAME!F297)</f>
        <v>6718</v>
      </c>
      <c r="F295" s="21">
        <f>IF(MonthlyFAME!G297=0,"",MonthlyFAME!G297)</f>
        <v>7039</v>
      </c>
      <c r="G295" s="21">
        <f>IF(MonthlyFAME!H297=0,"",MonthlyFAME!H297)</f>
        <v>11.849605378544286</v>
      </c>
      <c r="H295" s="21">
        <f>IF(MonthlyFAME!I297=0,"",MonthlyFAME!I297)</f>
        <v>24125</v>
      </c>
      <c r="I295" s="21">
        <f>IF(MonthlyFAME!J297=0,"",MonthlyFAME!J297)</f>
        <v>808.2</v>
      </c>
      <c r="J295" s="24"/>
      <c r="K295" s="21">
        <f>IF(MonthlyFAME!L297=0,"",MonthlyFAME!L297)</f>
        <v>115.943314380205</v>
      </c>
      <c r="L295" s="21">
        <f>IF(MonthlyFAME!M297=0,"",MonthlyFAME!M297)</f>
        <v>2857.7</v>
      </c>
      <c r="M295" s="21" t="str">
        <f>IF(MonthlyFAME!N297=0,"",MonthlyFAME!N297)</f>
        <v/>
      </c>
      <c r="N295" s="21" t="str">
        <f>IF(MonthlyFAME!O297=0,"",MonthlyFAME!O297)</f>
        <v/>
      </c>
      <c r="O295" s="21" t="str">
        <f>IF(MonthlyFAME!P297=0,"",MonthlyFAME!P297)</f>
        <v/>
      </c>
      <c r="P295" s="21" t="str">
        <f>IF(MonthlyFAME!Q297=0,"",MonthlyFAME!Q297)</f>
        <v/>
      </c>
      <c r="Q295" s="21" t="str">
        <f>IF(MonthlyFAME!R297=0,"",MonthlyFAME!R297)</f>
        <v/>
      </c>
      <c r="R295" s="21" t="str">
        <f>IF(MonthlyFAME!S297=0,"",MonthlyFAME!S297)</f>
        <v/>
      </c>
      <c r="S295" s="21" t="str">
        <f>IF(MonthlyFAME!T297=0,"",MonthlyFAME!T297)</f>
        <v/>
      </c>
      <c r="T295" s="21" t="str">
        <f>IF(MonthlyFAME!U297=0,"",MonthlyFAME!U297)</f>
        <v/>
      </c>
    </row>
    <row r="296" spans="1:20" x14ac:dyDescent="0.2">
      <c r="A296" s="23">
        <f>IF(MonthlyFAME!A298=0,"",MonthlyFAME!A298)</f>
        <v>30802</v>
      </c>
      <c r="B296" s="21" t="str">
        <f>IF(MonthlyFAME!B298=0,"",MonthlyFAME!B298)</f>
        <v/>
      </c>
      <c r="C296" s="21">
        <f>IF(MonthlyFAME!C298=0,"",MonthlyFAME!C298)</f>
        <v>62.2</v>
      </c>
      <c r="D296" s="21" t="str">
        <f>IF(MonthlyFAME!D298=0,"",MonthlyFAME!D298)</f>
        <v/>
      </c>
      <c r="E296" s="21">
        <f>IF(MonthlyFAME!F298=0,"",MonthlyFAME!F298)</f>
        <v>6447</v>
      </c>
      <c r="F296" s="21">
        <f>IF(MonthlyFAME!G298=0,"",MonthlyFAME!G298)</f>
        <v>7173</v>
      </c>
      <c r="G296" s="21">
        <f>IF(MonthlyFAME!H298=0,"",MonthlyFAME!H298)</f>
        <v>11.896602012541928</v>
      </c>
      <c r="H296" s="21">
        <f>IF(MonthlyFAME!I298=0,"",MonthlyFAME!I298)</f>
        <v>24165</v>
      </c>
      <c r="I296" s="21">
        <f>IF(MonthlyFAME!J298=0,"",MonthlyFAME!J298)</f>
        <v>810</v>
      </c>
      <c r="J296" s="24"/>
      <c r="K296" s="21">
        <f>IF(MonthlyFAME!L298=0,"",MonthlyFAME!L298)</f>
        <v>116.662962585806</v>
      </c>
      <c r="L296" s="21">
        <f>IF(MonthlyFAME!M298=0,"",MonthlyFAME!M298)</f>
        <v>2847.5</v>
      </c>
      <c r="M296" s="21" t="str">
        <f>IF(MonthlyFAME!N298=0,"",MonthlyFAME!N298)</f>
        <v/>
      </c>
      <c r="N296" s="21" t="str">
        <f>IF(MonthlyFAME!O298=0,"",MonthlyFAME!O298)</f>
        <v/>
      </c>
      <c r="O296" s="21" t="str">
        <f>IF(MonthlyFAME!P298=0,"",MonthlyFAME!P298)</f>
        <v/>
      </c>
      <c r="P296" s="21" t="str">
        <f>IF(MonthlyFAME!Q298=0,"",MonthlyFAME!Q298)</f>
        <v/>
      </c>
      <c r="Q296" s="21" t="str">
        <f>IF(MonthlyFAME!R298=0,"",MonthlyFAME!R298)</f>
        <v/>
      </c>
      <c r="R296" s="21" t="str">
        <f>IF(MonthlyFAME!S298=0,"",MonthlyFAME!S298)</f>
        <v/>
      </c>
      <c r="S296" s="21" t="str">
        <f>IF(MonthlyFAME!T298=0,"",MonthlyFAME!T298)</f>
        <v/>
      </c>
      <c r="T296" s="21" t="str">
        <f>IF(MonthlyFAME!U298=0,"",MonthlyFAME!U298)</f>
        <v/>
      </c>
    </row>
    <row r="297" spans="1:20" x14ac:dyDescent="0.2">
      <c r="A297" s="23">
        <f>IF(MonthlyFAME!A299=0,"",MonthlyFAME!A299)</f>
        <v>30833</v>
      </c>
      <c r="B297" s="21" t="str">
        <f>IF(MonthlyFAME!B299=0,"",MonthlyFAME!B299)</f>
        <v/>
      </c>
      <c r="C297" s="21">
        <f>IF(MonthlyFAME!C299=0,"",MonthlyFAME!C299)</f>
        <v>61.7</v>
      </c>
      <c r="D297" s="21" t="str">
        <f>IF(MonthlyFAME!D299=0,"",MonthlyFAME!D299)</f>
        <v/>
      </c>
      <c r="E297" s="21">
        <f>IF(MonthlyFAME!F299=0,"",MonthlyFAME!F299)</f>
        <v>6858</v>
      </c>
      <c r="F297" s="21">
        <f>IF(MonthlyFAME!G299=0,"",MonthlyFAME!G299)</f>
        <v>7216</v>
      </c>
      <c r="G297" s="21">
        <f>IF(MonthlyFAME!H299=0,"",MonthlyFAME!H299)</f>
        <v>11.926071454558684</v>
      </c>
      <c r="H297" s="21">
        <f>IF(MonthlyFAME!I299=0,"",MonthlyFAME!I299)</f>
        <v>24208</v>
      </c>
      <c r="I297" s="21">
        <f>IF(MonthlyFAME!J299=0,"",MonthlyFAME!J299)</f>
        <v>811.7</v>
      </c>
      <c r="J297" s="24"/>
      <c r="K297" s="21">
        <f>IF(MonthlyFAME!L299=0,"",MonthlyFAME!L299)</f>
        <v>117.46106721714899</v>
      </c>
      <c r="L297" s="21">
        <f>IF(MonthlyFAME!M299=0,"",MonthlyFAME!M299)</f>
        <v>2863.9</v>
      </c>
      <c r="M297" s="21" t="str">
        <f>IF(MonthlyFAME!N299=0,"",MonthlyFAME!N299)</f>
        <v/>
      </c>
      <c r="N297" s="21" t="str">
        <f>IF(MonthlyFAME!O299=0,"",MonthlyFAME!O299)</f>
        <v/>
      </c>
      <c r="O297" s="21" t="str">
        <f>IF(MonthlyFAME!P299=0,"",MonthlyFAME!P299)</f>
        <v/>
      </c>
      <c r="P297" s="21" t="str">
        <f>IF(MonthlyFAME!Q299=0,"",MonthlyFAME!Q299)</f>
        <v/>
      </c>
      <c r="Q297" s="21" t="str">
        <f>IF(MonthlyFAME!R299=0,"",MonthlyFAME!R299)</f>
        <v/>
      </c>
      <c r="R297" s="21" t="str">
        <f>IF(MonthlyFAME!S299=0,"",MonthlyFAME!S299)</f>
        <v/>
      </c>
      <c r="S297" s="21" t="str">
        <f>IF(MonthlyFAME!T299=0,"",MonthlyFAME!T299)</f>
        <v/>
      </c>
      <c r="T297" s="21" t="str">
        <f>IF(MonthlyFAME!U299=0,"",MonthlyFAME!U299)</f>
        <v/>
      </c>
    </row>
    <row r="298" spans="1:20" x14ac:dyDescent="0.2">
      <c r="A298" s="23">
        <f>IF(MonthlyFAME!A300=0,"",MonthlyFAME!A300)</f>
        <v>30863</v>
      </c>
      <c r="B298" s="21" t="str">
        <f>IF(MonthlyFAME!B300=0,"",MonthlyFAME!B300)</f>
        <v/>
      </c>
      <c r="C298" s="21">
        <f>IF(MonthlyFAME!C300=0,"",MonthlyFAME!C300)</f>
        <v>62.2</v>
      </c>
      <c r="D298" s="21" t="str">
        <f>IF(MonthlyFAME!D300=0,"",MonthlyFAME!D300)</f>
        <v/>
      </c>
      <c r="E298" s="21">
        <f>IF(MonthlyFAME!F300=0,"",MonthlyFAME!F300)</f>
        <v>6934</v>
      </c>
      <c r="F298" s="21">
        <f>IF(MonthlyFAME!G300=0,"",MonthlyFAME!G300)</f>
        <v>7230</v>
      </c>
      <c r="G298" s="21">
        <f>IF(MonthlyFAME!H300=0,"",MonthlyFAME!H300)</f>
        <v>11.868411486732098</v>
      </c>
      <c r="H298" s="21">
        <f>IF(MonthlyFAME!I300=0,"",MonthlyFAME!I300)</f>
        <v>24245</v>
      </c>
      <c r="I298" s="21">
        <f>IF(MonthlyFAME!J300=0,"",MonthlyFAME!J300)</f>
        <v>813.4</v>
      </c>
      <c r="J298" s="24"/>
      <c r="K298" s="21">
        <f>IF(MonthlyFAME!L300=0,"",MonthlyFAME!L300)</f>
        <v>118.044795063962</v>
      </c>
      <c r="L298" s="21">
        <f>IF(MonthlyFAME!M300=0,"",MonthlyFAME!M300)</f>
        <v>2868.5</v>
      </c>
      <c r="M298" s="21" t="str">
        <f>IF(MonthlyFAME!N300=0,"",MonthlyFAME!N300)</f>
        <v/>
      </c>
      <c r="N298" s="21" t="str">
        <f>IF(MonthlyFAME!O300=0,"",MonthlyFAME!O300)</f>
        <v/>
      </c>
      <c r="O298" s="21" t="str">
        <f>IF(MonthlyFAME!P300=0,"",MonthlyFAME!P300)</f>
        <v/>
      </c>
      <c r="P298" s="21" t="str">
        <f>IF(MonthlyFAME!Q300=0,"",MonthlyFAME!Q300)</f>
        <v/>
      </c>
      <c r="Q298" s="21" t="str">
        <f>IF(MonthlyFAME!R300=0,"",MonthlyFAME!R300)</f>
        <v/>
      </c>
      <c r="R298" s="21" t="str">
        <f>IF(MonthlyFAME!S300=0,"",MonthlyFAME!S300)</f>
        <v/>
      </c>
      <c r="S298" s="21" t="str">
        <f>IF(MonthlyFAME!T300=0,"",MonthlyFAME!T300)</f>
        <v/>
      </c>
      <c r="T298" s="21" t="str">
        <f>IF(MonthlyFAME!U300=0,"",MonthlyFAME!U300)</f>
        <v/>
      </c>
    </row>
    <row r="299" spans="1:20" x14ac:dyDescent="0.2">
      <c r="A299" s="23">
        <f>IF(MonthlyFAME!A301=0,"",MonthlyFAME!A301)</f>
        <v>30894</v>
      </c>
      <c r="B299" s="21" t="str">
        <f>IF(MonthlyFAME!B301=0,"",MonthlyFAME!B301)</f>
        <v/>
      </c>
      <c r="C299" s="21">
        <f>IF(MonthlyFAME!C301=0,"",MonthlyFAME!C301)</f>
        <v>61.3</v>
      </c>
      <c r="D299" s="21" t="str">
        <f>IF(MonthlyFAME!D301=0,"",MonthlyFAME!D301)</f>
        <v/>
      </c>
      <c r="E299" s="21">
        <f>IF(MonthlyFAME!F301=0,"",MonthlyFAME!F301)</f>
        <v>6676</v>
      </c>
      <c r="F299" s="21">
        <f>IF(MonthlyFAME!G301=0,"",MonthlyFAME!G301)</f>
        <v>6785</v>
      </c>
      <c r="G299" s="21">
        <f>IF(MonthlyFAME!H301=0,"",MonthlyFAME!H301)</f>
        <v>11.826668119574299</v>
      </c>
      <c r="H299" s="21">
        <f>IF(MonthlyFAME!I301=0,"",MonthlyFAME!I301)</f>
        <v>24275</v>
      </c>
      <c r="I299" s="21">
        <f>IF(MonthlyFAME!J301=0,"",MonthlyFAME!J301)</f>
        <v>814.8</v>
      </c>
      <c r="J299" s="24"/>
      <c r="K299" s="21">
        <f>IF(MonthlyFAME!L301=0,"",MonthlyFAME!L301)</f>
        <v>119.057575038268</v>
      </c>
      <c r="L299" s="21">
        <f>IF(MonthlyFAME!M301=0,"",MonthlyFAME!M301)</f>
        <v>2884.9</v>
      </c>
      <c r="M299" s="21" t="str">
        <f>IF(MonthlyFAME!N301=0,"",MonthlyFAME!N301)</f>
        <v/>
      </c>
      <c r="N299" s="21" t="str">
        <f>IF(MonthlyFAME!O301=0,"",MonthlyFAME!O301)</f>
        <v/>
      </c>
      <c r="O299" s="21" t="str">
        <f>IF(MonthlyFAME!P301=0,"",MonthlyFAME!P301)</f>
        <v/>
      </c>
      <c r="P299" s="21" t="str">
        <f>IF(MonthlyFAME!Q301=0,"",MonthlyFAME!Q301)</f>
        <v/>
      </c>
      <c r="Q299" s="21" t="str">
        <f>IF(MonthlyFAME!R301=0,"",MonthlyFAME!R301)</f>
        <v/>
      </c>
      <c r="R299" s="21" t="str">
        <f>IF(MonthlyFAME!S301=0,"",MonthlyFAME!S301)</f>
        <v/>
      </c>
      <c r="S299" s="21" t="str">
        <f>IF(MonthlyFAME!T301=0,"",MonthlyFAME!T301)</f>
        <v/>
      </c>
      <c r="T299" s="21" t="str">
        <f>IF(MonthlyFAME!U301=0,"",MonthlyFAME!U301)</f>
        <v/>
      </c>
    </row>
    <row r="300" spans="1:20" x14ac:dyDescent="0.2">
      <c r="A300" s="23">
        <f>IF(MonthlyFAME!A302=0,"",MonthlyFAME!A302)</f>
        <v>30925</v>
      </c>
      <c r="B300" s="21" t="str">
        <f>IF(MonthlyFAME!B302=0,"",MonthlyFAME!B302)</f>
        <v/>
      </c>
      <c r="C300" s="21">
        <f>IF(MonthlyFAME!C302=0,"",MonthlyFAME!C302)</f>
        <v>61</v>
      </c>
      <c r="D300" s="21" t="str">
        <f>IF(MonthlyFAME!D302=0,"",MonthlyFAME!D302)</f>
        <v/>
      </c>
      <c r="E300" s="21">
        <f>IF(MonthlyFAME!F302=0,"",MonthlyFAME!F302)</f>
        <v>7288</v>
      </c>
      <c r="F300" s="21">
        <f>IF(MonthlyFAME!G302=0,"",MonthlyFAME!G302)</f>
        <v>7590</v>
      </c>
      <c r="G300" s="21">
        <f>IF(MonthlyFAME!H302=0,"",MonthlyFAME!H302)</f>
        <v>11.768976658075289</v>
      </c>
      <c r="H300" s="21">
        <f>IF(MonthlyFAME!I302=0,"",MonthlyFAME!I302)</f>
        <v>24305</v>
      </c>
      <c r="I300" s="21">
        <f>IF(MonthlyFAME!J302=0,"",MonthlyFAME!J302)</f>
        <v>816.2</v>
      </c>
      <c r="J300" s="24"/>
      <c r="K300" s="21">
        <f>IF(MonthlyFAME!L302=0,"",MonthlyFAME!L302)</f>
        <v>120.00009565108201</v>
      </c>
      <c r="L300" s="21">
        <f>IF(MonthlyFAME!M302=0,"",MonthlyFAME!M302)</f>
        <v>2893.7</v>
      </c>
      <c r="M300" s="21" t="str">
        <f>IF(MonthlyFAME!N302=0,"",MonthlyFAME!N302)</f>
        <v/>
      </c>
      <c r="N300" s="21" t="str">
        <f>IF(MonthlyFAME!O302=0,"",MonthlyFAME!O302)</f>
        <v/>
      </c>
      <c r="O300" s="21" t="str">
        <f>IF(MonthlyFAME!P302=0,"",MonthlyFAME!P302)</f>
        <v/>
      </c>
      <c r="P300" s="21" t="str">
        <f>IF(MonthlyFAME!Q302=0,"",MonthlyFAME!Q302)</f>
        <v/>
      </c>
      <c r="Q300" s="21" t="str">
        <f>IF(MonthlyFAME!R302=0,"",MonthlyFAME!R302)</f>
        <v/>
      </c>
      <c r="R300" s="21" t="str">
        <f>IF(MonthlyFAME!S302=0,"",MonthlyFAME!S302)</f>
        <v/>
      </c>
      <c r="S300" s="21" t="str">
        <f>IF(MonthlyFAME!T302=0,"",MonthlyFAME!T302)</f>
        <v/>
      </c>
      <c r="T300" s="21" t="str">
        <f>IF(MonthlyFAME!U302=0,"",MonthlyFAME!U302)</f>
        <v/>
      </c>
    </row>
    <row r="301" spans="1:20" x14ac:dyDescent="0.2">
      <c r="A301" s="23">
        <f>IF(MonthlyFAME!A303=0,"",MonthlyFAME!A303)</f>
        <v>30955</v>
      </c>
      <c r="B301" s="21" t="str">
        <f>IF(MonthlyFAME!B303=0,"",MonthlyFAME!B303)</f>
        <v/>
      </c>
      <c r="C301" s="21">
        <f>IF(MonthlyFAME!C303=0,"",MonthlyFAME!C303)</f>
        <v>62.1</v>
      </c>
      <c r="D301" s="21" t="str">
        <f>IF(MonthlyFAME!D303=0,"",MonthlyFAME!D303)</f>
        <v/>
      </c>
      <c r="E301" s="21">
        <f>IF(MonthlyFAME!F303=0,"",MonthlyFAME!F303)</f>
        <v>7040</v>
      </c>
      <c r="F301" s="21">
        <f>IF(MonthlyFAME!G303=0,"",MonthlyFAME!G303)</f>
        <v>7659</v>
      </c>
      <c r="G301" s="21">
        <f>IF(MonthlyFAME!H303=0,"",MonthlyFAME!H303)</f>
        <v>11.743372139411743</v>
      </c>
      <c r="H301" s="21">
        <f>IF(MonthlyFAME!I303=0,"",MonthlyFAME!I303)</f>
        <v>24335</v>
      </c>
      <c r="I301" s="21">
        <f>IF(MonthlyFAME!J303=0,"",MonthlyFAME!J303)</f>
        <v>817.7</v>
      </c>
      <c r="J301" s="24"/>
      <c r="K301" s="21">
        <f>IF(MonthlyFAME!L303=0,"",MonthlyFAME!L303)</f>
        <v>121.16111116866</v>
      </c>
      <c r="L301" s="21">
        <f>IF(MonthlyFAME!M303=0,"",MonthlyFAME!M303)</f>
        <v>2925</v>
      </c>
      <c r="M301" s="21" t="str">
        <f>IF(MonthlyFAME!N303=0,"",MonthlyFAME!N303)</f>
        <v/>
      </c>
      <c r="N301" s="21" t="str">
        <f>IF(MonthlyFAME!O303=0,"",MonthlyFAME!O303)</f>
        <v/>
      </c>
      <c r="O301" s="21" t="str">
        <f>IF(MonthlyFAME!P303=0,"",MonthlyFAME!P303)</f>
        <v/>
      </c>
      <c r="P301" s="21" t="str">
        <f>IF(MonthlyFAME!Q303=0,"",MonthlyFAME!Q303)</f>
        <v/>
      </c>
      <c r="Q301" s="21" t="str">
        <f>IF(MonthlyFAME!R303=0,"",MonthlyFAME!R303)</f>
        <v/>
      </c>
      <c r="R301" s="21" t="str">
        <f>IF(MonthlyFAME!S303=0,"",MonthlyFAME!S303)</f>
        <v/>
      </c>
      <c r="S301" s="21" t="str">
        <f>IF(MonthlyFAME!T303=0,"",MonthlyFAME!T303)</f>
        <v/>
      </c>
      <c r="T301" s="21" t="str">
        <f>IF(MonthlyFAME!U303=0,"",MonthlyFAME!U303)</f>
        <v/>
      </c>
    </row>
    <row r="302" spans="1:20" x14ac:dyDescent="0.2">
      <c r="A302" s="23">
        <f>IF(MonthlyFAME!A304=0,"",MonthlyFAME!A304)</f>
        <v>30986</v>
      </c>
      <c r="B302" s="21" t="str">
        <f>IF(MonthlyFAME!B304=0,"",MonthlyFAME!B304)</f>
        <v/>
      </c>
      <c r="C302" s="21">
        <f>IF(MonthlyFAME!C304=0,"",MonthlyFAME!C304)</f>
        <v>62.2</v>
      </c>
      <c r="D302" s="21" t="str">
        <f>IF(MonthlyFAME!D304=0,"",MonthlyFAME!D304)</f>
        <v/>
      </c>
      <c r="E302" s="21">
        <f>IF(MonthlyFAME!F304=0,"",MonthlyFAME!F304)</f>
        <v>7154</v>
      </c>
      <c r="F302" s="21">
        <f>IF(MonthlyFAME!G304=0,"",MonthlyFAME!G304)</f>
        <v>7992</v>
      </c>
      <c r="G302" s="21">
        <f>IF(MonthlyFAME!H304=0,"",MonthlyFAME!H304)</f>
        <v>11.712495018657393</v>
      </c>
      <c r="H302" s="21">
        <f>IF(MonthlyFAME!I304=0,"",MonthlyFAME!I304)</f>
        <v>24370</v>
      </c>
      <c r="I302" s="21">
        <f>IF(MonthlyFAME!J304=0,"",MonthlyFAME!J304)</f>
        <v>819.1</v>
      </c>
      <c r="J302" s="24"/>
      <c r="K302" s="21">
        <f>IF(MonthlyFAME!L304=0,"",MonthlyFAME!L304)</f>
        <v>124.12530358323301</v>
      </c>
      <c r="L302" s="21">
        <f>IF(MonthlyFAME!M304=0,"",MonthlyFAME!M304)</f>
        <v>2936.6</v>
      </c>
      <c r="M302" s="21" t="str">
        <f>IF(MonthlyFAME!N304=0,"",MonthlyFAME!N304)</f>
        <v/>
      </c>
      <c r="N302" s="21" t="str">
        <f>IF(MonthlyFAME!O304=0,"",MonthlyFAME!O304)</f>
        <v/>
      </c>
      <c r="O302" s="21" t="str">
        <f>IF(MonthlyFAME!P304=0,"",MonthlyFAME!P304)</f>
        <v/>
      </c>
      <c r="P302" s="21" t="str">
        <f>IF(MonthlyFAME!Q304=0,"",MonthlyFAME!Q304)</f>
        <v/>
      </c>
      <c r="Q302" s="21" t="str">
        <f>IF(MonthlyFAME!R304=0,"",MonthlyFAME!R304)</f>
        <v/>
      </c>
      <c r="R302" s="21" t="str">
        <f>IF(MonthlyFAME!S304=0,"",MonthlyFAME!S304)</f>
        <v/>
      </c>
      <c r="S302" s="21" t="str">
        <f>IF(MonthlyFAME!T304=0,"",MonthlyFAME!T304)</f>
        <v/>
      </c>
      <c r="T302" s="21" t="str">
        <f>IF(MonthlyFAME!U304=0,"",MonthlyFAME!U304)</f>
        <v/>
      </c>
    </row>
    <row r="303" spans="1:20" x14ac:dyDescent="0.2">
      <c r="A303" s="23">
        <f>IF(MonthlyFAME!A305=0,"",MonthlyFAME!A305)</f>
        <v>31016</v>
      </c>
      <c r="B303" s="21" t="str">
        <f>IF(MonthlyFAME!B305=0,"",MonthlyFAME!B305)</f>
        <v/>
      </c>
      <c r="C303" s="21">
        <f>IF(MonthlyFAME!C305=0,"",MonthlyFAME!C305)</f>
        <v>61.8</v>
      </c>
      <c r="D303" s="21" t="str">
        <f>IF(MonthlyFAME!D305=0,"",MonthlyFAME!D305)</f>
        <v/>
      </c>
      <c r="E303" s="21">
        <f>IF(MonthlyFAME!F305=0,"",MonthlyFAME!F305)</f>
        <v>7108</v>
      </c>
      <c r="F303" s="21">
        <f>IF(MonthlyFAME!G305=0,"",MonthlyFAME!G305)</f>
        <v>7348</v>
      </c>
      <c r="G303" s="21">
        <f>IF(MonthlyFAME!H305=0,"",MonthlyFAME!H305)</f>
        <v>11.686995548155924</v>
      </c>
      <c r="H303" s="21">
        <f>IF(MonthlyFAME!I305=0,"",MonthlyFAME!I305)</f>
        <v>24400</v>
      </c>
      <c r="I303" s="21">
        <f>IF(MonthlyFAME!J305=0,"",MonthlyFAME!J305)</f>
        <v>820.5</v>
      </c>
      <c r="J303" s="24"/>
      <c r="K303" s="21">
        <f>IF(MonthlyFAME!L305=0,"",MonthlyFAME!L305)</f>
        <v>121.981238321231</v>
      </c>
      <c r="L303" s="21">
        <f>IF(MonthlyFAME!M305=0,"",MonthlyFAME!M305)</f>
        <v>2949.1</v>
      </c>
      <c r="M303" s="21" t="str">
        <f>IF(MonthlyFAME!N305=0,"",MonthlyFAME!N305)</f>
        <v/>
      </c>
      <c r="N303" s="21" t="str">
        <f>IF(MonthlyFAME!O305=0,"",MonthlyFAME!O305)</f>
        <v/>
      </c>
      <c r="O303" s="21" t="str">
        <f>IF(MonthlyFAME!P305=0,"",MonthlyFAME!P305)</f>
        <v/>
      </c>
      <c r="P303" s="21" t="str">
        <f>IF(MonthlyFAME!Q305=0,"",MonthlyFAME!Q305)</f>
        <v/>
      </c>
      <c r="Q303" s="21" t="str">
        <f>IF(MonthlyFAME!R305=0,"",MonthlyFAME!R305)</f>
        <v/>
      </c>
      <c r="R303" s="21" t="str">
        <f>IF(MonthlyFAME!S305=0,"",MonthlyFAME!S305)</f>
        <v/>
      </c>
      <c r="S303" s="21" t="str">
        <f>IF(MonthlyFAME!T305=0,"",MonthlyFAME!T305)</f>
        <v/>
      </c>
      <c r="T303" s="21" t="str">
        <f>IF(MonthlyFAME!U305=0,"",MonthlyFAME!U305)</f>
        <v/>
      </c>
    </row>
    <row r="304" spans="1:20" x14ac:dyDescent="0.2">
      <c r="A304" s="23">
        <f>IF(MonthlyFAME!A306=0,"",MonthlyFAME!A306)</f>
        <v>31047</v>
      </c>
      <c r="B304" s="21" t="str">
        <f>IF(MonthlyFAME!B306=0,"",MonthlyFAME!B306)</f>
        <v/>
      </c>
      <c r="C304" s="21">
        <f>IF(MonthlyFAME!C306=0,"",MonthlyFAME!C306)</f>
        <v>62.9</v>
      </c>
      <c r="D304" s="21" t="str">
        <f>IF(MonthlyFAME!D306=0,"",MonthlyFAME!D306)</f>
        <v/>
      </c>
      <c r="E304" s="21">
        <f>IF(MonthlyFAME!F306=0,"",MonthlyFAME!F306)</f>
        <v>7064</v>
      </c>
      <c r="F304" s="21">
        <f>IF(MonthlyFAME!G306=0,"",MonthlyFAME!G306)</f>
        <v>7660</v>
      </c>
      <c r="G304" s="21">
        <f>IF(MonthlyFAME!H306=0,"",MonthlyFAME!H306)</f>
        <v>11.633878200491827</v>
      </c>
      <c r="H304" s="21">
        <f>IF(MonthlyFAME!I306=0,"",MonthlyFAME!I306)</f>
        <v>24435</v>
      </c>
      <c r="I304" s="21">
        <f>IF(MonthlyFAME!J306=0,"",MonthlyFAME!J306)</f>
        <v>821.9</v>
      </c>
      <c r="J304" s="24"/>
      <c r="K304" s="21">
        <f>IF(MonthlyFAME!L306=0,"",MonthlyFAME!L306)</f>
        <v>123.655867383904</v>
      </c>
      <c r="L304" s="21">
        <f>IF(MonthlyFAME!M306=0,"",MonthlyFAME!M306)</f>
        <v>2955.7</v>
      </c>
      <c r="M304" s="21" t="str">
        <f>IF(MonthlyFAME!N306=0,"",MonthlyFAME!N306)</f>
        <v/>
      </c>
      <c r="N304" s="21" t="str">
        <f>IF(MonthlyFAME!O306=0,"",MonthlyFAME!O306)</f>
        <v/>
      </c>
      <c r="O304" s="21" t="str">
        <f>IF(MonthlyFAME!P306=0,"",MonthlyFAME!P306)</f>
        <v/>
      </c>
      <c r="P304" s="21" t="str">
        <f>IF(MonthlyFAME!Q306=0,"",MonthlyFAME!Q306)</f>
        <v/>
      </c>
      <c r="Q304" s="21" t="str">
        <f>IF(MonthlyFAME!R306=0,"",MonthlyFAME!R306)</f>
        <v/>
      </c>
      <c r="R304" s="21" t="str">
        <f>IF(MonthlyFAME!S306=0,"",MonthlyFAME!S306)</f>
        <v/>
      </c>
      <c r="S304" s="21" t="str">
        <f>IF(MonthlyFAME!T306=0,"",MonthlyFAME!T306)</f>
        <v/>
      </c>
      <c r="T304" s="21" t="str">
        <f>IF(MonthlyFAME!U306=0,"",MonthlyFAME!U306)</f>
        <v/>
      </c>
    </row>
    <row r="305" spans="1:20" x14ac:dyDescent="0.2">
      <c r="A305" s="23">
        <f>IF(MonthlyFAME!A307=0,"",MonthlyFAME!A307)</f>
        <v>31078</v>
      </c>
      <c r="B305" s="21" t="str">
        <f>IF(MonthlyFAME!B307=0,"",MonthlyFAME!B307)</f>
        <v/>
      </c>
      <c r="C305" s="21">
        <f>IF(MonthlyFAME!C307=0,"",MonthlyFAME!C307)</f>
        <v>63.9</v>
      </c>
      <c r="D305" s="21" t="str">
        <f>IF(MonthlyFAME!D307=0,"",MonthlyFAME!D307)</f>
        <v/>
      </c>
      <c r="E305" s="21">
        <f>IF(MonthlyFAME!F307=0,"",MonthlyFAME!F307)</f>
        <v>7161</v>
      </c>
      <c r="F305" s="21">
        <f>IF(MonthlyFAME!G307=0,"",MonthlyFAME!G307)</f>
        <v>7501</v>
      </c>
      <c r="G305" s="21">
        <f>IF(MonthlyFAME!H307=0,"",MonthlyFAME!H307)</f>
        <v>11.584043936985113</v>
      </c>
      <c r="H305" s="21">
        <f>IF(MonthlyFAME!I307=0,"",MonthlyFAME!I307)</f>
        <v>24470</v>
      </c>
      <c r="I305" s="21">
        <f>IF(MonthlyFAME!J307=0,"",MonthlyFAME!J307)</f>
        <v>823.1</v>
      </c>
      <c r="J305" s="24"/>
      <c r="K305" s="21">
        <f>IF(MonthlyFAME!L307=0,"",MonthlyFAME!L307)</f>
        <v>124.994420653609</v>
      </c>
      <c r="L305" s="21">
        <f>IF(MonthlyFAME!M307=0,"",MonthlyFAME!M307)</f>
        <v>2964.9</v>
      </c>
      <c r="M305" s="21" t="str">
        <f>IF(MonthlyFAME!N307=0,"",MonthlyFAME!N307)</f>
        <v/>
      </c>
      <c r="N305" s="21" t="str">
        <f>IF(MonthlyFAME!O307=0,"",MonthlyFAME!O307)</f>
        <v/>
      </c>
      <c r="O305" s="21" t="str">
        <f>IF(MonthlyFAME!P307=0,"",MonthlyFAME!P307)</f>
        <v/>
      </c>
      <c r="P305" s="21" t="str">
        <f>IF(MonthlyFAME!Q307=0,"",MonthlyFAME!Q307)</f>
        <v/>
      </c>
      <c r="Q305" s="21" t="str">
        <f>IF(MonthlyFAME!R307=0,"",MonthlyFAME!R307)</f>
        <v/>
      </c>
      <c r="R305" s="21" t="str">
        <f>IF(MonthlyFAME!S307=0,"",MonthlyFAME!S307)</f>
        <v/>
      </c>
      <c r="S305" s="21" t="str">
        <f>IF(MonthlyFAME!T307=0,"",MonthlyFAME!T307)</f>
        <v/>
      </c>
      <c r="T305" s="21" t="str">
        <f>IF(MonthlyFAME!U307=0,"",MonthlyFAME!U307)</f>
        <v/>
      </c>
    </row>
    <row r="306" spans="1:20" x14ac:dyDescent="0.2">
      <c r="A306" s="23">
        <f>IF(MonthlyFAME!A308=0,"",MonthlyFAME!A308)</f>
        <v>31106</v>
      </c>
      <c r="B306" s="21" t="str">
        <f>IF(MonthlyFAME!B308=0,"",MonthlyFAME!B308)</f>
        <v/>
      </c>
      <c r="C306" s="21">
        <f>IF(MonthlyFAME!C308=0,"",MonthlyFAME!C308)</f>
        <v>63.9</v>
      </c>
      <c r="D306" s="21" t="str">
        <f>IF(MonthlyFAME!D308=0,"",MonthlyFAME!D308)</f>
        <v/>
      </c>
      <c r="E306" s="21">
        <f>IF(MonthlyFAME!F308=0,"",MonthlyFAME!F308)</f>
        <v>7225</v>
      </c>
      <c r="F306" s="21">
        <f>IF(MonthlyFAME!G308=0,"",MonthlyFAME!G308)</f>
        <v>7692</v>
      </c>
      <c r="G306" s="21">
        <f>IF(MonthlyFAME!H308=0,"",MonthlyFAME!H308)</f>
        <v>11.540545421708506</v>
      </c>
      <c r="H306" s="21">
        <f>IF(MonthlyFAME!I308=0,"",MonthlyFAME!I308)</f>
        <v>24490</v>
      </c>
      <c r="I306" s="21">
        <f>IF(MonthlyFAME!J308=0,"",MonthlyFAME!J308)</f>
        <v>824</v>
      </c>
      <c r="J306" s="24"/>
      <c r="K306" s="21">
        <f>IF(MonthlyFAME!L308=0,"",MonthlyFAME!L308)</f>
        <v>125.689462239588</v>
      </c>
      <c r="L306" s="21">
        <f>IF(MonthlyFAME!M308=0,"",MonthlyFAME!M308)</f>
        <v>2982.8</v>
      </c>
      <c r="M306" s="21" t="str">
        <f>IF(MonthlyFAME!N308=0,"",MonthlyFAME!N308)</f>
        <v/>
      </c>
      <c r="N306" s="21" t="str">
        <f>IF(MonthlyFAME!O308=0,"",MonthlyFAME!O308)</f>
        <v/>
      </c>
      <c r="O306" s="21" t="str">
        <f>IF(MonthlyFAME!P308=0,"",MonthlyFAME!P308)</f>
        <v/>
      </c>
      <c r="P306" s="21" t="str">
        <f>IF(MonthlyFAME!Q308=0,"",MonthlyFAME!Q308)</f>
        <v/>
      </c>
      <c r="Q306" s="21" t="str">
        <f>IF(MonthlyFAME!R308=0,"",MonthlyFAME!R308)</f>
        <v/>
      </c>
      <c r="R306" s="21" t="str">
        <f>IF(MonthlyFAME!S308=0,"",MonthlyFAME!S308)</f>
        <v/>
      </c>
      <c r="S306" s="21" t="str">
        <f>IF(MonthlyFAME!T308=0,"",MonthlyFAME!T308)</f>
        <v/>
      </c>
      <c r="T306" s="21" t="str">
        <f>IF(MonthlyFAME!U308=0,"",MonthlyFAME!U308)</f>
        <v/>
      </c>
    </row>
    <row r="307" spans="1:20" x14ac:dyDescent="0.2">
      <c r="A307" s="23">
        <f>IF(MonthlyFAME!A309=0,"",MonthlyFAME!A309)</f>
        <v>31137</v>
      </c>
      <c r="B307" s="21" t="str">
        <f>IF(MonthlyFAME!B309=0,"",MonthlyFAME!B309)</f>
        <v/>
      </c>
      <c r="C307" s="21">
        <f>IF(MonthlyFAME!C309=0,"",MonthlyFAME!C309)</f>
        <v>65.599999999999994</v>
      </c>
      <c r="D307" s="21" t="str">
        <f>IF(MonthlyFAME!D309=0,"",MonthlyFAME!D309)</f>
        <v/>
      </c>
      <c r="E307" s="21">
        <f>IF(MonthlyFAME!F309=0,"",MonthlyFAME!F309)</f>
        <v>7215</v>
      </c>
      <c r="F307" s="21">
        <f>IF(MonthlyFAME!G309=0,"",MonthlyFAME!G309)</f>
        <v>7977</v>
      </c>
      <c r="G307" s="21">
        <f>IF(MonthlyFAME!H309=0,"",MonthlyFAME!H309)</f>
        <v>11.482217006679907</v>
      </c>
      <c r="H307" s="21">
        <f>IF(MonthlyFAME!I309=0,"",MonthlyFAME!I309)</f>
        <v>24515</v>
      </c>
      <c r="I307" s="21">
        <f>IF(MonthlyFAME!J309=0,"",MonthlyFAME!J309)</f>
        <v>825</v>
      </c>
      <c r="J307" s="24"/>
      <c r="K307" s="21">
        <f>IF(MonthlyFAME!L309=0,"",MonthlyFAME!L309)</f>
        <v>127.202816724328</v>
      </c>
      <c r="L307" s="21">
        <f>IF(MonthlyFAME!M309=0,"",MonthlyFAME!M309)</f>
        <v>2977.1</v>
      </c>
      <c r="M307" s="21" t="str">
        <f>IF(MonthlyFAME!N309=0,"",MonthlyFAME!N309)</f>
        <v/>
      </c>
      <c r="N307" s="21" t="str">
        <f>IF(MonthlyFAME!O309=0,"",MonthlyFAME!O309)</f>
        <v/>
      </c>
      <c r="O307" s="21" t="str">
        <f>IF(MonthlyFAME!P309=0,"",MonthlyFAME!P309)</f>
        <v/>
      </c>
      <c r="P307" s="21" t="str">
        <f>IF(MonthlyFAME!Q309=0,"",MonthlyFAME!Q309)</f>
        <v/>
      </c>
      <c r="Q307" s="21" t="str">
        <f>IF(MonthlyFAME!R309=0,"",MonthlyFAME!R309)</f>
        <v/>
      </c>
      <c r="R307" s="21" t="str">
        <f>IF(MonthlyFAME!S309=0,"",MonthlyFAME!S309)</f>
        <v/>
      </c>
      <c r="S307" s="21" t="str">
        <f>IF(MonthlyFAME!T309=0,"",MonthlyFAME!T309)</f>
        <v/>
      </c>
      <c r="T307" s="21" t="str">
        <f>IF(MonthlyFAME!U309=0,"",MonthlyFAME!U309)</f>
        <v/>
      </c>
    </row>
    <row r="308" spans="1:20" x14ac:dyDescent="0.2">
      <c r="A308" s="23">
        <f>IF(MonthlyFAME!A310=0,"",MonthlyFAME!A310)</f>
        <v>31167</v>
      </c>
      <c r="B308" s="21" t="str">
        <f>IF(MonthlyFAME!B310=0,"",MonthlyFAME!B310)</f>
        <v/>
      </c>
      <c r="C308" s="21">
        <f>IF(MonthlyFAME!C310=0,"",MonthlyFAME!C310)</f>
        <v>66.2</v>
      </c>
      <c r="D308" s="21" t="str">
        <f>IF(MonthlyFAME!D310=0,"",MonthlyFAME!D310)</f>
        <v/>
      </c>
      <c r="E308" s="21">
        <f>IF(MonthlyFAME!F310=0,"",MonthlyFAME!F310)</f>
        <v>7514</v>
      </c>
      <c r="F308" s="21">
        <f>IF(MonthlyFAME!G310=0,"",MonthlyFAME!G310)</f>
        <v>7598</v>
      </c>
      <c r="G308" s="21">
        <f>IF(MonthlyFAME!H310=0,"",MonthlyFAME!H310)</f>
        <v>11.436717312064673</v>
      </c>
      <c r="H308" s="21">
        <f>IF(MonthlyFAME!I310=0,"",MonthlyFAME!I310)</f>
        <v>24540</v>
      </c>
      <c r="I308" s="21">
        <f>IF(MonthlyFAME!J310=0,"",MonthlyFAME!J310)</f>
        <v>825.9</v>
      </c>
      <c r="J308" s="24"/>
      <c r="K308" s="21">
        <f>IF(MonthlyFAME!L310=0,"",MonthlyFAME!L310)</f>
        <v>128.36733092963999</v>
      </c>
      <c r="L308" s="21">
        <f>IF(MonthlyFAME!M310=0,"",MonthlyFAME!M310)</f>
        <v>2998.3</v>
      </c>
      <c r="M308" s="21" t="str">
        <f>IF(MonthlyFAME!N310=0,"",MonthlyFAME!N310)</f>
        <v/>
      </c>
      <c r="N308" s="21" t="str">
        <f>IF(MonthlyFAME!O310=0,"",MonthlyFAME!O310)</f>
        <v/>
      </c>
      <c r="O308" s="21" t="str">
        <f>IF(MonthlyFAME!P310=0,"",MonthlyFAME!P310)</f>
        <v/>
      </c>
      <c r="P308" s="21" t="str">
        <f>IF(MonthlyFAME!Q310=0,"",MonthlyFAME!Q310)</f>
        <v/>
      </c>
      <c r="Q308" s="21" t="str">
        <f>IF(MonthlyFAME!R310=0,"",MonthlyFAME!R310)</f>
        <v/>
      </c>
      <c r="R308" s="21" t="str">
        <f>IF(MonthlyFAME!S310=0,"",MonthlyFAME!S310)</f>
        <v/>
      </c>
      <c r="S308" s="21" t="str">
        <f>IF(MonthlyFAME!T310=0,"",MonthlyFAME!T310)</f>
        <v/>
      </c>
      <c r="T308" s="21" t="str">
        <f>IF(MonthlyFAME!U310=0,"",MonthlyFAME!U310)</f>
        <v/>
      </c>
    </row>
    <row r="309" spans="1:20" x14ac:dyDescent="0.2">
      <c r="A309" s="23">
        <f>IF(MonthlyFAME!A311=0,"",MonthlyFAME!A311)</f>
        <v>31198</v>
      </c>
      <c r="B309" s="21" t="str">
        <f>IF(MonthlyFAME!B311=0,"",MonthlyFAME!B311)</f>
        <v/>
      </c>
      <c r="C309" s="21">
        <f>IF(MonthlyFAME!C311=0,"",MonthlyFAME!C311)</f>
        <v>66.7</v>
      </c>
      <c r="D309" s="21" t="str">
        <f>IF(MonthlyFAME!D311=0,"",MonthlyFAME!D311)</f>
        <v/>
      </c>
      <c r="E309" s="21">
        <f>IF(MonthlyFAME!F311=0,"",MonthlyFAME!F311)</f>
        <v>7522</v>
      </c>
      <c r="F309" s="21">
        <f>IF(MonthlyFAME!G311=0,"",MonthlyFAME!G311)</f>
        <v>7279</v>
      </c>
      <c r="G309" s="21">
        <f>IF(MonthlyFAME!H311=0,"",MonthlyFAME!H311)</f>
        <v>11.38939011187297</v>
      </c>
      <c r="H309" s="21">
        <f>IF(MonthlyFAME!I311=0,"",MonthlyFAME!I311)</f>
        <v>24554</v>
      </c>
      <c r="I309" s="21">
        <f>IF(MonthlyFAME!J311=0,"",MonthlyFAME!J311)</f>
        <v>826.3</v>
      </c>
      <c r="J309" s="24"/>
      <c r="K309" s="21">
        <f>IF(MonthlyFAME!L311=0,"",MonthlyFAME!L311)</f>
        <v>128.116907238359</v>
      </c>
      <c r="L309" s="21">
        <f>IF(MonthlyFAME!M311=0,"",MonthlyFAME!M311)</f>
        <v>3000.7</v>
      </c>
      <c r="M309" s="21" t="str">
        <f>IF(MonthlyFAME!N311=0,"",MonthlyFAME!N311)</f>
        <v/>
      </c>
      <c r="N309" s="21" t="str">
        <f>IF(MonthlyFAME!O311=0,"",MonthlyFAME!O311)</f>
        <v/>
      </c>
      <c r="O309" s="21" t="str">
        <f>IF(MonthlyFAME!P311=0,"",MonthlyFAME!P311)</f>
        <v/>
      </c>
      <c r="P309" s="21" t="str">
        <f>IF(MonthlyFAME!Q311=0,"",MonthlyFAME!Q311)</f>
        <v/>
      </c>
      <c r="Q309" s="21" t="str">
        <f>IF(MonthlyFAME!R311=0,"",MonthlyFAME!R311)</f>
        <v/>
      </c>
      <c r="R309" s="21" t="str">
        <f>IF(MonthlyFAME!S311=0,"",MonthlyFAME!S311)</f>
        <v/>
      </c>
      <c r="S309" s="21" t="str">
        <f>IF(MonthlyFAME!T311=0,"",MonthlyFAME!T311)</f>
        <v/>
      </c>
      <c r="T309" s="21" t="str">
        <f>IF(MonthlyFAME!U311=0,"",MonthlyFAME!U311)</f>
        <v/>
      </c>
    </row>
    <row r="310" spans="1:20" x14ac:dyDescent="0.2">
      <c r="A310" s="23">
        <f>IF(MonthlyFAME!A312=0,"",MonthlyFAME!A312)</f>
        <v>31228</v>
      </c>
      <c r="B310" s="21" t="str">
        <f>IF(MonthlyFAME!B312=0,"",MonthlyFAME!B312)</f>
        <v/>
      </c>
      <c r="C310" s="21">
        <f>IF(MonthlyFAME!C312=0,"",MonthlyFAME!C312)</f>
        <v>68.2</v>
      </c>
      <c r="D310" s="21" t="str">
        <f>IF(MonthlyFAME!D312=0,"",MonthlyFAME!D312)</f>
        <v/>
      </c>
      <c r="E310" s="21">
        <f>IF(MonthlyFAME!F312=0,"",MonthlyFAME!F312)</f>
        <v>7486</v>
      </c>
      <c r="F310" s="21">
        <f>IF(MonthlyFAME!G312=0,"",MonthlyFAME!G312)</f>
        <v>7582</v>
      </c>
      <c r="G310" s="21">
        <f>IF(MonthlyFAME!H312=0,"",MonthlyFAME!H312)</f>
        <v>11.370031022292764</v>
      </c>
      <c r="H310" s="21">
        <f>IF(MonthlyFAME!I312=0,"",MonthlyFAME!I312)</f>
        <v>24570</v>
      </c>
      <c r="I310" s="21">
        <f>IF(MonthlyFAME!J312=0,"",MonthlyFAME!J312)</f>
        <v>826.6</v>
      </c>
      <c r="J310" s="24"/>
      <c r="K310" s="21">
        <f>IF(MonthlyFAME!L312=0,"",MonthlyFAME!L312)</f>
        <v>129.14788634244101</v>
      </c>
      <c r="L310" s="21">
        <f>IF(MonthlyFAME!M312=0,"",MonthlyFAME!M312)</f>
        <v>2988.5</v>
      </c>
      <c r="M310" s="21" t="str">
        <f>IF(MonthlyFAME!N312=0,"",MonthlyFAME!N312)</f>
        <v/>
      </c>
      <c r="N310" s="21" t="str">
        <f>IF(MonthlyFAME!O312=0,"",MonthlyFAME!O312)</f>
        <v/>
      </c>
      <c r="O310" s="21" t="str">
        <f>IF(MonthlyFAME!P312=0,"",MonthlyFAME!P312)</f>
        <v/>
      </c>
      <c r="P310" s="21" t="str">
        <f>IF(MonthlyFAME!Q312=0,"",MonthlyFAME!Q312)</f>
        <v/>
      </c>
      <c r="Q310" s="21" t="str">
        <f>IF(MonthlyFAME!R312=0,"",MonthlyFAME!R312)</f>
        <v/>
      </c>
      <c r="R310" s="21" t="str">
        <f>IF(MonthlyFAME!S312=0,"",MonthlyFAME!S312)</f>
        <v/>
      </c>
      <c r="S310" s="21" t="str">
        <f>IF(MonthlyFAME!T312=0,"",MonthlyFAME!T312)</f>
        <v/>
      </c>
      <c r="T310" s="21" t="str">
        <f>IF(MonthlyFAME!U312=0,"",MonthlyFAME!U312)</f>
        <v/>
      </c>
    </row>
    <row r="311" spans="1:20" x14ac:dyDescent="0.2">
      <c r="A311" s="23">
        <f>IF(MonthlyFAME!A313=0,"",MonthlyFAME!A313)</f>
        <v>31259</v>
      </c>
      <c r="B311" s="21" t="str">
        <f>IF(MonthlyFAME!B313=0,"",MonthlyFAME!B313)</f>
        <v/>
      </c>
      <c r="C311" s="21">
        <f>IF(MonthlyFAME!C313=0,"",MonthlyFAME!C313)</f>
        <v>65.599999999999994</v>
      </c>
      <c r="D311" s="21" t="str">
        <f>IF(MonthlyFAME!D313=0,"",MonthlyFAME!D313)</f>
        <v/>
      </c>
      <c r="E311" s="21">
        <f>IF(MonthlyFAME!F313=0,"",MonthlyFAME!F313)</f>
        <v>7310</v>
      </c>
      <c r="F311" s="21">
        <f>IF(MonthlyFAME!G313=0,"",MonthlyFAME!G313)</f>
        <v>7501</v>
      </c>
      <c r="G311" s="21">
        <f>IF(MonthlyFAME!H313=0,"",MonthlyFAME!H313)</f>
        <v>11.339462772669911</v>
      </c>
      <c r="H311" s="21">
        <f>IF(MonthlyFAME!I313=0,"",MonthlyFAME!I313)</f>
        <v>24590</v>
      </c>
      <c r="I311" s="21">
        <f>IF(MonthlyFAME!J313=0,"",MonthlyFAME!J313)</f>
        <v>827</v>
      </c>
      <c r="J311" s="24"/>
      <c r="K311" s="21">
        <f>IF(MonthlyFAME!L313=0,"",MonthlyFAME!L313)</f>
        <v>129.621025825549</v>
      </c>
      <c r="L311" s="21">
        <f>IF(MonthlyFAME!M313=0,"",MonthlyFAME!M313)</f>
        <v>2995.1</v>
      </c>
      <c r="M311" s="21" t="str">
        <f>IF(MonthlyFAME!N313=0,"",MonthlyFAME!N313)</f>
        <v/>
      </c>
      <c r="N311" s="21" t="str">
        <f>IF(MonthlyFAME!O313=0,"",MonthlyFAME!O313)</f>
        <v/>
      </c>
      <c r="O311" s="21" t="str">
        <f>IF(MonthlyFAME!P313=0,"",MonthlyFAME!P313)</f>
        <v/>
      </c>
      <c r="P311" s="21" t="str">
        <f>IF(MonthlyFAME!Q313=0,"",MonthlyFAME!Q313)</f>
        <v/>
      </c>
      <c r="Q311" s="21" t="str">
        <f>IF(MonthlyFAME!R313=0,"",MonthlyFAME!R313)</f>
        <v/>
      </c>
      <c r="R311" s="21" t="str">
        <f>IF(MonthlyFAME!S313=0,"",MonthlyFAME!S313)</f>
        <v/>
      </c>
      <c r="S311" s="21" t="str">
        <f>IF(MonthlyFAME!T313=0,"",MonthlyFAME!T313)</f>
        <v/>
      </c>
      <c r="T311" s="21" t="str">
        <f>IF(MonthlyFAME!U313=0,"",MonthlyFAME!U313)</f>
        <v/>
      </c>
    </row>
    <row r="312" spans="1:20" x14ac:dyDescent="0.2">
      <c r="A312" s="23">
        <f>IF(MonthlyFAME!A314=0,"",MonthlyFAME!A314)</f>
        <v>31290</v>
      </c>
      <c r="B312" s="21" t="str">
        <f>IF(MonthlyFAME!B314=0,"",MonthlyFAME!B314)</f>
        <v/>
      </c>
      <c r="C312" s="21">
        <f>IF(MonthlyFAME!C314=0,"",MonthlyFAME!C314)</f>
        <v>66.2</v>
      </c>
      <c r="D312" s="21" t="str">
        <f>IF(MonthlyFAME!D314=0,"",MonthlyFAME!D314)</f>
        <v/>
      </c>
      <c r="E312" s="21">
        <f>IF(MonthlyFAME!F314=0,"",MonthlyFAME!F314)</f>
        <v>7158</v>
      </c>
      <c r="F312" s="21">
        <f>IF(MonthlyFAME!G314=0,"",MonthlyFAME!G314)</f>
        <v>7154</v>
      </c>
      <c r="G312" s="21">
        <f>IF(MonthlyFAME!H314=0,"",MonthlyFAME!H314)</f>
        <v>11.312119355652456</v>
      </c>
      <c r="H312" s="21">
        <f>IF(MonthlyFAME!I314=0,"",MonthlyFAME!I314)</f>
        <v>24610</v>
      </c>
      <c r="I312" s="21">
        <f>IF(MonthlyFAME!J314=0,"",MonthlyFAME!J314)</f>
        <v>827.5</v>
      </c>
      <c r="J312" s="24"/>
      <c r="K312" s="21">
        <f>IF(MonthlyFAME!L314=0,"",MonthlyFAME!L314)</f>
        <v>130.85483993606601</v>
      </c>
      <c r="L312" s="21">
        <f>IF(MonthlyFAME!M314=0,"",MonthlyFAME!M314)</f>
        <v>2997.5</v>
      </c>
      <c r="M312" s="21" t="str">
        <f>IF(MonthlyFAME!N314=0,"",MonthlyFAME!N314)</f>
        <v/>
      </c>
      <c r="N312" s="21" t="str">
        <f>IF(MonthlyFAME!O314=0,"",MonthlyFAME!O314)</f>
        <v/>
      </c>
      <c r="O312" s="21" t="str">
        <f>IF(MonthlyFAME!P314=0,"",MonthlyFAME!P314)</f>
        <v/>
      </c>
      <c r="P312" s="21" t="str">
        <f>IF(MonthlyFAME!Q314=0,"",MonthlyFAME!Q314)</f>
        <v/>
      </c>
      <c r="Q312" s="21" t="str">
        <f>IF(MonthlyFAME!R314=0,"",MonthlyFAME!R314)</f>
        <v/>
      </c>
      <c r="R312" s="21" t="str">
        <f>IF(MonthlyFAME!S314=0,"",MonthlyFAME!S314)</f>
        <v/>
      </c>
      <c r="S312" s="21" t="str">
        <f>IF(MonthlyFAME!T314=0,"",MonthlyFAME!T314)</f>
        <v/>
      </c>
      <c r="T312" s="21" t="str">
        <f>IF(MonthlyFAME!U314=0,"",MonthlyFAME!U314)</f>
        <v/>
      </c>
    </row>
    <row r="313" spans="1:20" x14ac:dyDescent="0.2">
      <c r="A313" s="23">
        <f>IF(MonthlyFAME!A315=0,"",MonthlyFAME!A315)</f>
        <v>31320</v>
      </c>
      <c r="B313" s="21" t="str">
        <f>IF(MonthlyFAME!B315=0,"",MonthlyFAME!B315)</f>
        <v/>
      </c>
      <c r="C313" s="21">
        <f>IF(MonthlyFAME!C315=0,"",MonthlyFAME!C315)</f>
        <v>67.3</v>
      </c>
      <c r="D313" s="21" t="str">
        <f>IF(MonthlyFAME!D315=0,"",MonthlyFAME!D315)</f>
        <v/>
      </c>
      <c r="E313" s="21">
        <f>IF(MonthlyFAME!F315=0,"",MonthlyFAME!F315)</f>
        <v>7136</v>
      </c>
      <c r="F313" s="21">
        <f>IF(MonthlyFAME!G315=0,"",MonthlyFAME!G315)</f>
        <v>7321</v>
      </c>
      <c r="G313" s="21">
        <f>IF(MonthlyFAME!H315=0,"",MonthlyFAME!H315)</f>
        <v>11.299618183128016</v>
      </c>
      <c r="H313" s="21">
        <f>IF(MonthlyFAME!I315=0,"",MonthlyFAME!I315)</f>
        <v>24625</v>
      </c>
      <c r="I313" s="21">
        <f>IF(MonthlyFAME!J315=0,"",MonthlyFAME!J315)</f>
        <v>827.6</v>
      </c>
      <c r="J313" s="24"/>
      <c r="K313" s="21">
        <f>IF(MonthlyFAME!L315=0,"",MonthlyFAME!L315)</f>
        <v>133.63378697467499</v>
      </c>
      <c r="L313" s="21">
        <f>IF(MonthlyFAME!M315=0,"",MonthlyFAME!M315)</f>
        <v>3004.8</v>
      </c>
      <c r="M313" s="21" t="str">
        <f>IF(MonthlyFAME!N315=0,"",MonthlyFAME!N315)</f>
        <v/>
      </c>
      <c r="N313" s="21" t="str">
        <f>IF(MonthlyFAME!O315=0,"",MonthlyFAME!O315)</f>
        <v/>
      </c>
      <c r="O313" s="21" t="str">
        <f>IF(MonthlyFAME!P315=0,"",MonthlyFAME!P315)</f>
        <v/>
      </c>
      <c r="P313" s="21" t="str">
        <f>IF(MonthlyFAME!Q315=0,"",MonthlyFAME!Q315)</f>
        <v/>
      </c>
      <c r="Q313" s="21" t="str">
        <f>IF(MonthlyFAME!R315=0,"",MonthlyFAME!R315)</f>
        <v/>
      </c>
      <c r="R313" s="21" t="str">
        <f>IF(MonthlyFAME!S315=0,"",MonthlyFAME!S315)</f>
        <v/>
      </c>
      <c r="S313" s="21" t="str">
        <f>IF(MonthlyFAME!T315=0,"",MonthlyFAME!T315)</f>
        <v/>
      </c>
      <c r="T313" s="21" t="str">
        <f>IF(MonthlyFAME!U315=0,"",MonthlyFAME!U315)</f>
        <v/>
      </c>
    </row>
    <row r="314" spans="1:20" x14ac:dyDescent="0.2">
      <c r="A314" s="23">
        <f>IF(MonthlyFAME!A316=0,"",MonthlyFAME!A316)</f>
        <v>31351</v>
      </c>
      <c r="B314" s="21" t="str">
        <f>IF(MonthlyFAME!B316=0,"",MonthlyFAME!B316)</f>
        <v/>
      </c>
      <c r="C314" s="21">
        <f>IF(MonthlyFAME!C316=0,"",MonthlyFAME!C316)</f>
        <v>66</v>
      </c>
      <c r="D314" s="21" t="str">
        <f>IF(MonthlyFAME!D316=0,"",MonthlyFAME!D316)</f>
        <v/>
      </c>
      <c r="E314" s="21">
        <f>IF(MonthlyFAME!F316=0,"",MonthlyFAME!F316)</f>
        <v>7260</v>
      </c>
      <c r="F314" s="21">
        <f>IF(MonthlyFAME!G316=0,"",MonthlyFAME!G316)</f>
        <v>7372</v>
      </c>
      <c r="G314" s="21">
        <f>IF(MonthlyFAME!H316=0,"",MonthlyFAME!H316)</f>
        <v>11.28916096507022</v>
      </c>
      <c r="H314" s="21">
        <f>IF(MonthlyFAME!I316=0,"",MonthlyFAME!I316)</f>
        <v>24635</v>
      </c>
      <c r="I314" s="21">
        <f>IF(MonthlyFAME!J316=0,"",MonthlyFAME!J316)</f>
        <v>827.6</v>
      </c>
      <c r="J314" s="24"/>
      <c r="K314" s="21">
        <f>IF(MonthlyFAME!L316=0,"",MonthlyFAME!L316)</f>
        <v>132.26032415669999</v>
      </c>
      <c r="L314" s="21">
        <f>IF(MonthlyFAME!M316=0,"",MonthlyFAME!M316)</f>
        <v>3011.3</v>
      </c>
      <c r="M314" s="21" t="str">
        <f>IF(MonthlyFAME!N316=0,"",MonthlyFAME!N316)</f>
        <v/>
      </c>
      <c r="N314" s="21" t="str">
        <f>IF(MonthlyFAME!O316=0,"",MonthlyFAME!O316)</f>
        <v/>
      </c>
      <c r="O314" s="21" t="str">
        <f>IF(MonthlyFAME!P316=0,"",MonthlyFAME!P316)</f>
        <v/>
      </c>
      <c r="P314" s="21" t="str">
        <f>IF(MonthlyFAME!Q316=0,"",MonthlyFAME!Q316)</f>
        <v/>
      </c>
      <c r="Q314" s="21" t="str">
        <f>IF(MonthlyFAME!R316=0,"",MonthlyFAME!R316)</f>
        <v/>
      </c>
      <c r="R314" s="21" t="str">
        <f>IF(MonthlyFAME!S316=0,"",MonthlyFAME!S316)</f>
        <v/>
      </c>
      <c r="S314" s="21" t="str">
        <f>IF(MonthlyFAME!T316=0,"",MonthlyFAME!T316)</f>
        <v/>
      </c>
      <c r="T314" s="21" t="str">
        <f>IF(MonthlyFAME!U316=0,"",MonthlyFAME!U316)</f>
        <v/>
      </c>
    </row>
    <row r="315" spans="1:20" x14ac:dyDescent="0.2">
      <c r="A315" s="23">
        <f>IF(MonthlyFAME!A317=0,"",MonthlyFAME!A317)</f>
        <v>31381</v>
      </c>
      <c r="B315" s="21" t="str">
        <f>IF(MonthlyFAME!B317=0,"",MonthlyFAME!B317)</f>
        <v/>
      </c>
      <c r="C315" s="21">
        <f>IF(MonthlyFAME!C317=0,"",MonthlyFAME!C317)</f>
        <v>66.7</v>
      </c>
      <c r="D315" s="21" t="str">
        <f>IF(MonthlyFAME!D317=0,"",MonthlyFAME!D317)</f>
        <v/>
      </c>
      <c r="E315" s="21">
        <f>IF(MonthlyFAME!F317=0,"",MonthlyFAME!F317)</f>
        <v>7170</v>
      </c>
      <c r="F315" s="21">
        <f>IF(MonthlyFAME!G317=0,"",MonthlyFAME!G317)</f>
        <v>7563</v>
      </c>
      <c r="G315" s="21">
        <f>IF(MonthlyFAME!H317=0,"",MonthlyFAME!H317)</f>
        <v>11.276679984162977</v>
      </c>
      <c r="H315" s="21">
        <f>IF(MonthlyFAME!I317=0,"",MonthlyFAME!I317)</f>
        <v>24650</v>
      </c>
      <c r="I315" s="21">
        <f>IF(MonthlyFAME!J317=0,"",MonthlyFAME!J317)</f>
        <v>827.9</v>
      </c>
      <c r="J315" s="24"/>
      <c r="K315" s="21">
        <f>IF(MonthlyFAME!L317=0,"",MonthlyFAME!L317)</f>
        <v>133.334554673497</v>
      </c>
      <c r="L315" s="21">
        <f>IF(MonthlyFAME!M317=0,"",MonthlyFAME!M317)</f>
        <v>3012.6</v>
      </c>
      <c r="M315" s="21" t="str">
        <f>IF(MonthlyFAME!N317=0,"",MonthlyFAME!N317)</f>
        <v/>
      </c>
      <c r="N315" s="21" t="str">
        <f>IF(MonthlyFAME!O317=0,"",MonthlyFAME!O317)</f>
        <v/>
      </c>
      <c r="O315" s="21" t="str">
        <f>IF(MonthlyFAME!P317=0,"",MonthlyFAME!P317)</f>
        <v/>
      </c>
      <c r="P315" s="21" t="str">
        <f>IF(MonthlyFAME!Q317=0,"",MonthlyFAME!Q317)</f>
        <v/>
      </c>
      <c r="Q315" s="21" t="str">
        <f>IF(MonthlyFAME!R317=0,"",MonthlyFAME!R317)</f>
        <v/>
      </c>
      <c r="R315" s="21" t="str">
        <f>IF(MonthlyFAME!S317=0,"",MonthlyFAME!S317)</f>
        <v/>
      </c>
      <c r="S315" s="21" t="str">
        <f>IF(MonthlyFAME!T317=0,"",MonthlyFAME!T317)</f>
        <v/>
      </c>
      <c r="T315" s="21" t="str">
        <f>IF(MonthlyFAME!U317=0,"",MonthlyFAME!U317)</f>
        <v/>
      </c>
    </row>
    <row r="316" spans="1:20" x14ac:dyDescent="0.2">
      <c r="A316" s="23">
        <f>IF(MonthlyFAME!A318=0,"",MonthlyFAME!A318)</f>
        <v>31412</v>
      </c>
      <c r="B316" s="21" t="str">
        <f>IF(MonthlyFAME!B318=0,"",MonthlyFAME!B318)</f>
        <v/>
      </c>
      <c r="C316" s="21">
        <f>IF(MonthlyFAME!C318=0,"",MonthlyFAME!C318)</f>
        <v>65</v>
      </c>
      <c r="D316" s="21" t="str">
        <f>IF(MonthlyFAME!D318=0,"",MonthlyFAME!D318)</f>
        <v/>
      </c>
      <c r="E316" s="21">
        <f>IF(MonthlyFAME!F318=0,"",MonthlyFAME!F318)</f>
        <v>7178</v>
      </c>
      <c r="F316" s="21">
        <f>IF(MonthlyFAME!G318=0,"",MonthlyFAME!G318)</f>
        <v>7405</v>
      </c>
      <c r="G316" s="21">
        <f>IF(MonthlyFAME!H318=0,"",MonthlyFAME!H318)</f>
        <v>11.279007015650297</v>
      </c>
      <c r="H316" s="21">
        <f>IF(MonthlyFAME!I318=0,"",MonthlyFAME!I318)</f>
        <v>24660</v>
      </c>
      <c r="I316" s="21">
        <f>IF(MonthlyFAME!J318=0,"",MonthlyFAME!J318)</f>
        <v>827.7</v>
      </c>
      <c r="J316" s="24"/>
      <c r="K316" s="21">
        <f>IF(MonthlyFAME!L318=0,"",MonthlyFAME!L318)</f>
        <v>134.698857976911</v>
      </c>
      <c r="L316" s="21">
        <f>IF(MonthlyFAME!M318=0,"",MonthlyFAME!M318)</f>
        <v>3033.4</v>
      </c>
      <c r="M316" s="21" t="str">
        <f>IF(MonthlyFAME!N318=0,"",MonthlyFAME!N318)</f>
        <v/>
      </c>
      <c r="N316" s="21" t="str">
        <f>IF(MonthlyFAME!O318=0,"",MonthlyFAME!O318)</f>
        <v/>
      </c>
      <c r="O316" s="21" t="str">
        <f>IF(MonthlyFAME!P318=0,"",MonthlyFAME!P318)</f>
        <v/>
      </c>
      <c r="P316" s="21" t="str">
        <f>IF(MonthlyFAME!Q318=0,"",MonthlyFAME!Q318)</f>
        <v/>
      </c>
      <c r="Q316" s="21" t="str">
        <f>IF(MonthlyFAME!R318=0,"",MonthlyFAME!R318)</f>
        <v/>
      </c>
      <c r="R316" s="21" t="str">
        <f>IF(MonthlyFAME!S318=0,"",MonthlyFAME!S318)</f>
        <v/>
      </c>
      <c r="S316" s="21" t="str">
        <f>IF(MonthlyFAME!T318=0,"",MonthlyFAME!T318)</f>
        <v/>
      </c>
      <c r="T316" s="21" t="str">
        <f>IF(MonthlyFAME!U318=0,"",MonthlyFAME!U318)</f>
        <v/>
      </c>
    </row>
    <row r="317" spans="1:20" x14ac:dyDescent="0.2">
      <c r="A317" s="23">
        <f>IF(MonthlyFAME!A319=0,"",MonthlyFAME!A319)</f>
        <v>31443</v>
      </c>
      <c r="B317" s="21" t="str">
        <f>IF(MonthlyFAME!B319=0,"",MonthlyFAME!B319)</f>
        <v/>
      </c>
      <c r="C317" s="21">
        <f>IF(MonthlyFAME!C319=0,"",MonthlyFAME!C319)</f>
        <v>65.8</v>
      </c>
      <c r="D317" s="21" t="str">
        <f>IF(MonthlyFAME!D319=0,"",MonthlyFAME!D319)</f>
        <v/>
      </c>
      <c r="E317" s="21">
        <f>IF(MonthlyFAME!F319=0,"",MonthlyFAME!F319)</f>
        <v>7292</v>
      </c>
      <c r="F317" s="21">
        <f>IF(MonthlyFAME!G319=0,"",MonthlyFAME!G319)</f>
        <v>7602</v>
      </c>
      <c r="G317" s="21">
        <f>IF(MonthlyFAME!H319=0,"",MonthlyFAME!H319)</f>
        <v>11.288581912367796</v>
      </c>
      <c r="H317" s="21">
        <f>IF(MonthlyFAME!I319=0,"",MonthlyFAME!I319)</f>
        <v>24660</v>
      </c>
      <c r="I317" s="21">
        <f>IF(MonthlyFAME!J319=0,"",MonthlyFAME!J319)</f>
        <v>827.3</v>
      </c>
      <c r="J317" s="24"/>
      <c r="K317" s="21">
        <f>IF(MonthlyFAME!L319=0,"",MonthlyFAME!L319)</f>
        <v>134.82334518447001</v>
      </c>
      <c r="L317" s="21">
        <f>IF(MonthlyFAME!M319=0,"",MonthlyFAME!M319)</f>
        <v>3044.5</v>
      </c>
      <c r="M317" s="21" t="str">
        <f>IF(MonthlyFAME!N319=0,"",MonthlyFAME!N319)</f>
        <v/>
      </c>
      <c r="N317" s="21" t="str">
        <f>IF(MonthlyFAME!O319=0,"",MonthlyFAME!O319)</f>
        <v/>
      </c>
      <c r="O317" s="21" t="str">
        <f>IF(MonthlyFAME!P319=0,"",MonthlyFAME!P319)</f>
        <v/>
      </c>
      <c r="P317" s="21" t="str">
        <f>IF(MonthlyFAME!Q319=0,"",MonthlyFAME!Q319)</f>
        <v/>
      </c>
      <c r="Q317" s="21" t="str">
        <f>IF(MonthlyFAME!R319=0,"",MonthlyFAME!R319)</f>
        <v/>
      </c>
      <c r="R317" s="21" t="str">
        <f>IF(MonthlyFAME!S319=0,"",MonthlyFAME!S319)</f>
        <v/>
      </c>
      <c r="S317" s="21" t="str">
        <f>IF(MonthlyFAME!T319=0,"",MonthlyFAME!T319)</f>
        <v/>
      </c>
      <c r="T317" s="21" t="str">
        <f>IF(MonthlyFAME!U319=0,"",MonthlyFAME!U319)</f>
        <v/>
      </c>
    </row>
    <row r="318" spans="1:20" x14ac:dyDescent="0.2">
      <c r="A318" s="23">
        <f>IF(MonthlyFAME!A320=0,"",MonthlyFAME!A320)</f>
        <v>31471</v>
      </c>
      <c r="B318" s="21" t="str">
        <f>IF(MonthlyFAME!B320=0,"",MonthlyFAME!B320)</f>
        <v/>
      </c>
      <c r="C318" s="21">
        <f>IF(MonthlyFAME!C320=0,"",MonthlyFAME!C320)</f>
        <v>66.3</v>
      </c>
      <c r="D318" s="21" t="str">
        <f>IF(MonthlyFAME!D320=0,"",MonthlyFAME!D320)</f>
        <v/>
      </c>
      <c r="E318" s="21">
        <f>IF(MonthlyFAME!F320=0,"",MonthlyFAME!F320)</f>
        <v>7555</v>
      </c>
      <c r="F318" s="21">
        <f>IF(MonthlyFAME!G320=0,"",MonthlyFAME!G320)</f>
        <v>7803</v>
      </c>
      <c r="G318" s="21">
        <f>IF(MonthlyFAME!H320=0,"",MonthlyFAME!H320)</f>
        <v>11.300471002768489</v>
      </c>
      <c r="H318" s="21">
        <f>IF(MonthlyFAME!I320=0,"",MonthlyFAME!I320)</f>
        <v>24670</v>
      </c>
      <c r="I318" s="21">
        <f>IF(MonthlyFAME!J320=0,"",MonthlyFAME!J320)</f>
        <v>827.4</v>
      </c>
      <c r="J318" s="24"/>
      <c r="K318" s="21">
        <f>IF(MonthlyFAME!L320=0,"",MonthlyFAME!L320)</f>
        <v>135.69506341295099</v>
      </c>
      <c r="L318" s="21">
        <f>IF(MonthlyFAME!M320=0,"",MonthlyFAME!M320)</f>
        <v>3053.2</v>
      </c>
      <c r="M318" s="21" t="str">
        <f>IF(MonthlyFAME!N320=0,"",MonthlyFAME!N320)</f>
        <v/>
      </c>
      <c r="N318" s="21" t="str">
        <f>IF(MonthlyFAME!O320=0,"",MonthlyFAME!O320)</f>
        <v/>
      </c>
      <c r="O318" s="21" t="str">
        <f>IF(MonthlyFAME!P320=0,"",MonthlyFAME!P320)</f>
        <v/>
      </c>
      <c r="P318" s="21" t="str">
        <f>IF(MonthlyFAME!Q320=0,"",MonthlyFAME!Q320)</f>
        <v/>
      </c>
      <c r="Q318" s="21" t="str">
        <f>IF(MonthlyFAME!R320=0,"",MonthlyFAME!R320)</f>
        <v/>
      </c>
      <c r="R318" s="21" t="str">
        <f>IF(MonthlyFAME!S320=0,"",MonthlyFAME!S320)</f>
        <v/>
      </c>
      <c r="S318" s="21" t="str">
        <f>IF(MonthlyFAME!T320=0,"",MonthlyFAME!T320)</f>
        <v/>
      </c>
      <c r="T318" s="21" t="str">
        <f>IF(MonthlyFAME!U320=0,"",MonthlyFAME!U320)</f>
        <v/>
      </c>
    </row>
    <row r="319" spans="1:20" x14ac:dyDescent="0.2">
      <c r="A319" s="23">
        <f>IF(MonthlyFAME!A321=0,"",MonthlyFAME!A321)</f>
        <v>31502</v>
      </c>
      <c r="B319" s="21" t="str">
        <f>IF(MonthlyFAME!B321=0,"",MonthlyFAME!B321)</f>
        <v/>
      </c>
      <c r="C319" s="21">
        <f>IF(MonthlyFAME!C321=0,"",MonthlyFAME!C321)</f>
        <v>66.900000000000006</v>
      </c>
      <c r="D319" s="21" t="str">
        <f>IF(MonthlyFAME!D321=0,"",MonthlyFAME!D321)</f>
        <v/>
      </c>
      <c r="E319" s="21">
        <f>IF(MonthlyFAME!F321=0,"",MonthlyFAME!F321)</f>
        <v>7353</v>
      </c>
      <c r="F319" s="21">
        <f>IF(MonthlyFAME!G321=0,"",MonthlyFAME!G321)</f>
        <v>7780</v>
      </c>
      <c r="G319" s="21">
        <f>IF(MonthlyFAME!H321=0,"",MonthlyFAME!H321)</f>
        <v>11.322789360172537</v>
      </c>
      <c r="H319" s="21">
        <f>IF(MonthlyFAME!I321=0,"",MonthlyFAME!I321)</f>
        <v>24670</v>
      </c>
      <c r="I319" s="21">
        <f>IF(MonthlyFAME!J321=0,"",MonthlyFAME!J321)</f>
        <v>827.2</v>
      </c>
      <c r="J319" s="24"/>
      <c r="K319" s="21">
        <f>IF(MonthlyFAME!L321=0,"",MonthlyFAME!L321)</f>
        <v>137.18363928074999</v>
      </c>
      <c r="L319" s="21">
        <f>IF(MonthlyFAME!M321=0,"",MonthlyFAME!M321)</f>
        <v>3086.1</v>
      </c>
      <c r="M319" s="21" t="str">
        <f>IF(MonthlyFAME!N321=0,"",MonthlyFAME!N321)</f>
        <v/>
      </c>
      <c r="N319" s="21" t="str">
        <f>IF(MonthlyFAME!O321=0,"",MonthlyFAME!O321)</f>
        <v/>
      </c>
      <c r="O319" s="21" t="str">
        <f>IF(MonthlyFAME!P321=0,"",MonthlyFAME!P321)</f>
        <v/>
      </c>
      <c r="P319" s="21" t="str">
        <f>IF(MonthlyFAME!Q321=0,"",MonthlyFAME!Q321)</f>
        <v/>
      </c>
      <c r="Q319" s="21" t="str">
        <f>IF(MonthlyFAME!R321=0,"",MonthlyFAME!R321)</f>
        <v/>
      </c>
      <c r="R319" s="21" t="str">
        <f>IF(MonthlyFAME!S321=0,"",MonthlyFAME!S321)</f>
        <v/>
      </c>
      <c r="S319" s="21" t="str">
        <f>IF(MonthlyFAME!T321=0,"",MonthlyFAME!T321)</f>
        <v/>
      </c>
      <c r="T319" s="21" t="str">
        <f>IF(MonthlyFAME!U321=0,"",MonthlyFAME!U321)</f>
        <v/>
      </c>
    </row>
    <row r="320" spans="1:20" x14ac:dyDescent="0.2">
      <c r="A320" s="23">
        <f>IF(MonthlyFAME!A322=0,"",MonthlyFAME!A322)</f>
        <v>31532</v>
      </c>
      <c r="B320" s="21" t="str">
        <f>IF(MonthlyFAME!B322=0,"",MonthlyFAME!B322)</f>
        <v/>
      </c>
      <c r="C320" s="21">
        <f>IF(MonthlyFAME!C322=0,"",MonthlyFAME!C322)</f>
        <v>67.8</v>
      </c>
      <c r="D320" s="21" t="str">
        <f>IF(MonthlyFAME!D322=0,"",MonthlyFAME!D322)</f>
        <v/>
      </c>
      <c r="E320" s="21">
        <f>IF(MonthlyFAME!F322=0,"",MonthlyFAME!F322)</f>
        <v>7659</v>
      </c>
      <c r="F320" s="21">
        <f>IF(MonthlyFAME!G322=0,"",MonthlyFAME!G322)</f>
        <v>8040</v>
      </c>
      <c r="G320" s="21">
        <f>IF(MonthlyFAME!H322=0,"",MonthlyFAME!H322)</f>
        <v>11.323941637317617</v>
      </c>
      <c r="H320" s="21">
        <f>IF(MonthlyFAME!I322=0,"",MonthlyFAME!I322)</f>
        <v>24675</v>
      </c>
      <c r="I320" s="21">
        <f>IF(MonthlyFAME!J322=0,"",MonthlyFAME!J322)</f>
        <v>827.1</v>
      </c>
      <c r="J320" s="24"/>
      <c r="K320" s="21">
        <f>IF(MonthlyFAME!L322=0,"",MonthlyFAME!L322)</f>
        <v>139.07287212683801</v>
      </c>
      <c r="L320" s="21">
        <f>IF(MonthlyFAME!M322=0,"",MonthlyFAME!M322)</f>
        <v>3076.3</v>
      </c>
      <c r="M320" s="21" t="str">
        <f>IF(MonthlyFAME!N322=0,"",MonthlyFAME!N322)</f>
        <v/>
      </c>
      <c r="N320" s="21" t="str">
        <f>IF(MonthlyFAME!O322=0,"",MonthlyFAME!O322)</f>
        <v/>
      </c>
      <c r="O320" s="21" t="str">
        <f>IF(MonthlyFAME!P322=0,"",MonthlyFAME!P322)</f>
        <v/>
      </c>
      <c r="P320" s="21" t="str">
        <f>IF(MonthlyFAME!Q322=0,"",MonthlyFAME!Q322)</f>
        <v/>
      </c>
      <c r="Q320" s="21" t="str">
        <f>IF(MonthlyFAME!R322=0,"",MonthlyFAME!R322)</f>
        <v/>
      </c>
      <c r="R320" s="21" t="str">
        <f>IF(MonthlyFAME!S322=0,"",MonthlyFAME!S322)</f>
        <v/>
      </c>
      <c r="S320" s="21" t="str">
        <f>IF(MonthlyFAME!T322=0,"",MonthlyFAME!T322)</f>
        <v/>
      </c>
      <c r="T320" s="21" t="str">
        <f>IF(MonthlyFAME!U322=0,"",MonthlyFAME!U322)</f>
        <v/>
      </c>
    </row>
    <row r="321" spans="1:20" x14ac:dyDescent="0.2">
      <c r="A321" s="23">
        <f>IF(MonthlyFAME!A323=0,"",MonthlyFAME!A323)</f>
        <v>31563</v>
      </c>
      <c r="B321" s="21" t="str">
        <f>IF(MonthlyFAME!B323=0,"",MonthlyFAME!B323)</f>
        <v/>
      </c>
      <c r="C321" s="21">
        <f>IF(MonthlyFAME!C323=0,"",MonthlyFAME!C323)</f>
        <v>66.599999999999994</v>
      </c>
      <c r="D321" s="21" t="str">
        <f>IF(MonthlyFAME!D323=0,"",MonthlyFAME!D323)</f>
        <v/>
      </c>
      <c r="E321" s="21">
        <f>IF(MonthlyFAME!F323=0,"",MonthlyFAME!F323)</f>
        <v>7492</v>
      </c>
      <c r="F321" s="21">
        <f>IF(MonthlyFAME!G323=0,"",MonthlyFAME!G323)</f>
        <v>8046</v>
      </c>
      <c r="G321" s="21">
        <f>IF(MonthlyFAME!H323=0,"",MonthlyFAME!H323)</f>
        <v>11.330243919962639</v>
      </c>
      <c r="H321" s="21">
        <f>IF(MonthlyFAME!I323=0,"",MonthlyFAME!I323)</f>
        <v>24683</v>
      </c>
      <c r="I321" s="21">
        <f>IF(MonthlyFAME!J323=0,"",MonthlyFAME!J323)</f>
        <v>827.1</v>
      </c>
      <c r="J321" s="24"/>
      <c r="K321" s="21">
        <f>IF(MonthlyFAME!L323=0,"",MonthlyFAME!L323)</f>
        <v>138.12568162081701</v>
      </c>
      <c r="L321" s="21">
        <f>IF(MonthlyFAME!M323=0,"",MonthlyFAME!M323)</f>
        <v>3084.4</v>
      </c>
      <c r="M321" s="21" t="str">
        <f>IF(MonthlyFAME!N323=0,"",MonthlyFAME!N323)</f>
        <v/>
      </c>
      <c r="N321" s="21" t="str">
        <f>IF(MonthlyFAME!O323=0,"",MonthlyFAME!O323)</f>
        <v/>
      </c>
      <c r="O321" s="21" t="str">
        <f>IF(MonthlyFAME!P323=0,"",MonthlyFAME!P323)</f>
        <v/>
      </c>
      <c r="P321" s="21" t="str">
        <f>IF(MonthlyFAME!Q323=0,"",MonthlyFAME!Q323)</f>
        <v/>
      </c>
      <c r="Q321" s="21" t="str">
        <f>IF(MonthlyFAME!R323=0,"",MonthlyFAME!R323)</f>
        <v/>
      </c>
      <c r="R321" s="21" t="str">
        <f>IF(MonthlyFAME!S323=0,"",MonthlyFAME!S323)</f>
        <v/>
      </c>
      <c r="S321" s="21" t="str">
        <f>IF(MonthlyFAME!T323=0,"",MonthlyFAME!T323)</f>
        <v/>
      </c>
      <c r="T321" s="21" t="str">
        <f>IF(MonthlyFAME!U323=0,"",MonthlyFAME!U323)</f>
        <v/>
      </c>
    </row>
    <row r="322" spans="1:20" x14ac:dyDescent="0.2">
      <c r="A322" s="23">
        <f>IF(MonthlyFAME!A324=0,"",MonthlyFAME!A324)</f>
        <v>31593</v>
      </c>
      <c r="B322" s="21" t="str">
        <f>IF(MonthlyFAME!B324=0,"",MonthlyFAME!B324)</f>
        <v/>
      </c>
      <c r="C322" s="21">
        <f>IF(MonthlyFAME!C324=0,"",MonthlyFAME!C324)</f>
        <v>67.599999999999994</v>
      </c>
      <c r="D322" s="21" t="str">
        <f>IF(MonthlyFAME!D324=0,"",MonthlyFAME!D324)</f>
        <v/>
      </c>
      <c r="E322" s="21">
        <f>IF(MonthlyFAME!F324=0,"",MonthlyFAME!F324)</f>
        <v>7611</v>
      </c>
      <c r="F322" s="21">
        <f>IF(MonthlyFAME!G324=0,"",MonthlyFAME!G324)</f>
        <v>8013</v>
      </c>
      <c r="G322" s="21">
        <f>IF(MonthlyFAME!H324=0,"",MonthlyFAME!H324)</f>
        <v>11.3412795289725</v>
      </c>
      <c r="H322" s="21">
        <f>IF(MonthlyFAME!I324=0,"",MonthlyFAME!I324)</f>
        <v>24695</v>
      </c>
      <c r="I322" s="21">
        <f>IF(MonthlyFAME!J324=0,"",MonthlyFAME!J324)</f>
        <v>827.4</v>
      </c>
      <c r="J322" s="24"/>
      <c r="K322" s="21">
        <f>IF(MonthlyFAME!L324=0,"",MonthlyFAME!L324)</f>
        <v>139.618979284674</v>
      </c>
      <c r="L322" s="21">
        <f>IF(MonthlyFAME!M324=0,"",MonthlyFAME!M324)</f>
        <v>3085.8</v>
      </c>
      <c r="M322" s="21" t="str">
        <f>IF(MonthlyFAME!N324=0,"",MonthlyFAME!N324)</f>
        <v/>
      </c>
      <c r="N322" s="21" t="str">
        <f>IF(MonthlyFAME!O324=0,"",MonthlyFAME!O324)</f>
        <v/>
      </c>
      <c r="O322" s="21" t="str">
        <f>IF(MonthlyFAME!P324=0,"",MonthlyFAME!P324)</f>
        <v/>
      </c>
      <c r="P322" s="21" t="str">
        <f>IF(MonthlyFAME!Q324=0,"",MonthlyFAME!Q324)</f>
        <v/>
      </c>
      <c r="Q322" s="21" t="str">
        <f>IF(MonthlyFAME!R324=0,"",MonthlyFAME!R324)</f>
        <v/>
      </c>
      <c r="R322" s="21" t="str">
        <f>IF(MonthlyFAME!S324=0,"",MonthlyFAME!S324)</f>
        <v/>
      </c>
      <c r="S322" s="21" t="str">
        <f>IF(MonthlyFAME!T324=0,"",MonthlyFAME!T324)</f>
        <v/>
      </c>
      <c r="T322" s="21" t="str">
        <f>IF(MonthlyFAME!U324=0,"",MonthlyFAME!U324)</f>
        <v/>
      </c>
    </row>
    <row r="323" spans="1:20" x14ac:dyDescent="0.2">
      <c r="A323" s="23">
        <f>IF(MonthlyFAME!A325=0,"",MonthlyFAME!A325)</f>
        <v>31624</v>
      </c>
      <c r="B323" s="21" t="str">
        <f>IF(MonthlyFAME!B325=0,"",MonthlyFAME!B325)</f>
        <v/>
      </c>
      <c r="C323" s="21">
        <f>IF(MonthlyFAME!C325=0,"",MonthlyFAME!C325)</f>
        <v>67</v>
      </c>
      <c r="D323" s="21" t="str">
        <f>IF(MonthlyFAME!D325=0,"",MonthlyFAME!D325)</f>
        <v/>
      </c>
      <c r="E323" s="21">
        <f>IF(MonthlyFAME!F325=0,"",MonthlyFAME!F325)</f>
        <v>7717</v>
      </c>
      <c r="F323" s="21">
        <f>IF(MonthlyFAME!G325=0,"",MonthlyFAME!G325)</f>
        <v>8203</v>
      </c>
      <c r="G323" s="21">
        <f>IF(MonthlyFAME!H325=0,"",MonthlyFAME!H325)</f>
        <v>11.359724612736661</v>
      </c>
      <c r="H323" s="21">
        <f>IF(MonthlyFAME!I325=0,"",MonthlyFAME!I325)</f>
        <v>24720</v>
      </c>
      <c r="I323" s="21">
        <f>IF(MonthlyFAME!J325=0,"",MonthlyFAME!J325)</f>
        <v>828.1</v>
      </c>
      <c r="J323" s="24"/>
      <c r="K323" s="21">
        <f>IF(MonthlyFAME!L325=0,"",MonthlyFAME!L325)</f>
        <v>140.32719836579199</v>
      </c>
      <c r="L323" s="21">
        <f>IF(MonthlyFAME!M325=0,"",MonthlyFAME!M325)</f>
        <v>3090</v>
      </c>
      <c r="M323" s="21" t="str">
        <f>IF(MonthlyFAME!N325=0,"",MonthlyFAME!N325)</f>
        <v/>
      </c>
      <c r="N323" s="21" t="str">
        <f>IF(MonthlyFAME!O325=0,"",MonthlyFAME!O325)</f>
        <v/>
      </c>
      <c r="O323" s="21" t="str">
        <f>IF(MonthlyFAME!P325=0,"",MonthlyFAME!P325)</f>
        <v/>
      </c>
      <c r="P323" s="21" t="str">
        <f>IF(MonthlyFAME!Q325=0,"",MonthlyFAME!Q325)</f>
        <v/>
      </c>
      <c r="Q323" s="21" t="str">
        <f>IF(MonthlyFAME!R325=0,"",MonthlyFAME!R325)</f>
        <v/>
      </c>
      <c r="R323" s="21" t="str">
        <f>IF(MonthlyFAME!S325=0,"",MonthlyFAME!S325)</f>
        <v/>
      </c>
      <c r="S323" s="21" t="str">
        <f>IF(MonthlyFAME!T325=0,"",MonthlyFAME!T325)</f>
        <v/>
      </c>
      <c r="T323" s="21" t="str">
        <f>IF(MonthlyFAME!U325=0,"",MonthlyFAME!U325)</f>
        <v/>
      </c>
    </row>
    <row r="324" spans="1:20" x14ac:dyDescent="0.2">
      <c r="A324" s="23">
        <f>IF(MonthlyFAME!A326=0,"",MonthlyFAME!A326)</f>
        <v>31655</v>
      </c>
      <c r="B324" s="21" t="str">
        <f>IF(MonthlyFAME!B326=0,"",MonthlyFAME!B326)</f>
        <v/>
      </c>
      <c r="C324" s="21">
        <f>IF(MonthlyFAME!C326=0,"",MonthlyFAME!C326)</f>
        <v>67</v>
      </c>
      <c r="D324" s="21" t="str">
        <f>IF(MonthlyFAME!D326=0,"",MonthlyFAME!D326)</f>
        <v/>
      </c>
      <c r="E324" s="21">
        <f>IF(MonthlyFAME!F326=0,"",MonthlyFAME!F326)</f>
        <v>7403</v>
      </c>
      <c r="F324" s="21">
        <f>IF(MonthlyFAME!G326=0,"",MonthlyFAME!G326)</f>
        <v>8097</v>
      </c>
      <c r="G324" s="21">
        <f>IF(MonthlyFAME!H326=0,"",MonthlyFAME!H326)</f>
        <v>11.373813361991761</v>
      </c>
      <c r="H324" s="21">
        <f>IF(MonthlyFAME!I326=0,"",MonthlyFAME!I326)</f>
        <v>24740</v>
      </c>
      <c r="I324" s="21">
        <f>IF(MonthlyFAME!J326=0,"",MonthlyFAME!J326)</f>
        <v>828.8</v>
      </c>
      <c r="J324" s="24"/>
      <c r="K324" s="21">
        <f>IF(MonthlyFAME!L326=0,"",MonthlyFAME!L326)</f>
        <v>141.87260477170301</v>
      </c>
      <c r="L324" s="21">
        <f>IF(MonthlyFAME!M326=0,"",MonthlyFAME!M326)</f>
        <v>3087.6</v>
      </c>
      <c r="M324" s="21" t="str">
        <f>IF(MonthlyFAME!N326=0,"",MonthlyFAME!N326)</f>
        <v/>
      </c>
      <c r="N324" s="21" t="str">
        <f>IF(MonthlyFAME!O326=0,"",MonthlyFAME!O326)</f>
        <v/>
      </c>
      <c r="O324" s="21" t="str">
        <f>IF(MonthlyFAME!P326=0,"",MonthlyFAME!P326)</f>
        <v/>
      </c>
      <c r="P324" s="21" t="str">
        <f>IF(MonthlyFAME!Q326=0,"",MonthlyFAME!Q326)</f>
        <v/>
      </c>
      <c r="Q324" s="21" t="str">
        <f>IF(MonthlyFAME!R326=0,"",MonthlyFAME!R326)</f>
        <v/>
      </c>
      <c r="R324" s="21" t="str">
        <f>IF(MonthlyFAME!S326=0,"",MonthlyFAME!S326)</f>
        <v/>
      </c>
      <c r="S324" s="21" t="str">
        <f>IF(MonthlyFAME!T326=0,"",MonthlyFAME!T326)</f>
        <v/>
      </c>
      <c r="T324" s="21" t="str">
        <f>IF(MonthlyFAME!U326=0,"",MonthlyFAME!U326)</f>
        <v/>
      </c>
    </row>
    <row r="325" spans="1:20" x14ac:dyDescent="0.2">
      <c r="A325" s="23">
        <f>IF(MonthlyFAME!A327=0,"",MonthlyFAME!A327)</f>
        <v>31685</v>
      </c>
      <c r="B325" s="21" t="str">
        <f>IF(MonthlyFAME!B327=0,"",MonthlyFAME!B327)</f>
        <v/>
      </c>
      <c r="C325" s="21">
        <f>IF(MonthlyFAME!C327=0,"",MonthlyFAME!C327)</f>
        <v>68.8</v>
      </c>
      <c r="D325" s="21" t="str">
        <f>IF(MonthlyFAME!D327=0,"",MonthlyFAME!D327)</f>
        <v/>
      </c>
      <c r="E325" s="21">
        <f>IF(MonthlyFAME!F327=0,"",MonthlyFAME!F327)</f>
        <v>7606</v>
      </c>
      <c r="F325" s="21">
        <f>IF(MonthlyFAME!G327=0,"",MonthlyFAME!G327)</f>
        <v>8214</v>
      </c>
      <c r="G325" s="21">
        <f>IF(MonthlyFAME!H327=0,"",MonthlyFAME!H327)</f>
        <v>11.367946470104126</v>
      </c>
      <c r="H325" s="21">
        <f>IF(MonthlyFAME!I327=0,"",MonthlyFAME!I327)</f>
        <v>24770</v>
      </c>
      <c r="I325" s="21">
        <f>IF(MonthlyFAME!J327=0,"",MonthlyFAME!J327)</f>
        <v>829.9</v>
      </c>
      <c r="J325" s="24"/>
      <c r="K325" s="21">
        <f>IF(MonthlyFAME!L327=0,"",MonthlyFAME!L327)</f>
        <v>142.33142597746399</v>
      </c>
      <c r="L325" s="21">
        <f>IF(MonthlyFAME!M327=0,"",MonthlyFAME!M327)</f>
        <v>3072</v>
      </c>
      <c r="M325" s="21" t="str">
        <f>IF(MonthlyFAME!N327=0,"",MonthlyFAME!N327)</f>
        <v/>
      </c>
      <c r="N325" s="21" t="str">
        <f>IF(MonthlyFAME!O327=0,"",MonthlyFAME!O327)</f>
        <v/>
      </c>
      <c r="O325" s="21" t="str">
        <f>IF(MonthlyFAME!P327=0,"",MonthlyFAME!P327)</f>
        <v/>
      </c>
      <c r="P325" s="21" t="str">
        <f>IF(MonthlyFAME!Q327=0,"",MonthlyFAME!Q327)</f>
        <v/>
      </c>
      <c r="Q325" s="21" t="str">
        <f>IF(MonthlyFAME!R327=0,"",MonthlyFAME!R327)</f>
        <v/>
      </c>
      <c r="R325" s="21" t="str">
        <f>IF(MonthlyFAME!S327=0,"",MonthlyFAME!S327)</f>
        <v/>
      </c>
      <c r="S325" s="21" t="str">
        <f>IF(MonthlyFAME!T327=0,"",MonthlyFAME!T327)</f>
        <v/>
      </c>
      <c r="T325" s="21" t="str">
        <f>IF(MonthlyFAME!U327=0,"",MonthlyFAME!U327)</f>
        <v/>
      </c>
    </row>
    <row r="326" spans="1:20" x14ac:dyDescent="0.2">
      <c r="A326" s="23">
        <f>IF(MonthlyFAME!A328=0,"",MonthlyFAME!A328)</f>
        <v>31716</v>
      </c>
      <c r="B326" s="21" t="str">
        <f>IF(MonthlyFAME!B328=0,"",MonthlyFAME!B328)</f>
        <v/>
      </c>
      <c r="C326" s="21">
        <f>IF(MonthlyFAME!C328=0,"",MonthlyFAME!C328)</f>
        <v>68.900000000000006</v>
      </c>
      <c r="D326" s="21" t="str">
        <f>IF(MonthlyFAME!D328=0,"",MonthlyFAME!D328)</f>
        <v/>
      </c>
      <c r="E326" s="21">
        <f>IF(MonthlyFAME!F328=0,"",MonthlyFAME!F328)</f>
        <v>7746</v>
      </c>
      <c r="F326" s="21">
        <f>IF(MonthlyFAME!G328=0,"",MonthlyFAME!G328)</f>
        <v>8357</v>
      </c>
      <c r="G326" s="21">
        <f>IF(MonthlyFAME!H328=0,"",MonthlyFAME!H328)</f>
        <v>11.336741625254728</v>
      </c>
      <c r="H326" s="21">
        <f>IF(MonthlyFAME!I328=0,"",MonthlyFAME!I328)</f>
        <v>24800</v>
      </c>
      <c r="I326" s="21">
        <f>IF(MonthlyFAME!J328=0,"",MonthlyFAME!J328)</f>
        <v>831.1</v>
      </c>
      <c r="J326" s="24"/>
      <c r="K326" s="21">
        <f>IF(MonthlyFAME!L328=0,"",MonthlyFAME!L328)</f>
        <v>143.711976869502</v>
      </c>
      <c r="L326" s="21">
        <f>IF(MonthlyFAME!M328=0,"",MonthlyFAME!M328)</f>
        <v>3052.7</v>
      </c>
      <c r="M326" s="21" t="str">
        <f>IF(MonthlyFAME!N328=0,"",MonthlyFAME!N328)</f>
        <v/>
      </c>
      <c r="N326" s="21" t="str">
        <f>IF(MonthlyFAME!O328=0,"",MonthlyFAME!O328)</f>
        <v/>
      </c>
      <c r="O326" s="21" t="str">
        <f>IF(MonthlyFAME!P328=0,"",MonthlyFAME!P328)</f>
        <v/>
      </c>
      <c r="P326" s="21" t="str">
        <f>IF(MonthlyFAME!Q328=0,"",MonthlyFAME!Q328)</f>
        <v/>
      </c>
      <c r="Q326" s="21" t="str">
        <f>IF(MonthlyFAME!R328=0,"",MonthlyFAME!R328)</f>
        <v/>
      </c>
      <c r="R326" s="21" t="str">
        <f>IF(MonthlyFAME!S328=0,"",MonthlyFAME!S328)</f>
        <v/>
      </c>
      <c r="S326" s="21" t="str">
        <f>IF(MonthlyFAME!T328=0,"",MonthlyFAME!T328)</f>
        <v/>
      </c>
      <c r="T326" s="21" t="str">
        <f>IF(MonthlyFAME!U328=0,"",MonthlyFAME!U328)</f>
        <v/>
      </c>
    </row>
    <row r="327" spans="1:20" x14ac:dyDescent="0.2">
      <c r="A327" s="23">
        <f>IF(MonthlyFAME!A329=0,"",MonthlyFAME!A329)</f>
        <v>31746</v>
      </c>
      <c r="B327" s="21" t="str">
        <f>IF(MonthlyFAME!B329=0,"",MonthlyFAME!B329)</f>
        <v/>
      </c>
      <c r="C327" s="21">
        <f>IF(MonthlyFAME!C329=0,"",MonthlyFAME!C329)</f>
        <v>68.7</v>
      </c>
      <c r="D327" s="21" t="str">
        <f>IF(MonthlyFAME!D329=0,"",MonthlyFAME!D329)</f>
        <v/>
      </c>
      <c r="E327" s="21">
        <f>IF(MonthlyFAME!F329=0,"",MonthlyFAME!F329)</f>
        <v>7990</v>
      </c>
      <c r="F327" s="21">
        <f>IF(MonthlyFAME!G329=0,"",MonthlyFAME!G329)</f>
        <v>8201</v>
      </c>
      <c r="G327" s="21">
        <f>IF(MonthlyFAME!H329=0,"",MonthlyFAME!H329)</f>
        <v>11.305590283979281</v>
      </c>
      <c r="H327" s="21">
        <f>IF(MonthlyFAME!I329=0,"",MonthlyFAME!I329)</f>
        <v>24830</v>
      </c>
      <c r="I327" s="21">
        <f>IF(MonthlyFAME!J329=0,"",MonthlyFAME!J329)</f>
        <v>832.1</v>
      </c>
      <c r="J327" s="24"/>
      <c r="K327" s="21">
        <f>IF(MonthlyFAME!L329=0,"",MonthlyFAME!L329)</f>
        <v>144.38285161673301</v>
      </c>
      <c r="L327" s="21">
        <f>IF(MonthlyFAME!M329=0,"",MonthlyFAME!M329)</f>
        <v>3045.6</v>
      </c>
      <c r="M327" s="21" t="str">
        <f>IF(MonthlyFAME!N329=0,"",MonthlyFAME!N329)</f>
        <v/>
      </c>
      <c r="N327" s="21" t="str">
        <f>IF(MonthlyFAME!O329=0,"",MonthlyFAME!O329)</f>
        <v/>
      </c>
      <c r="O327" s="21" t="str">
        <f>IF(MonthlyFAME!P329=0,"",MonthlyFAME!P329)</f>
        <v/>
      </c>
      <c r="P327" s="21" t="str">
        <f>IF(MonthlyFAME!Q329=0,"",MonthlyFAME!Q329)</f>
        <v/>
      </c>
      <c r="Q327" s="21" t="str">
        <f>IF(MonthlyFAME!R329=0,"",MonthlyFAME!R329)</f>
        <v/>
      </c>
      <c r="R327" s="21" t="str">
        <f>IF(MonthlyFAME!S329=0,"",MonthlyFAME!S329)</f>
        <v/>
      </c>
      <c r="S327" s="21" t="str">
        <f>IF(MonthlyFAME!T329=0,"",MonthlyFAME!T329)</f>
        <v/>
      </c>
      <c r="T327" s="21" t="str">
        <f>IF(MonthlyFAME!U329=0,"",MonthlyFAME!U329)</f>
        <v/>
      </c>
    </row>
    <row r="328" spans="1:20" x14ac:dyDescent="0.2">
      <c r="A328" s="23">
        <f>IF(MonthlyFAME!A330=0,"",MonthlyFAME!A330)</f>
        <v>31777</v>
      </c>
      <c r="B328" s="21" t="str">
        <f>IF(MonthlyFAME!B330=0,"",MonthlyFAME!B330)</f>
        <v/>
      </c>
      <c r="C328" s="21">
        <f>IF(MonthlyFAME!C330=0,"",MonthlyFAME!C330)</f>
        <v>68.900000000000006</v>
      </c>
      <c r="D328" s="21" t="str">
        <f>IF(MonthlyFAME!D330=0,"",MonthlyFAME!D330)</f>
        <v/>
      </c>
      <c r="E328" s="21">
        <f>IF(MonthlyFAME!F330=0,"",MonthlyFAME!F330)</f>
        <v>7718</v>
      </c>
      <c r="F328" s="21">
        <f>IF(MonthlyFAME!G330=0,"",MonthlyFAME!G330)</f>
        <v>8278</v>
      </c>
      <c r="G328" s="21">
        <f>IF(MonthlyFAME!H330=0,"",MonthlyFAME!H330)</f>
        <v>11.269013782760837</v>
      </c>
      <c r="H328" s="21">
        <f>IF(MonthlyFAME!I330=0,"",MonthlyFAME!I330)</f>
        <v>24850</v>
      </c>
      <c r="I328" s="21">
        <f>IF(MonthlyFAME!J330=0,"",MonthlyFAME!J330)</f>
        <v>832.9</v>
      </c>
      <c r="J328" s="24"/>
      <c r="K328" s="21">
        <f>IF(MonthlyFAME!L330=0,"",MonthlyFAME!L330)</f>
        <v>144.62927144473599</v>
      </c>
      <c r="L328" s="21">
        <f>IF(MonthlyFAME!M330=0,"",MonthlyFAME!M330)</f>
        <v>3021.4</v>
      </c>
      <c r="M328" s="21" t="str">
        <f>IF(MonthlyFAME!N330=0,"",MonthlyFAME!N330)</f>
        <v/>
      </c>
      <c r="N328" s="21" t="str">
        <f>IF(MonthlyFAME!O330=0,"",MonthlyFAME!O330)</f>
        <v/>
      </c>
      <c r="O328" s="21" t="str">
        <f>IF(MonthlyFAME!P330=0,"",MonthlyFAME!P330)</f>
        <v/>
      </c>
      <c r="P328" s="21" t="str">
        <f>IF(MonthlyFAME!Q330=0,"",MonthlyFAME!Q330)</f>
        <v/>
      </c>
      <c r="Q328" s="21" t="str">
        <f>IF(MonthlyFAME!R330=0,"",MonthlyFAME!R330)</f>
        <v/>
      </c>
      <c r="R328" s="21" t="str">
        <f>IF(MonthlyFAME!S330=0,"",MonthlyFAME!S330)</f>
        <v/>
      </c>
      <c r="S328" s="21" t="str">
        <f>IF(MonthlyFAME!T330=0,"",MonthlyFAME!T330)</f>
        <v/>
      </c>
      <c r="T328" s="21" t="str">
        <f>IF(MonthlyFAME!U330=0,"",MonthlyFAME!U330)</f>
        <v/>
      </c>
    </row>
    <row r="329" spans="1:20" x14ac:dyDescent="0.2">
      <c r="A329" s="23">
        <f>IF(MonthlyFAME!A331=0,"",MonthlyFAME!A331)</f>
        <v>31808</v>
      </c>
      <c r="B329" s="21" t="str">
        <f>IF(MonthlyFAME!B331=0,"",MonthlyFAME!B331)</f>
        <v/>
      </c>
      <c r="C329" s="21">
        <f>IF(MonthlyFAME!C331=0,"",MonthlyFAME!C331)</f>
        <v>67.599999999999994</v>
      </c>
      <c r="D329" s="21" t="str">
        <f>IF(MonthlyFAME!D331=0,"",MonthlyFAME!D331)</f>
        <v/>
      </c>
      <c r="E329" s="21">
        <f>IF(MonthlyFAME!F331=0,"",MonthlyFAME!F331)</f>
        <v>7664</v>
      </c>
      <c r="F329" s="21">
        <f>IF(MonthlyFAME!G331=0,"",MonthlyFAME!G331)</f>
        <v>7796</v>
      </c>
      <c r="G329" s="21">
        <f>IF(MonthlyFAME!H331=0,"",MonthlyFAME!H331)</f>
        <v>11.239964317573595</v>
      </c>
      <c r="H329" s="21">
        <f>IF(MonthlyFAME!I331=0,"",MonthlyFAME!I331)</f>
        <v>24875</v>
      </c>
      <c r="I329" s="21">
        <f>IF(MonthlyFAME!J331=0,"",MonthlyFAME!J331)</f>
        <v>833.8</v>
      </c>
      <c r="J329" s="24"/>
      <c r="K329" s="21">
        <f>IF(MonthlyFAME!L331=0,"",MonthlyFAME!L331)</f>
        <v>145.62908128368599</v>
      </c>
      <c r="L329" s="21">
        <f>IF(MonthlyFAME!M331=0,"",MonthlyFAME!M331)</f>
        <v>3014.9</v>
      </c>
      <c r="M329" s="21" t="str">
        <f>IF(MonthlyFAME!N331=0,"",MonthlyFAME!N331)</f>
        <v/>
      </c>
      <c r="N329" s="21" t="str">
        <f>IF(MonthlyFAME!O331=0,"",MonthlyFAME!O331)</f>
        <v/>
      </c>
      <c r="O329" s="21" t="str">
        <f>IF(MonthlyFAME!P331=0,"",MonthlyFAME!P331)</f>
        <v/>
      </c>
      <c r="P329" s="21" t="str">
        <f>IF(MonthlyFAME!Q331=0,"",MonthlyFAME!Q331)</f>
        <v/>
      </c>
      <c r="Q329" s="21" t="str">
        <f>IF(MonthlyFAME!R331=0,"",MonthlyFAME!R331)</f>
        <v/>
      </c>
      <c r="R329" s="21" t="str">
        <f>IF(MonthlyFAME!S331=0,"",MonthlyFAME!S331)</f>
        <v/>
      </c>
      <c r="S329" s="21" t="str">
        <f>IF(MonthlyFAME!T331=0,"",MonthlyFAME!T331)</f>
        <v/>
      </c>
      <c r="T329" s="21" t="str">
        <f>IF(MonthlyFAME!U331=0,"",MonthlyFAME!U331)</f>
        <v/>
      </c>
    </row>
    <row r="330" spans="1:20" x14ac:dyDescent="0.2">
      <c r="A330" s="23">
        <f>IF(MonthlyFAME!A332=0,"",MonthlyFAME!A332)</f>
        <v>31836</v>
      </c>
      <c r="B330" s="21" t="str">
        <f>IF(MonthlyFAME!B332=0,"",MonthlyFAME!B332)</f>
        <v/>
      </c>
      <c r="C330" s="21">
        <f>IF(MonthlyFAME!C332=0,"",MonthlyFAME!C332)</f>
        <v>69.8</v>
      </c>
      <c r="D330" s="21" t="str">
        <f>IF(MonthlyFAME!D332=0,"",MonthlyFAME!D332)</f>
        <v/>
      </c>
      <c r="E330" s="21">
        <f>IF(MonthlyFAME!F332=0,"",MonthlyFAME!F332)</f>
        <v>8488</v>
      </c>
      <c r="F330" s="21">
        <f>IF(MonthlyFAME!G332=0,"",MonthlyFAME!G332)</f>
        <v>8288</v>
      </c>
      <c r="G330" s="21">
        <f>IF(MonthlyFAME!H332=0,"",MonthlyFAME!H332)</f>
        <v>11.179282300064207</v>
      </c>
      <c r="H330" s="21">
        <f>IF(MonthlyFAME!I332=0,"",MonthlyFAME!I332)</f>
        <v>24900</v>
      </c>
      <c r="I330" s="21">
        <f>IF(MonthlyFAME!J332=0,"",MonthlyFAME!J332)</f>
        <v>835</v>
      </c>
      <c r="J330" s="24"/>
      <c r="K330" s="21">
        <f>IF(MonthlyFAME!L332=0,"",MonthlyFAME!L332)</f>
        <v>146.23964629152201</v>
      </c>
      <c r="L330" s="21">
        <f>IF(MonthlyFAME!M332=0,"",MonthlyFAME!M332)</f>
        <v>2966.4</v>
      </c>
      <c r="M330" s="21" t="str">
        <f>IF(MonthlyFAME!N332=0,"",MonthlyFAME!N332)</f>
        <v/>
      </c>
      <c r="N330" s="21" t="str">
        <f>IF(MonthlyFAME!O332=0,"",MonthlyFAME!O332)</f>
        <v/>
      </c>
      <c r="O330" s="21" t="str">
        <f>IF(MonthlyFAME!P332=0,"",MonthlyFAME!P332)</f>
        <v/>
      </c>
      <c r="P330" s="21" t="str">
        <f>IF(MonthlyFAME!Q332=0,"",MonthlyFAME!Q332)</f>
        <v/>
      </c>
      <c r="Q330" s="21" t="str">
        <f>IF(MonthlyFAME!R332=0,"",MonthlyFAME!R332)</f>
        <v/>
      </c>
      <c r="R330" s="21" t="str">
        <f>IF(MonthlyFAME!S332=0,"",MonthlyFAME!S332)</f>
        <v/>
      </c>
      <c r="S330" s="21" t="str">
        <f>IF(MonthlyFAME!T332=0,"",MonthlyFAME!T332)</f>
        <v/>
      </c>
      <c r="T330" s="21" t="str">
        <f>IF(MonthlyFAME!U332=0,"",MonthlyFAME!U332)</f>
        <v/>
      </c>
    </row>
    <row r="331" spans="1:20" x14ac:dyDescent="0.2">
      <c r="A331" s="23">
        <f>IF(MonthlyFAME!A333=0,"",MonthlyFAME!A333)</f>
        <v>31867</v>
      </c>
      <c r="B331" s="21" t="str">
        <f>IF(MonthlyFAME!B333=0,"",MonthlyFAME!B333)</f>
        <v/>
      </c>
      <c r="C331" s="21">
        <f>IF(MonthlyFAME!C333=0,"",MonthlyFAME!C333)</f>
        <v>69.5</v>
      </c>
      <c r="D331" s="21" t="str">
        <f>IF(MonthlyFAME!D333=0,"",MonthlyFAME!D333)</f>
        <v/>
      </c>
      <c r="E331" s="21">
        <f>IF(MonthlyFAME!F333=0,"",MonthlyFAME!F333)</f>
        <v>7901</v>
      </c>
      <c r="F331" s="21">
        <f>IF(MonthlyFAME!G333=0,"",MonthlyFAME!G333)</f>
        <v>8347</v>
      </c>
      <c r="G331" s="21">
        <f>IF(MonthlyFAME!H333=0,"",MonthlyFAME!H333)</f>
        <v>11.102789071973749</v>
      </c>
      <c r="H331" s="21">
        <f>IF(MonthlyFAME!I333=0,"",MonthlyFAME!I333)</f>
        <v>24925</v>
      </c>
      <c r="I331" s="21">
        <f>IF(MonthlyFAME!J333=0,"",MonthlyFAME!J333)</f>
        <v>836.4</v>
      </c>
      <c r="J331" s="24"/>
      <c r="K331" s="21">
        <f>IF(MonthlyFAME!L333=0,"",MonthlyFAME!L333)</f>
        <v>146.470250983618</v>
      </c>
      <c r="L331" s="21">
        <f>IF(MonthlyFAME!M333=0,"",MonthlyFAME!M333)</f>
        <v>2924.6</v>
      </c>
      <c r="M331" s="21" t="str">
        <f>IF(MonthlyFAME!N333=0,"",MonthlyFAME!N333)</f>
        <v/>
      </c>
      <c r="N331" s="21" t="str">
        <f>IF(MonthlyFAME!O333=0,"",MonthlyFAME!O333)</f>
        <v/>
      </c>
      <c r="O331" s="21" t="str">
        <f>IF(MonthlyFAME!P333=0,"",MonthlyFAME!P333)</f>
        <v/>
      </c>
      <c r="P331" s="21" t="str">
        <f>IF(MonthlyFAME!Q333=0,"",MonthlyFAME!Q333)</f>
        <v/>
      </c>
      <c r="Q331" s="21" t="str">
        <f>IF(MonthlyFAME!R333=0,"",MonthlyFAME!R333)</f>
        <v/>
      </c>
      <c r="R331" s="21" t="str">
        <f>IF(MonthlyFAME!S333=0,"",MonthlyFAME!S333)</f>
        <v/>
      </c>
      <c r="S331" s="21" t="str">
        <f>IF(MonthlyFAME!T333=0,"",MonthlyFAME!T333)</f>
        <v/>
      </c>
      <c r="T331" s="21" t="str">
        <f>IF(MonthlyFAME!U333=0,"",MonthlyFAME!U333)</f>
        <v/>
      </c>
    </row>
    <row r="332" spans="1:20" x14ac:dyDescent="0.2">
      <c r="A332" s="23">
        <f>IF(MonthlyFAME!A334=0,"",MonthlyFAME!A334)</f>
        <v>31897</v>
      </c>
      <c r="B332" s="21" t="str">
        <f>IF(MonthlyFAME!B334=0,"",MonthlyFAME!B334)</f>
        <v/>
      </c>
      <c r="C332" s="21">
        <f>IF(MonthlyFAME!C334=0,"",MonthlyFAME!C334)</f>
        <v>68.900000000000006</v>
      </c>
      <c r="D332" s="21" t="str">
        <f>IF(MonthlyFAME!D334=0,"",MonthlyFAME!D334)</f>
        <v/>
      </c>
      <c r="E332" s="21">
        <f>IF(MonthlyFAME!F334=0,"",MonthlyFAME!F334)</f>
        <v>7824</v>
      </c>
      <c r="F332" s="21">
        <f>IF(MonthlyFAME!G334=0,"",MonthlyFAME!G334)</f>
        <v>8411</v>
      </c>
      <c r="G332" s="21">
        <f>IF(MonthlyFAME!H334=0,"",MonthlyFAME!H334)</f>
        <v>11.012116892373486</v>
      </c>
      <c r="H332" s="21">
        <f>IF(MonthlyFAME!I334=0,"",MonthlyFAME!I334)</f>
        <v>24970</v>
      </c>
      <c r="I332" s="21">
        <f>IF(MonthlyFAME!J334=0,"",MonthlyFAME!J334)</f>
        <v>838.1</v>
      </c>
      <c r="J332" s="24"/>
      <c r="K332" s="21">
        <f>IF(MonthlyFAME!L334=0,"",MonthlyFAME!L334)</f>
        <v>148.30097891368999</v>
      </c>
      <c r="L332" s="21">
        <f>IF(MonthlyFAME!M334=0,"",MonthlyFAME!M334)</f>
        <v>2911.1</v>
      </c>
      <c r="M332" s="21" t="str">
        <f>IF(MonthlyFAME!N334=0,"",MonthlyFAME!N334)</f>
        <v/>
      </c>
      <c r="N332" s="21" t="str">
        <f>IF(MonthlyFAME!O334=0,"",MonthlyFAME!O334)</f>
        <v/>
      </c>
      <c r="O332" s="21" t="str">
        <f>IF(MonthlyFAME!P334=0,"",MonthlyFAME!P334)</f>
        <v/>
      </c>
      <c r="P332" s="21" t="str">
        <f>IF(MonthlyFAME!Q334=0,"",MonthlyFAME!Q334)</f>
        <v/>
      </c>
      <c r="Q332" s="21" t="str">
        <f>IF(MonthlyFAME!R334=0,"",MonthlyFAME!R334)</f>
        <v/>
      </c>
      <c r="R332" s="21" t="str">
        <f>IF(MonthlyFAME!S334=0,"",MonthlyFAME!S334)</f>
        <v/>
      </c>
      <c r="S332" s="21" t="str">
        <f>IF(MonthlyFAME!T334=0,"",MonthlyFAME!T334)</f>
        <v/>
      </c>
      <c r="T332" s="21" t="str">
        <f>IF(MonthlyFAME!U334=0,"",MonthlyFAME!U334)</f>
        <v/>
      </c>
    </row>
    <row r="333" spans="1:20" x14ac:dyDescent="0.2">
      <c r="A333" s="23">
        <f>IF(MonthlyFAME!A335=0,"",MonthlyFAME!A335)</f>
        <v>31928</v>
      </c>
      <c r="B333" s="21" t="str">
        <f>IF(MonthlyFAME!B335=0,"",MonthlyFAME!B335)</f>
        <v/>
      </c>
      <c r="C333" s="21">
        <f>IF(MonthlyFAME!C335=0,"",MonthlyFAME!C335)</f>
        <v>70.2</v>
      </c>
      <c r="D333" s="21" t="str">
        <f>IF(MonthlyFAME!D335=0,"",MonthlyFAME!D335)</f>
        <v/>
      </c>
      <c r="E333" s="21">
        <f>IF(MonthlyFAME!F335=0,"",MonthlyFAME!F335)</f>
        <v>7720</v>
      </c>
      <c r="F333" s="21">
        <f>IF(MonthlyFAME!G335=0,"",MonthlyFAME!G335)</f>
        <v>8641</v>
      </c>
      <c r="G333" s="21">
        <f>IF(MonthlyFAME!H335=0,"",MonthlyFAME!H335)</f>
        <v>10.896340595187242</v>
      </c>
      <c r="H333" s="21">
        <f>IF(MonthlyFAME!I335=0,"",MonthlyFAME!I335)</f>
        <v>25031</v>
      </c>
      <c r="I333" s="21">
        <f>IF(MonthlyFAME!J335=0,"",MonthlyFAME!J335)</f>
        <v>840.5</v>
      </c>
      <c r="J333" s="24"/>
      <c r="K333" s="21">
        <f>IF(MonthlyFAME!L335=0,"",MonthlyFAME!L335)</f>
        <v>150.085479930422</v>
      </c>
      <c r="L333" s="21">
        <f>IF(MonthlyFAME!M335=0,"",MonthlyFAME!M335)</f>
        <v>2845.7</v>
      </c>
      <c r="M333" s="21" t="str">
        <f>IF(MonthlyFAME!N335=0,"",MonthlyFAME!N335)</f>
        <v/>
      </c>
      <c r="N333" s="21" t="str">
        <f>IF(MonthlyFAME!O335=0,"",MonthlyFAME!O335)</f>
        <v/>
      </c>
      <c r="O333" s="21" t="str">
        <f>IF(MonthlyFAME!P335=0,"",MonthlyFAME!P335)</f>
        <v/>
      </c>
      <c r="P333" s="21" t="str">
        <f>IF(MonthlyFAME!Q335=0,"",MonthlyFAME!Q335)</f>
        <v/>
      </c>
      <c r="Q333" s="21" t="str">
        <f>IF(MonthlyFAME!R335=0,"",MonthlyFAME!R335)</f>
        <v/>
      </c>
      <c r="R333" s="21" t="str">
        <f>IF(MonthlyFAME!S335=0,"",MonthlyFAME!S335)</f>
        <v/>
      </c>
      <c r="S333" s="21" t="str">
        <f>IF(MonthlyFAME!T335=0,"",MonthlyFAME!T335)</f>
        <v/>
      </c>
      <c r="T333" s="21" t="str">
        <f>IF(MonthlyFAME!U335=0,"",MonthlyFAME!U335)</f>
        <v/>
      </c>
    </row>
    <row r="334" spans="1:20" x14ac:dyDescent="0.2">
      <c r="A334" s="23">
        <f>IF(MonthlyFAME!A336=0,"",MonthlyFAME!A336)</f>
        <v>31958</v>
      </c>
      <c r="B334" s="21" t="str">
        <f>IF(MonthlyFAME!B336=0,"",MonthlyFAME!B336)</f>
        <v/>
      </c>
      <c r="C334" s="21">
        <f>IF(MonthlyFAME!C336=0,"",MonthlyFAME!C336)</f>
        <v>69.900000000000006</v>
      </c>
      <c r="D334" s="21" t="str">
        <f>IF(MonthlyFAME!D336=0,"",MonthlyFAME!D336)</f>
        <v/>
      </c>
      <c r="E334" s="21">
        <f>IF(MonthlyFAME!F336=0,"",MonthlyFAME!F336)</f>
        <v>7936</v>
      </c>
      <c r="F334" s="21">
        <f>IF(MonthlyFAME!G336=0,"",MonthlyFAME!G336)</f>
        <v>8593</v>
      </c>
      <c r="G334" s="21">
        <f>IF(MonthlyFAME!H336=0,"",MonthlyFAME!H336)</f>
        <v>10.739042337634638</v>
      </c>
      <c r="H334" s="21">
        <f>IF(MonthlyFAME!I336=0,"",MonthlyFAME!I336)</f>
        <v>25110</v>
      </c>
      <c r="I334" s="21">
        <f>IF(MonthlyFAME!J336=0,"",MonthlyFAME!J336)</f>
        <v>843.3</v>
      </c>
      <c r="J334" s="24"/>
      <c r="K334" s="21">
        <f>IF(MonthlyFAME!L336=0,"",MonthlyFAME!L336)</f>
        <v>150.75883794326899</v>
      </c>
      <c r="L334" s="21">
        <f>IF(MonthlyFAME!M336=0,"",MonthlyFAME!M336)</f>
        <v>2807.7</v>
      </c>
      <c r="M334" s="21" t="str">
        <f>IF(MonthlyFAME!N336=0,"",MonthlyFAME!N336)</f>
        <v/>
      </c>
      <c r="N334" s="21" t="str">
        <f>IF(MonthlyFAME!O336=0,"",MonthlyFAME!O336)</f>
        <v/>
      </c>
      <c r="O334" s="21" t="str">
        <f>IF(MonthlyFAME!P336=0,"",MonthlyFAME!P336)</f>
        <v/>
      </c>
      <c r="P334" s="21" t="str">
        <f>IF(MonthlyFAME!Q336=0,"",MonthlyFAME!Q336)</f>
        <v/>
      </c>
      <c r="Q334" s="21" t="str">
        <f>IF(MonthlyFAME!R336=0,"",MonthlyFAME!R336)</f>
        <v/>
      </c>
      <c r="R334" s="21" t="str">
        <f>IF(MonthlyFAME!S336=0,"",MonthlyFAME!S336)</f>
        <v/>
      </c>
      <c r="S334" s="21" t="str">
        <f>IF(MonthlyFAME!T336=0,"",MonthlyFAME!T336)</f>
        <v/>
      </c>
      <c r="T334" s="21">
        <f>IF(MonthlyFAME!U336=0,"",MonthlyFAME!U336)</f>
        <v>18.856818181818181</v>
      </c>
    </row>
    <row r="335" spans="1:20" x14ac:dyDescent="0.2">
      <c r="A335" s="23">
        <f>IF(MonthlyFAME!A337=0,"",MonthlyFAME!A337)</f>
        <v>31989</v>
      </c>
      <c r="B335" s="21" t="str">
        <f>IF(MonthlyFAME!B337=0,"",MonthlyFAME!B337)</f>
        <v/>
      </c>
      <c r="C335" s="21">
        <f>IF(MonthlyFAME!C337=0,"",MonthlyFAME!C337)</f>
        <v>71.2</v>
      </c>
      <c r="D335" s="21" t="str">
        <f>IF(MonthlyFAME!D337=0,"",MonthlyFAME!D337)</f>
        <v/>
      </c>
      <c r="E335" s="21">
        <f>IF(MonthlyFAME!F337=0,"",MonthlyFAME!F337)</f>
        <v>8100</v>
      </c>
      <c r="F335" s="21">
        <f>IF(MonthlyFAME!G337=0,"",MonthlyFAME!G337)</f>
        <v>8961</v>
      </c>
      <c r="G335" s="21">
        <f>IF(MonthlyFAME!H337=0,"",MonthlyFAME!H337)</f>
        <v>10.556403792209636</v>
      </c>
      <c r="H335" s="21">
        <f>IF(MonthlyFAME!I337=0,"",MonthlyFAME!I337)</f>
        <v>25190</v>
      </c>
      <c r="I335" s="21">
        <f>IF(MonthlyFAME!J337=0,"",MonthlyFAME!J337)</f>
        <v>846.3</v>
      </c>
      <c r="J335" s="24"/>
      <c r="K335" s="21">
        <f>IF(MonthlyFAME!L337=0,"",MonthlyFAME!L337)</f>
        <v>152.02353836534999</v>
      </c>
      <c r="L335" s="21">
        <f>IF(MonthlyFAME!M337=0,"",MonthlyFAME!M337)</f>
        <v>2764</v>
      </c>
      <c r="M335" s="21" t="str">
        <f>IF(MonthlyFAME!N337=0,"",MonthlyFAME!N337)</f>
        <v/>
      </c>
      <c r="N335" s="21" t="str">
        <f>IF(MonthlyFAME!O337=0,"",MonthlyFAME!O337)</f>
        <v/>
      </c>
      <c r="O335" s="21" t="str">
        <f>IF(MonthlyFAME!P337=0,"",MonthlyFAME!P337)</f>
        <v/>
      </c>
      <c r="P335" s="21" t="str">
        <f>IF(MonthlyFAME!Q337=0,"",MonthlyFAME!Q337)</f>
        <v/>
      </c>
      <c r="Q335" s="21" t="str">
        <f>IF(MonthlyFAME!R337=0,"",MonthlyFAME!R337)</f>
        <v/>
      </c>
      <c r="R335" s="21" t="str">
        <f>IF(MonthlyFAME!S337=0,"",MonthlyFAME!S337)</f>
        <v/>
      </c>
      <c r="S335" s="21" t="str">
        <f>IF(MonthlyFAME!T337=0,"",MonthlyFAME!T337)</f>
        <v/>
      </c>
      <c r="T335" s="21">
        <f>IF(MonthlyFAME!U337=0,"",MonthlyFAME!U337)</f>
        <v>19.856521739130436</v>
      </c>
    </row>
    <row r="336" spans="1:20" x14ac:dyDescent="0.2">
      <c r="A336" s="23">
        <f>IF(MonthlyFAME!A338=0,"",MonthlyFAME!A338)</f>
        <v>32020</v>
      </c>
      <c r="B336" s="21" t="str">
        <f>IF(MonthlyFAME!B338=0,"",MonthlyFAME!B338)</f>
        <v/>
      </c>
      <c r="C336" s="21">
        <f>IF(MonthlyFAME!C338=0,"",MonthlyFAME!C338)</f>
        <v>71</v>
      </c>
      <c r="D336" s="21" t="str">
        <f>IF(MonthlyFAME!D338=0,"",MonthlyFAME!D338)</f>
        <v/>
      </c>
      <c r="E336" s="21">
        <f>IF(MonthlyFAME!F338=0,"",MonthlyFAME!F338)</f>
        <v>8222</v>
      </c>
      <c r="F336" s="21">
        <f>IF(MonthlyFAME!G338=0,"",MonthlyFAME!G338)</f>
        <v>9001</v>
      </c>
      <c r="G336" s="21">
        <f>IF(MonthlyFAME!H338=0,"",MonthlyFAME!H338)</f>
        <v>10.386893152239441</v>
      </c>
      <c r="H336" s="21">
        <f>IF(MonthlyFAME!I338=0,"",MonthlyFAME!I338)</f>
        <v>25270</v>
      </c>
      <c r="I336" s="21">
        <f>IF(MonthlyFAME!J338=0,"",MonthlyFAME!J338)</f>
        <v>849.5</v>
      </c>
      <c r="J336" s="24"/>
      <c r="K336" s="21">
        <f>IF(MonthlyFAME!L338=0,"",MonthlyFAME!L338)</f>
        <v>153.09722873710299</v>
      </c>
      <c r="L336" s="21">
        <f>IF(MonthlyFAME!M338=0,"",MonthlyFAME!M338)</f>
        <v>2721</v>
      </c>
      <c r="M336" s="21" t="str">
        <f>IF(MonthlyFAME!N338=0,"",MonthlyFAME!N338)</f>
        <v/>
      </c>
      <c r="N336" s="21" t="str">
        <f>IF(MonthlyFAME!O338=0,"",MonthlyFAME!O338)</f>
        <v/>
      </c>
      <c r="O336" s="21" t="str">
        <f>IF(MonthlyFAME!P338=0,"",MonthlyFAME!P338)</f>
        <v/>
      </c>
      <c r="P336" s="21" t="str">
        <f>IF(MonthlyFAME!Q338=0,"",MonthlyFAME!Q338)</f>
        <v/>
      </c>
      <c r="Q336" s="21" t="str">
        <f>IF(MonthlyFAME!R338=0,"",MonthlyFAME!R338)</f>
        <v/>
      </c>
      <c r="R336" s="21" t="str">
        <f>IF(MonthlyFAME!S338=0,"",MonthlyFAME!S338)</f>
        <v/>
      </c>
      <c r="S336" s="21" t="str">
        <f>IF(MonthlyFAME!T338=0,"",MonthlyFAME!T338)</f>
        <v/>
      </c>
      <c r="T336" s="21">
        <f>IF(MonthlyFAME!U338=0,"",MonthlyFAME!U338)</f>
        <v>18.979523809523808</v>
      </c>
    </row>
    <row r="337" spans="1:20" x14ac:dyDescent="0.2">
      <c r="A337" s="23">
        <f>IF(MonthlyFAME!A339=0,"",MonthlyFAME!A339)</f>
        <v>32050</v>
      </c>
      <c r="B337" s="21" t="str">
        <f>IF(MonthlyFAME!B339=0,"",MonthlyFAME!B339)</f>
        <v/>
      </c>
      <c r="C337" s="21">
        <f>IF(MonthlyFAME!C339=0,"",MonthlyFAME!C339)</f>
        <v>70.5</v>
      </c>
      <c r="D337" s="21" t="str">
        <f>IF(MonthlyFAME!D339=0,"",MonthlyFAME!D339)</f>
        <v/>
      </c>
      <c r="E337" s="21">
        <f>IF(MonthlyFAME!F339=0,"",MonthlyFAME!F339)</f>
        <v>8154</v>
      </c>
      <c r="F337" s="21">
        <f>IF(MonthlyFAME!G339=0,"",MonthlyFAME!G339)</f>
        <v>8872</v>
      </c>
      <c r="G337" s="21">
        <f>IF(MonthlyFAME!H339=0,"",MonthlyFAME!H339)</f>
        <v>10.219624512929508</v>
      </c>
      <c r="H337" s="21">
        <f>IF(MonthlyFAME!I339=0,"",MonthlyFAME!I339)</f>
        <v>25345</v>
      </c>
      <c r="I337" s="21">
        <f>IF(MonthlyFAME!J339=0,"",MonthlyFAME!J339)</f>
        <v>852.3</v>
      </c>
      <c r="J337" s="24"/>
      <c r="K337" s="21">
        <f>IF(MonthlyFAME!L339=0,"",MonthlyFAME!L339)</f>
        <v>153.53114600760799</v>
      </c>
      <c r="L337" s="21">
        <f>IF(MonthlyFAME!M339=0,"",MonthlyFAME!M339)</f>
        <v>2677.6</v>
      </c>
      <c r="M337" s="21" t="str">
        <f>IF(MonthlyFAME!N339=0,"",MonthlyFAME!N339)</f>
        <v/>
      </c>
      <c r="N337" s="21" t="str">
        <f>IF(MonthlyFAME!O339=0,"",MonthlyFAME!O339)</f>
        <v/>
      </c>
      <c r="O337" s="21" t="str">
        <f>IF(MonthlyFAME!P339=0,"",MonthlyFAME!P339)</f>
        <v/>
      </c>
      <c r="P337" s="21" t="str">
        <f>IF(MonthlyFAME!Q339=0,"",MonthlyFAME!Q339)</f>
        <v/>
      </c>
      <c r="Q337" s="21" t="str">
        <f>IF(MonthlyFAME!R339=0,"",MonthlyFAME!R339)</f>
        <v/>
      </c>
      <c r="R337" s="21" t="str">
        <f>IF(MonthlyFAME!S339=0,"",MonthlyFAME!S339)</f>
        <v/>
      </c>
      <c r="S337" s="21" t="str">
        <f>IF(MonthlyFAME!T339=0,"",MonthlyFAME!T339)</f>
        <v/>
      </c>
      <c r="T337" s="21">
        <f>IF(MonthlyFAME!U339=0,"",MonthlyFAME!U339)</f>
        <v>18.313181818181825</v>
      </c>
    </row>
    <row r="338" spans="1:20" x14ac:dyDescent="0.2">
      <c r="A338" s="23">
        <f>IF(MonthlyFAME!A340=0,"",MonthlyFAME!A340)</f>
        <v>32081</v>
      </c>
      <c r="B338" s="21" t="str">
        <f>IF(MonthlyFAME!B340=0,"",MonthlyFAME!B340)</f>
        <v/>
      </c>
      <c r="C338" s="21">
        <f>IF(MonthlyFAME!C340=0,"",MonthlyFAME!C340)</f>
        <v>71.400000000000006</v>
      </c>
      <c r="D338" s="21" t="str">
        <f>IF(MonthlyFAME!D340=0,"",MonthlyFAME!D340)</f>
        <v/>
      </c>
      <c r="E338" s="21">
        <f>IF(MonthlyFAME!F340=0,"",MonthlyFAME!F340)</f>
        <v>8171</v>
      </c>
      <c r="F338" s="21">
        <f>IF(MonthlyFAME!G340=0,"",MonthlyFAME!G340)</f>
        <v>8837</v>
      </c>
      <c r="G338" s="21">
        <f>IF(MonthlyFAME!H340=0,"",MonthlyFAME!H340)</f>
        <v>10.043173614551632</v>
      </c>
      <c r="H338" s="21">
        <f>IF(MonthlyFAME!I340=0,"",MonthlyFAME!I340)</f>
        <v>25420</v>
      </c>
      <c r="I338" s="21">
        <f>IF(MonthlyFAME!J340=0,"",MonthlyFAME!J340)</f>
        <v>855</v>
      </c>
      <c r="J338" s="24"/>
      <c r="K338" s="21">
        <f>IF(MonthlyFAME!L340=0,"",MonthlyFAME!L340)</f>
        <v>155.070817910204</v>
      </c>
      <c r="L338" s="21">
        <f>IF(MonthlyFAME!M340=0,"",MonthlyFAME!M340)</f>
        <v>2621</v>
      </c>
      <c r="M338" s="21" t="str">
        <f>IF(MonthlyFAME!N340=0,"",MonthlyFAME!N340)</f>
        <v/>
      </c>
      <c r="N338" s="21" t="str">
        <f>IF(MonthlyFAME!O340=0,"",MonthlyFAME!O340)</f>
        <v/>
      </c>
      <c r="O338" s="21" t="str">
        <f>IF(MonthlyFAME!P340=0,"",MonthlyFAME!P340)</f>
        <v/>
      </c>
      <c r="P338" s="21" t="str">
        <f>IF(MonthlyFAME!Q340=0,"",MonthlyFAME!Q340)</f>
        <v/>
      </c>
      <c r="Q338" s="21" t="str">
        <f>IF(MonthlyFAME!R340=0,"",MonthlyFAME!R340)</f>
        <v/>
      </c>
      <c r="R338" s="21" t="str">
        <f>IF(MonthlyFAME!S340=0,"",MonthlyFAME!S340)</f>
        <v/>
      </c>
      <c r="S338" s="21" t="str">
        <f>IF(MonthlyFAME!T340=0,"",MonthlyFAME!T340)</f>
        <v/>
      </c>
      <c r="T338" s="21">
        <f>IF(MonthlyFAME!U340=0,"",MonthlyFAME!U340)</f>
        <v>18.75772727272728</v>
      </c>
    </row>
    <row r="339" spans="1:20" x14ac:dyDescent="0.2">
      <c r="A339" s="23">
        <f>IF(MonthlyFAME!A341=0,"",MonthlyFAME!A341)</f>
        <v>32111</v>
      </c>
      <c r="B339" s="21" t="str">
        <f>IF(MonthlyFAME!B341=0,"",MonthlyFAME!B341)</f>
        <v/>
      </c>
      <c r="C339" s="21">
        <f>IF(MonthlyFAME!C341=0,"",MonthlyFAME!C341)</f>
        <v>71.3</v>
      </c>
      <c r="D339" s="21" t="str">
        <f>IF(MonthlyFAME!D341=0,"",MonthlyFAME!D341)</f>
        <v/>
      </c>
      <c r="E339" s="21">
        <f>IF(MonthlyFAME!F341=0,"",MonthlyFAME!F341)</f>
        <v>8246</v>
      </c>
      <c r="F339" s="21">
        <f>IF(MonthlyFAME!G341=0,"",MonthlyFAME!G341)</f>
        <v>9093</v>
      </c>
      <c r="G339" s="21">
        <f>IF(MonthlyFAME!H341=0,"",MonthlyFAME!H341)</f>
        <v>9.8575115793939823</v>
      </c>
      <c r="H339" s="21">
        <f>IF(MonthlyFAME!I341=0,"",MonthlyFAME!I341)</f>
        <v>25495</v>
      </c>
      <c r="I339" s="21">
        <f>IF(MonthlyFAME!J341=0,"",MonthlyFAME!J341)</f>
        <v>857.9</v>
      </c>
      <c r="J339" s="24"/>
      <c r="K339" s="21">
        <f>IF(MonthlyFAME!L341=0,"",MonthlyFAME!L341)</f>
        <v>156.314868771888</v>
      </c>
      <c r="L339" s="21">
        <f>IF(MonthlyFAME!M341=0,"",MonthlyFAME!M341)</f>
        <v>2565.6</v>
      </c>
      <c r="M339" s="21" t="str">
        <f>IF(MonthlyFAME!N341=0,"",MonthlyFAME!N341)</f>
        <v/>
      </c>
      <c r="N339" s="21" t="str">
        <f>IF(MonthlyFAME!O341=0,"",MonthlyFAME!O341)</f>
        <v/>
      </c>
      <c r="O339" s="21" t="str">
        <f>IF(MonthlyFAME!P341=0,"",MonthlyFAME!P341)</f>
        <v/>
      </c>
      <c r="P339" s="21" t="str">
        <f>IF(MonthlyFAME!Q341=0,"",MonthlyFAME!Q341)</f>
        <v/>
      </c>
      <c r="Q339" s="21" t="str">
        <f>IF(MonthlyFAME!R341=0,"",MonthlyFAME!R341)</f>
        <v/>
      </c>
      <c r="R339" s="21" t="str">
        <f>IF(MonthlyFAME!S341=0,"",MonthlyFAME!S341)</f>
        <v/>
      </c>
      <c r="S339" s="21" t="str">
        <f>IF(MonthlyFAME!T341=0,"",MonthlyFAME!T341)</f>
        <v/>
      </c>
      <c r="T339" s="21">
        <f>IF(MonthlyFAME!U341=0,"",MonthlyFAME!U341)</f>
        <v>17.780952380952382</v>
      </c>
    </row>
    <row r="340" spans="1:20" x14ac:dyDescent="0.2">
      <c r="A340" s="23">
        <f>IF(MonthlyFAME!A342=0,"",MonthlyFAME!A342)</f>
        <v>32142</v>
      </c>
      <c r="B340" s="21" t="str">
        <f>IF(MonthlyFAME!B342=0,"",MonthlyFAME!B342)</f>
        <v/>
      </c>
      <c r="C340" s="21">
        <f>IF(MonthlyFAME!C342=0,"",MonthlyFAME!C342)</f>
        <v>71.900000000000006</v>
      </c>
      <c r="D340" s="21" t="str">
        <f>IF(MonthlyFAME!D342=0,"",MonthlyFAME!D342)</f>
        <v/>
      </c>
      <c r="E340" s="21">
        <f>IF(MonthlyFAME!F342=0,"",MonthlyFAME!F342)</f>
        <v>8101</v>
      </c>
      <c r="F340" s="21">
        <f>IF(MonthlyFAME!G342=0,"",MonthlyFAME!G342)</f>
        <v>9305</v>
      </c>
      <c r="G340" s="21">
        <f>IF(MonthlyFAME!H342=0,"",MonthlyFAME!H342)</f>
        <v>9.6800395536092676</v>
      </c>
      <c r="H340" s="21">
        <f>IF(MonthlyFAME!I342=0,"",MonthlyFAME!I342)</f>
        <v>25575</v>
      </c>
      <c r="I340" s="21">
        <f>IF(MonthlyFAME!J342=0,"",MonthlyFAME!J342)</f>
        <v>860.8</v>
      </c>
      <c r="J340" s="24"/>
      <c r="K340" s="21">
        <f>IF(MonthlyFAME!L342=0,"",MonthlyFAME!L342)</f>
        <v>157.419370509478</v>
      </c>
      <c r="L340" s="21">
        <f>IF(MonthlyFAME!M342=0,"",MonthlyFAME!M342)</f>
        <v>2535.8000000000002</v>
      </c>
      <c r="M340" s="21" t="str">
        <f>IF(MonthlyFAME!N342=0,"",MonthlyFAME!N342)</f>
        <v/>
      </c>
      <c r="N340" s="21" t="str">
        <f>IF(MonthlyFAME!O342=0,"",MonthlyFAME!O342)</f>
        <v/>
      </c>
      <c r="O340" s="21" t="str">
        <f>IF(MonthlyFAME!P342=0,"",MonthlyFAME!P342)</f>
        <v/>
      </c>
      <c r="P340" s="21" t="str">
        <f>IF(MonthlyFAME!Q342=0,"",MonthlyFAME!Q342)</f>
        <v/>
      </c>
      <c r="Q340" s="21" t="str">
        <f>IF(MonthlyFAME!R342=0,"",MonthlyFAME!R342)</f>
        <v/>
      </c>
      <c r="R340" s="21" t="str">
        <f>IF(MonthlyFAME!S342=0,"",MonthlyFAME!S342)</f>
        <v/>
      </c>
      <c r="S340" s="21" t="str">
        <f>IF(MonthlyFAME!T342=0,"",MonthlyFAME!T342)</f>
        <v/>
      </c>
      <c r="T340" s="21">
        <f>IF(MonthlyFAME!U342=0,"",MonthlyFAME!U342)</f>
        <v>17.056086956521742</v>
      </c>
    </row>
    <row r="341" spans="1:20" x14ac:dyDescent="0.2">
      <c r="A341" s="23">
        <f>IF(MonthlyFAME!A343=0,"",MonthlyFAME!A343)</f>
        <v>32173</v>
      </c>
      <c r="B341" s="21" t="str">
        <f>IF(MonthlyFAME!B343=0,"",MonthlyFAME!B343)</f>
        <v/>
      </c>
      <c r="C341" s="21">
        <f>IF(MonthlyFAME!C343=0,"",MonthlyFAME!C343)</f>
        <v>72.599999999999994</v>
      </c>
      <c r="D341" s="21" t="str">
        <f>IF(MonthlyFAME!D343=0,"",MonthlyFAME!D343)</f>
        <v/>
      </c>
      <c r="E341" s="21">
        <f>IF(MonthlyFAME!F343=0,"",MonthlyFAME!F343)</f>
        <v>7900</v>
      </c>
      <c r="F341" s="21">
        <f>IF(MonthlyFAME!G343=0,"",MonthlyFAME!G343)</f>
        <v>8925</v>
      </c>
      <c r="G341" s="21">
        <f>IF(MonthlyFAME!H343=0,"",MonthlyFAME!H343)</f>
        <v>9.5125564334085784</v>
      </c>
      <c r="H341" s="21">
        <f>IF(MonthlyFAME!I343=0,"",MonthlyFAME!I343)</f>
        <v>25655</v>
      </c>
      <c r="I341" s="21">
        <f>IF(MonthlyFAME!J343=0,"",MonthlyFAME!J343)</f>
        <v>863.9</v>
      </c>
      <c r="J341" s="24"/>
      <c r="K341" s="21">
        <f>IF(MonthlyFAME!L343=0,"",MonthlyFAME!L343)</f>
        <v>158.46891442654999</v>
      </c>
      <c r="L341" s="21">
        <f>IF(MonthlyFAME!M343=0,"",MonthlyFAME!M343)</f>
        <v>2488.6</v>
      </c>
      <c r="M341" s="21" t="str">
        <f>IF(MonthlyFAME!N343=0,"",MonthlyFAME!N343)</f>
        <v/>
      </c>
      <c r="N341" s="21" t="str">
        <f>IF(MonthlyFAME!O343=0,"",MonthlyFAME!O343)</f>
        <v/>
      </c>
      <c r="O341" s="21" t="str">
        <f>IF(MonthlyFAME!P343=0,"",MonthlyFAME!P343)</f>
        <v/>
      </c>
      <c r="P341" s="21" t="str">
        <f>IF(MonthlyFAME!Q343=0,"",MonthlyFAME!Q343)</f>
        <v/>
      </c>
      <c r="Q341" s="21" t="str">
        <f>IF(MonthlyFAME!R343=0,"",MonthlyFAME!R343)</f>
        <v/>
      </c>
      <c r="R341" s="21" t="str">
        <f>IF(MonthlyFAME!S343=0,"",MonthlyFAME!S343)</f>
        <v/>
      </c>
      <c r="S341" s="21" t="str">
        <f>IF(MonthlyFAME!T343=0,"",MonthlyFAME!T343)</f>
        <v/>
      </c>
      <c r="T341" s="21">
        <f>IF(MonthlyFAME!U343=0,"",MonthlyFAME!U343)</f>
        <v>16.830476190476187</v>
      </c>
    </row>
    <row r="342" spans="1:20" x14ac:dyDescent="0.2">
      <c r="A342" s="23">
        <f>IF(MonthlyFAME!A344=0,"",MonthlyFAME!A344)</f>
        <v>32202</v>
      </c>
      <c r="B342" s="21" t="str">
        <f>IF(MonthlyFAME!B344=0,"",MonthlyFAME!B344)</f>
        <v/>
      </c>
      <c r="C342" s="21">
        <f>IF(MonthlyFAME!C344=0,"",MonthlyFAME!C344)</f>
        <v>71.7</v>
      </c>
      <c r="D342" s="21" t="str">
        <f>IF(MonthlyFAME!D344=0,"",MonthlyFAME!D344)</f>
        <v/>
      </c>
      <c r="E342" s="21">
        <f>IF(MonthlyFAME!F344=0,"",MonthlyFAME!F344)</f>
        <v>8157</v>
      </c>
      <c r="F342" s="21">
        <f>IF(MonthlyFAME!G344=0,"",MonthlyFAME!G344)</f>
        <v>9329</v>
      </c>
      <c r="G342" s="21">
        <f>IF(MonthlyFAME!H344=0,"",MonthlyFAME!H344)</f>
        <v>9.359918272448656</v>
      </c>
      <c r="H342" s="21">
        <f>IF(MonthlyFAME!I344=0,"",MonthlyFAME!I344)</f>
        <v>25730</v>
      </c>
      <c r="I342" s="21">
        <f>IF(MonthlyFAME!J344=0,"",MonthlyFAME!J344)</f>
        <v>866.9</v>
      </c>
      <c r="J342" s="24"/>
      <c r="K342" s="21">
        <f>IF(MonthlyFAME!L344=0,"",MonthlyFAME!L344)</f>
        <v>158.859746210216</v>
      </c>
      <c r="L342" s="21">
        <f>IF(MonthlyFAME!M344=0,"",MonthlyFAME!M344)</f>
        <v>2449.4</v>
      </c>
      <c r="M342" s="21" t="str">
        <f>IF(MonthlyFAME!N344=0,"",MonthlyFAME!N344)</f>
        <v/>
      </c>
      <c r="N342" s="21" t="str">
        <f>IF(MonthlyFAME!O344=0,"",MonthlyFAME!O344)</f>
        <v/>
      </c>
      <c r="O342" s="21" t="str">
        <f>IF(MonthlyFAME!P344=0,"",MonthlyFAME!P344)</f>
        <v/>
      </c>
      <c r="P342" s="21" t="str">
        <f>IF(MonthlyFAME!Q344=0,"",MonthlyFAME!Q344)</f>
        <v/>
      </c>
      <c r="Q342" s="21" t="str">
        <f>IF(MonthlyFAME!R344=0,"",MonthlyFAME!R344)</f>
        <v/>
      </c>
      <c r="R342" s="21" t="str">
        <f>IF(MonthlyFAME!S344=0,"",MonthlyFAME!S344)</f>
        <v/>
      </c>
      <c r="S342" s="21" t="str">
        <f>IF(MonthlyFAME!T344=0,"",MonthlyFAME!T344)</f>
        <v/>
      </c>
      <c r="T342" s="21">
        <f>IF(MonthlyFAME!U344=0,"",MonthlyFAME!U344)</f>
        <v>15.665714285714284</v>
      </c>
    </row>
    <row r="343" spans="1:20" x14ac:dyDescent="0.2">
      <c r="A343" s="23">
        <f>IF(MonthlyFAME!A345=0,"",MonthlyFAME!A345)</f>
        <v>32233</v>
      </c>
      <c r="B343" s="21" t="str">
        <f>IF(MonthlyFAME!B345=0,"",MonthlyFAME!B345)</f>
        <v/>
      </c>
      <c r="C343" s="21">
        <f>IF(MonthlyFAME!C345=0,"",MonthlyFAME!C345)</f>
        <v>72.900000000000006</v>
      </c>
      <c r="D343" s="21" t="str">
        <f>IF(MonthlyFAME!D345=0,"",MonthlyFAME!D345)</f>
        <v/>
      </c>
      <c r="E343" s="21">
        <f>IF(MonthlyFAME!F345=0,"",MonthlyFAME!F345)</f>
        <v>8102</v>
      </c>
      <c r="F343" s="21">
        <f>IF(MonthlyFAME!G345=0,"",MonthlyFAME!G345)</f>
        <v>9146</v>
      </c>
      <c r="G343" s="21">
        <f>IF(MonthlyFAME!H345=0,"",MonthlyFAME!H345)</f>
        <v>9.1981132075471699</v>
      </c>
      <c r="H343" s="21">
        <f>IF(MonthlyFAME!I345=0,"",MonthlyFAME!I345)</f>
        <v>25795</v>
      </c>
      <c r="I343" s="21">
        <f>IF(MonthlyFAME!J345=0,"",MonthlyFAME!J345)</f>
        <v>869.4</v>
      </c>
      <c r="J343" s="24"/>
      <c r="K343" s="21">
        <f>IF(MonthlyFAME!L345=0,"",MonthlyFAME!L345)</f>
        <v>160.99014607980001</v>
      </c>
      <c r="L343" s="21">
        <f>IF(MonthlyFAME!M345=0,"",MonthlyFAME!M345)</f>
        <v>2405.6</v>
      </c>
      <c r="M343" s="21" t="str">
        <f>IF(MonthlyFAME!N345=0,"",MonthlyFAME!N345)</f>
        <v/>
      </c>
      <c r="N343" s="21" t="str">
        <f>IF(MonthlyFAME!O345=0,"",MonthlyFAME!O345)</f>
        <v/>
      </c>
      <c r="O343" s="21" t="str">
        <f>IF(MonthlyFAME!P345=0,"",MonthlyFAME!P345)</f>
        <v/>
      </c>
      <c r="P343" s="21" t="str">
        <f>IF(MonthlyFAME!Q345=0,"",MonthlyFAME!Q345)</f>
        <v/>
      </c>
      <c r="Q343" s="21" t="str">
        <f>IF(MonthlyFAME!R345=0,"",MonthlyFAME!R345)</f>
        <v/>
      </c>
      <c r="R343" s="21" t="str">
        <f>IF(MonthlyFAME!S345=0,"",MonthlyFAME!S345)</f>
        <v/>
      </c>
      <c r="S343" s="21" t="str">
        <f>IF(MonthlyFAME!T345=0,"",MonthlyFAME!T345)</f>
        <v/>
      </c>
      <c r="T343" s="21">
        <f>IF(MonthlyFAME!U345=0,"",MonthlyFAME!U345)</f>
        <v>14.728260869565215</v>
      </c>
    </row>
    <row r="344" spans="1:20" x14ac:dyDescent="0.2">
      <c r="A344" s="23">
        <f>IF(MonthlyFAME!A346=0,"",MonthlyFAME!A346)</f>
        <v>32263</v>
      </c>
      <c r="B344" s="21" t="str">
        <f>IF(MonthlyFAME!B346=0,"",MonthlyFAME!B346)</f>
        <v/>
      </c>
      <c r="C344" s="21">
        <f>IF(MonthlyFAME!C346=0,"",MonthlyFAME!C346)</f>
        <v>72.3</v>
      </c>
      <c r="D344" s="21" t="str">
        <f>IF(MonthlyFAME!D346=0,"",MonthlyFAME!D346)</f>
        <v/>
      </c>
      <c r="E344" s="21">
        <f>IF(MonthlyFAME!F346=0,"",MonthlyFAME!F346)</f>
        <v>8401</v>
      </c>
      <c r="F344" s="21">
        <f>IF(MonthlyFAME!G346=0,"",MonthlyFAME!G346)</f>
        <v>9445</v>
      </c>
      <c r="G344" s="21">
        <f>IF(MonthlyFAME!H346=0,"",MonthlyFAME!H346)</f>
        <v>9.0365471877308376</v>
      </c>
      <c r="H344" s="21">
        <f>IF(MonthlyFAME!I346=0,"",MonthlyFAME!I346)</f>
        <v>25860</v>
      </c>
      <c r="I344" s="21">
        <f>IF(MonthlyFAME!J346=0,"",MonthlyFAME!J346)</f>
        <v>871.9</v>
      </c>
      <c r="J344" s="24"/>
      <c r="K344" s="21">
        <f>IF(MonthlyFAME!L346=0,"",MonthlyFAME!L346)</f>
        <v>161.19170415388101</v>
      </c>
      <c r="L344" s="21">
        <f>IF(MonthlyFAME!M346=0,"",MonthlyFAME!M346)</f>
        <v>2362.4</v>
      </c>
      <c r="M344" s="21" t="str">
        <f>IF(MonthlyFAME!N346=0,"",MonthlyFAME!N346)</f>
        <v/>
      </c>
      <c r="N344" s="21" t="str">
        <f>IF(MonthlyFAME!O346=0,"",MonthlyFAME!O346)</f>
        <v/>
      </c>
      <c r="O344" s="21" t="str">
        <f>IF(MonthlyFAME!P346=0,"",MonthlyFAME!P346)</f>
        <v/>
      </c>
      <c r="P344" s="21" t="str">
        <f>IF(MonthlyFAME!Q346=0,"",MonthlyFAME!Q346)</f>
        <v/>
      </c>
      <c r="Q344" s="21" t="str">
        <f>IF(MonthlyFAME!R346=0,"",MonthlyFAME!R346)</f>
        <v/>
      </c>
      <c r="R344" s="21" t="str">
        <f>IF(MonthlyFAME!S346=0,"",MonthlyFAME!S346)</f>
        <v/>
      </c>
      <c r="S344" s="21" t="str">
        <f>IF(MonthlyFAME!T346=0,"",MonthlyFAME!T346)</f>
        <v/>
      </c>
      <c r="T344" s="21">
        <f>IF(MonthlyFAME!U346=0,"",MonthlyFAME!U346)</f>
        <v>16.511904761904763</v>
      </c>
    </row>
    <row r="345" spans="1:20" x14ac:dyDescent="0.2">
      <c r="A345" s="23">
        <f>IF(MonthlyFAME!A347=0,"",MonthlyFAME!A347)</f>
        <v>32294</v>
      </c>
      <c r="B345" s="21" t="str">
        <f>IF(MonthlyFAME!B347=0,"",MonthlyFAME!B347)</f>
        <v/>
      </c>
      <c r="C345" s="21">
        <f>IF(MonthlyFAME!C347=0,"",MonthlyFAME!C347)</f>
        <v>73.099999999999994</v>
      </c>
      <c r="D345" s="21" t="str">
        <f>IF(MonthlyFAME!D347=0,"",MonthlyFAME!D347)</f>
        <v/>
      </c>
      <c r="E345" s="21">
        <f>IF(MonthlyFAME!F347=0,"",MonthlyFAME!F347)</f>
        <v>8126</v>
      </c>
      <c r="F345" s="21">
        <f>IF(MonthlyFAME!G347=0,"",MonthlyFAME!G347)</f>
        <v>9583</v>
      </c>
      <c r="G345" s="21">
        <f>IF(MonthlyFAME!H347=0,"",MonthlyFAME!H347)</f>
        <v>8.8821688526319491</v>
      </c>
      <c r="H345" s="21">
        <f>IF(MonthlyFAME!I347=0,"",MonthlyFAME!I347)</f>
        <v>25913</v>
      </c>
      <c r="I345" s="21">
        <f>IF(MonthlyFAME!J347=0,"",MonthlyFAME!J347)</f>
        <v>874</v>
      </c>
      <c r="J345" s="24"/>
      <c r="K345" s="21">
        <f>IF(MonthlyFAME!L347=0,"",MonthlyFAME!L347)</f>
        <v>162.801809667654</v>
      </c>
      <c r="L345" s="21">
        <f>IF(MonthlyFAME!M347=0,"",MonthlyFAME!M347)</f>
        <v>2317.1999999999998</v>
      </c>
      <c r="M345" s="21" t="str">
        <f>IF(MonthlyFAME!N347=0,"",MonthlyFAME!N347)</f>
        <v/>
      </c>
      <c r="N345" s="21" t="str">
        <f>IF(MonthlyFAME!O347=0,"",MonthlyFAME!O347)</f>
        <v/>
      </c>
      <c r="O345" s="21" t="str">
        <f>IF(MonthlyFAME!P347=0,"",MonthlyFAME!P347)</f>
        <v/>
      </c>
      <c r="P345" s="21" t="str">
        <f>IF(MonthlyFAME!Q347=0,"",MonthlyFAME!Q347)</f>
        <v/>
      </c>
      <c r="Q345" s="21" t="str">
        <f>IF(MonthlyFAME!R347=0,"",MonthlyFAME!R347)</f>
        <v/>
      </c>
      <c r="R345" s="21" t="str">
        <f>IF(MonthlyFAME!S347=0,"",MonthlyFAME!S347)</f>
        <v/>
      </c>
      <c r="S345" s="21" t="str">
        <f>IF(MonthlyFAME!T347=0,"",MonthlyFAME!T347)</f>
        <v/>
      </c>
      <c r="T345" s="21">
        <f>IF(MonthlyFAME!U347=0,"",MonthlyFAME!U347)</f>
        <v>16.288636363636364</v>
      </c>
    </row>
    <row r="346" spans="1:20" x14ac:dyDescent="0.2">
      <c r="A346" s="23">
        <f>IF(MonthlyFAME!A348=0,"",MonthlyFAME!A348)</f>
        <v>32324</v>
      </c>
      <c r="B346" s="21" t="str">
        <f>IF(MonthlyFAME!B348=0,"",MonthlyFAME!B348)</f>
        <v/>
      </c>
      <c r="C346" s="21">
        <f>IF(MonthlyFAME!C348=0,"",MonthlyFAME!C348)</f>
        <v>73.400000000000006</v>
      </c>
      <c r="D346" s="21" t="str">
        <f>IF(MonthlyFAME!D348=0,"",MonthlyFAME!D348)</f>
        <v/>
      </c>
      <c r="E346" s="21">
        <f>IF(MonthlyFAME!F348=0,"",MonthlyFAME!F348)</f>
        <v>8328</v>
      </c>
      <c r="F346" s="21">
        <f>IF(MonthlyFAME!G348=0,"",MonthlyFAME!G348)</f>
        <v>9894</v>
      </c>
      <c r="G346" s="21">
        <f>IF(MonthlyFAME!H348=0,"",MonthlyFAME!H348)</f>
        <v>8.7491215741391422</v>
      </c>
      <c r="H346" s="21">
        <f>IF(MonthlyFAME!I348=0,"",MonthlyFAME!I348)</f>
        <v>25970</v>
      </c>
      <c r="I346" s="21">
        <f>IF(MonthlyFAME!J348=0,"",MonthlyFAME!J348)</f>
        <v>876.2</v>
      </c>
      <c r="J346" s="24"/>
      <c r="K346" s="21">
        <f>IF(MonthlyFAME!L348=0,"",MonthlyFAME!L348)</f>
        <v>163.85419745167201</v>
      </c>
      <c r="L346" s="21">
        <f>IF(MonthlyFAME!M348=0,"",MonthlyFAME!M348)</f>
        <v>2271.8000000000002</v>
      </c>
      <c r="M346" s="21" t="str">
        <f>IF(MonthlyFAME!N348=0,"",MonthlyFAME!N348)</f>
        <v/>
      </c>
      <c r="N346" s="21" t="str">
        <f>IF(MonthlyFAME!O348=0,"",MonthlyFAME!O348)</f>
        <v/>
      </c>
      <c r="O346" s="21" t="str">
        <f>IF(MonthlyFAME!P348=0,"",MonthlyFAME!P348)</f>
        <v/>
      </c>
      <c r="P346" s="21" t="str">
        <f>IF(MonthlyFAME!Q348=0,"",MonthlyFAME!Q348)</f>
        <v/>
      </c>
      <c r="Q346" s="21" t="str">
        <f>IF(MonthlyFAME!R348=0,"",MonthlyFAME!R348)</f>
        <v/>
      </c>
      <c r="R346" s="21" t="str">
        <f>IF(MonthlyFAME!S348=0,"",MonthlyFAME!S348)</f>
        <v/>
      </c>
      <c r="S346" s="21" t="str">
        <f>IF(MonthlyFAME!T348=0,"",MonthlyFAME!T348)</f>
        <v/>
      </c>
      <c r="T346" s="21">
        <f>IF(MonthlyFAME!U348=0,"",MonthlyFAME!U348)</f>
        <v>15.490909090909094</v>
      </c>
    </row>
    <row r="347" spans="1:20" x14ac:dyDescent="0.2">
      <c r="A347" s="23">
        <f>IF(MonthlyFAME!A349=0,"",MonthlyFAME!A349)</f>
        <v>32355</v>
      </c>
      <c r="B347" s="21" t="str">
        <f>IF(MonthlyFAME!B349=0,"",MonthlyFAME!B349)</f>
        <v/>
      </c>
      <c r="C347" s="21">
        <f>IF(MonthlyFAME!C349=0,"",MonthlyFAME!C349)</f>
        <v>73.8</v>
      </c>
      <c r="D347" s="21" t="str">
        <f>IF(MonthlyFAME!D349=0,"",MonthlyFAME!D349)</f>
        <v/>
      </c>
      <c r="E347" s="21">
        <f>IF(MonthlyFAME!F349=0,"",MonthlyFAME!F349)</f>
        <v>8451</v>
      </c>
      <c r="F347" s="21">
        <f>IF(MonthlyFAME!G349=0,"",MonthlyFAME!G349)</f>
        <v>10154</v>
      </c>
      <c r="G347" s="21">
        <f>IF(MonthlyFAME!H349=0,"",MonthlyFAME!H349)</f>
        <v>8.6089460009830763</v>
      </c>
      <c r="H347" s="21">
        <f>IF(MonthlyFAME!I349=0,"",MonthlyFAME!I349)</f>
        <v>26030</v>
      </c>
      <c r="I347" s="21">
        <f>IF(MonthlyFAME!J349=0,"",MonthlyFAME!J349)</f>
        <v>878.3</v>
      </c>
      <c r="J347" s="24"/>
      <c r="K347" s="21">
        <f>IF(MonthlyFAME!L349=0,"",MonthlyFAME!L349)</f>
        <v>165.93757868229599</v>
      </c>
      <c r="L347" s="21">
        <f>IF(MonthlyFAME!M349=0,"",MonthlyFAME!M349)</f>
        <v>2214.4</v>
      </c>
      <c r="M347" s="21" t="str">
        <f>IF(MonthlyFAME!N349=0,"",MonthlyFAME!N349)</f>
        <v/>
      </c>
      <c r="N347" s="21" t="str">
        <f>IF(MonthlyFAME!O349=0,"",MonthlyFAME!O349)</f>
        <v/>
      </c>
      <c r="O347" s="21" t="str">
        <f>IF(MonthlyFAME!P349=0,"",MonthlyFAME!P349)</f>
        <v/>
      </c>
      <c r="P347" s="21" t="str">
        <f>IF(MonthlyFAME!Q349=0,"",MonthlyFAME!Q349)</f>
        <v/>
      </c>
      <c r="Q347" s="21" t="str">
        <f>IF(MonthlyFAME!R349=0,"",MonthlyFAME!R349)</f>
        <v/>
      </c>
      <c r="R347" s="21" t="str">
        <f>IF(MonthlyFAME!S349=0,"",MonthlyFAME!S349)</f>
        <v/>
      </c>
      <c r="S347" s="21" t="str">
        <f>IF(MonthlyFAME!T349=0,"",MonthlyFAME!T349)</f>
        <v/>
      </c>
      <c r="T347" s="21">
        <f>IF(MonthlyFAME!U349=0,"",MonthlyFAME!U349)</f>
        <v>14.942857142857147</v>
      </c>
    </row>
    <row r="348" spans="1:20" x14ac:dyDescent="0.2">
      <c r="A348" s="23">
        <f>IF(MonthlyFAME!A350=0,"",MonthlyFAME!A350)</f>
        <v>32386</v>
      </c>
      <c r="B348" s="21" t="str">
        <f>IF(MonthlyFAME!B350=0,"",MonthlyFAME!B350)</f>
        <v/>
      </c>
      <c r="C348" s="21">
        <f>IF(MonthlyFAME!C350=0,"",MonthlyFAME!C350)</f>
        <v>74.5</v>
      </c>
      <c r="D348" s="21" t="str">
        <f>IF(MonthlyFAME!D350=0,"",MonthlyFAME!D350)</f>
        <v/>
      </c>
      <c r="E348" s="21">
        <f>IF(MonthlyFAME!F350=0,"",MonthlyFAME!F350)</f>
        <v>8354</v>
      </c>
      <c r="F348" s="21">
        <f>IF(MonthlyFAME!G350=0,"",MonthlyFAME!G350)</f>
        <v>9888</v>
      </c>
      <c r="G348" s="21">
        <f>IF(MonthlyFAME!H350=0,"",MonthlyFAME!H350)</f>
        <v>8.4724365268621131</v>
      </c>
      <c r="H348" s="21">
        <f>IF(MonthlyFAME!I350=0,"",MonthlyFAME!I350)</f>
        <v>26100</v>
      </c>
      <c r="I348" s="21">
        <f>IF(MonthlyFAME!J350=0,"",MonthlyFAME!J350)</f>
        <v>880.8</v>
      </c>
      <c r="J348" s="24"/>
      <c r="K348" s="21">
        <f>IF(MonthlyFAME!L350=0,"",MonthlyFAME!L350)</f>
        <v>166.27751225237</v>
      </c>
      <c r="L348" s="21">
        <f>IF(MonthlyFAME!M350=0,"",MonthlyFAME!M350)</f>
        <v>2176.8000000000002</v>
      </c>
      <c r="M348" s="21" t="str">
        <f>IF(MonthlyFAME!N350=0,"",MonthlyFAME!N350)</f>
        <v/>
      </c>
      <c r="N348" s="21" t="str">
        <f>IF(MonthlyFAME!O350=0,"",MonthlyFAME!O350)</f>
        <v/>
      </c>
      <c r="O348" s="21" t="str">
        <f>IF(MonthlyFAME!P350=0,"",MonthlyFAME!P350)</f>
        <v/>
      </c>
      <c r="P348" s="21" t="str">
        <f>IF(MonthlyFAME!Q350=0,"",MonthlyFAME!Q350)</f>
        <v/>
      </c>
      <c r="Q348" s="21" t="str">
        <f>IF(MonthlyFAME!R350=0,"",MonthlyFAME!R350)</f>
        <v/>
      </c>
      <c r="R348" s="21" t="str">
        <f>IF(MonthlyFAME!S350=0,"",MonthlyFAME!S350)</f>
        <v/>
      </c>
      <c r="S348" s="21" t="str">
        <f>IF(MonthlyFAME!T350=0,"",MonthlyFAME!T350)</f>
        <v/>
      </c>
      <c r="T348" s="21">
        <f>IF(MonthlyFAME!U350=0,"",MonthlyFAME!U350)</f>
        <v>14.871739130434783</v>
      </c>
    </row>
    <row r="349" spans="1:20" x14ac:dyDescent="0.2">
      <c r="A349" s="23">
        <f>IF(MonthlyFAME!A351=0,"",MonthlyFAME!A351)</f>
        <v>32416</v>
      </c>
      <c r="B349" s="21" t="str">
        <f>IF(MonthlyFAME!B351=0,"",MonthlyFAME!B351)</f>
        <v/>
      </c>
      <c r="C349" s="21">
        <f>IF(MonthlyFAME!C351=0,"",MonthlyFAME!C351)</f>
        <v>75.3</v>
      </c>
      <c r="D349" s="21" t="str">
        <f>IF(MonthlyFAME!D351=0,"",MonthlyFAME!D351)</f>
        <v/>
      </c>
      <c r="E349" s="21">
        <f>IF(MonthlyFAME!F351=0,"",MonthlyFAME!F351)</f>
        <v>8303</v>
      </c>
      <c r="F349" s="21">
        <f>IF(MonthlyFAME!G351=0,"",MonthlyFAME!G351)</f>
        <v>10090</v>
      </c>
      <c r="G349" s="21">
        <f>IF(MonthlyFAME!H351=0,"",MonthlyFAME!H351)</f>
        <v>8.3552285864424594</v>
      </c>
      <c r="H349" s="21">
        <f>IF(MonthlyFAME!I351=0,"",MonthlyFAME!I351)</f>
        <v>26160</v>
      </c>
      <c r="I349" s="21">
        <f>IF(MonthlyFAME!J351=0,"",MonthlyFAME!J351)</f>
        <v>883.1</v>
      </c>
      <c r="J349" s="24"/>
      <c r="K349" s="21">
        <f>IF(MonthlyFAME!L351=0,"",MonthlyFAME!L351)</f>
        <v>167.929343746591</v>
      </c>
      <c r="L349" s="21">
        <f>IF(MonthlyFAME!M351=0,"",MonthlyFAME!M351)</f>
        <v>2156.4</v>
      </c>
      <c r="M349" s="21" t="str">
        <f>IF(MonthlyFAME!N351=0,"",MonthlyFAME!N351)</f>
        <v/>
      </c>
      <c r="N349" s="21" t="str">
        <f>IF(MonthlyFAME!O351=0,"",MonthlyFAME!O351)</f>
        <v/>
      </c>
      <c r="O349" s="21" t="str">
        <f>IF(MonthlyFAME!P351=0,"",MonthlyFAME!P351)</f>
        <v/>
      </c>
      <c r="P349" s="21" t="str">
        <f>IF(MonthlyFAME!Q351=0,"",MonthlyFAME!Q351)</f>
        <v/>
      </c>
      <c r="Q349" s="21" t="str">
        <f>IF(MonthlyFAME!R351=0,"",MonthlyFAME!R351)</f>
        <v/>
      </c>
      <c r="R349" s="21" t="str">
        <f>IF(MonthlyFAME!S351=0,"",MonthlyFAME!S351)</f>
        <v/>
      </c>
      <c r="S349" s="21" t="str">
        <f>IF(MonthlyFAME!T351=0,"",MonthlyFAME!T351)</f>
        <v/>
      </c>
      <c r="T349" s="21">
        <f>IF(MonthlyFAME!U351=0,"",MonthlyFAME!U351)</f>
        <v>13.170454545454545</v>
      </c>
    </row>
    <row r="350" spans="1:20" x14ac:dyDescent="0.2">
      <c r="A350" s="23">
        <f>IF(MonthlyFAME!A352=0,"",MonthlyFAME!A352)</f>
        <v>32447</v>
      </c>
      <c r="B350" s="21" t="str">
        <f>IF(MonthlyFAME!B352=0,"",MonthlyFAME!B352)</f>
        <v/>
      </c>
      <c r="C350" s="21">
        <f>IF(MonthlyFAME!C352=0,"",MonthlyFAME!C352)</f>
        <v>74.400000000000006</v>
      </c>
      <c r="D350" s="21" t="str">
        <f>IF(MonthlyFAME!D352=0,"",MonthlyFAME!D352)</f>
        <v/>
      </c>
      <c r="E350" s="21">
        <f>IF(MonthlyFAME!F352=0,"",MonthlyFAME!F352)</f>
        <v>8048</v>
      </c>
      <c r="F350" s="21">
        <f>IF(MonthlyFAME!G352=0,"",MonthlyFAME!G352)</f>
        <v>10476</v>
      </c>
      <c r="G350" s="21">
        <f>IF(MonthlyFAME!H352=0,"",MonthlyFAME!H352)</f>
        <v>8.2578433772865587</v>
      </c>
      <c r="H350" s="21">
        <f>IF(MonthlyFAME!I352=0,"",MonthlyFAME!I352)</f>
        <v>26230</v>
      </c>
      <c r="I350" s="21">
        <f>IF(MonthlyFAME!J352=0,"",MonthlyFAME!J352)</f>
        <v>885.7</v>
      </c>
      <c r="J350" s="24"/>
      <c r="K350" s="21">
        <f>IF(MonthlyFAME!L352=0,"",MonthlyFAME!L352)</f>
        <v>169.52513930385101</v>
      </c>
      <c r="L350" s="21">
        <f>IF(MonthlyFAME!M352=0,"",MonthlyFAME!M352)</f>
        <v>2120</v>
      </c>
      <c r="M350" s="21" t="str">
        <f>IF(MonthlyFAME!N352=0,"",MonthlyFAME!N352)</f>
        <v/>
      </c>
      <c r="N350" s="21" t="str">
        <f>IF(MonthlyFAME!O352=0,"",MonthlyFAME!O352)</f>
        <v/>
      </c>
      <c r="O350" s="21" t="str">
        <f>IF(MonthlyFAME!P352=0,"",MonthlyFAME!P352)</f>
        <v/>
      </c>
      <c r="P350" s="21" t="str">
        <f>IF(MonthlyFAME!Q352=0,"",MonthlyFAME!Q352)</f>
        <v/>
      </c>
      <c r="Q350" s="21" t="str">
        <f>IF(MonthlyFAME!R352=0,"",MonthlyFAME!R352)</f>
        <v/>
      </c>
      <c r="R350" s="21" t="str">
        <f>IF(MonthlyFAME!S352=0,"",MonthlyFAME!S352)</f>
        <v/>
      </c>
      <c r="S350" s="21" t="str">
        <f>IF(MonthlyFAME!T352=0,"",MonthlyFAME!T352)</f>
        <v/>
      </c>
      <c r="T350" s="21">
        <f>IF(MonthlyFAME!U352=0,"",MonthlyFAME!U352)</f>
        <v>12.430952380952382</v>
      </c>
    </row>
    <row r="351" spans="1:20" x14ac:dyDescent="0.2">
      <c r="A351" s="23">
        <f>IF(MonthlyFAME!A353=0,"",MonthlyFAME!A353)</f>
        <v>32477</v>
      </c>
      <c r="B351" s="21" t="str">
        <f>IF(MonthlyFAME!B353=0,"",MonthlyFAME!B353)</f>
        <v/>
      </c>
      <c r="C351" s="21">
        <f>IF(MonthlyFAME!C353=0,"",MonthlyFAME!C353)</f>
        <v>75.2</v>
      </c>
      <c r="D351" s="21" t="str">
        <f>IF(MonthlyFAME!D353=0,"",MonthlyFAME!D353)</f>
        <v/>
      </c>
      <c r="E351" s="21">
        <f>IF(MonthlyFAME!F353=0,"",MonthlyFAME!F353)</f>
        <v>8137</v>
      </c>
      <c r="F351" s="21">
        <f>IF(MonthlyFAME!G353=0,"",MonthlyFAME!G353)</f>
        <v>10481</v>
      </c>
      <c r="G351" s="21">
        <f>IF(MonthlyFAME!H353=0,"",MonthlyFAME!H353)</f>
        <v>8.1507878279705128</v>
      </c>
      <c r="H351" s="21">
        <f>IF(MonthlyFAME!I353=0,"",MonthlyFAME!I353)</f>
        <v>26290</v>
      </c>
      <c r="I351" s="21">
        <f>IF(MonthlyFAME!J353=0,"",MonthlyFAME!J353)</f>
        <v>887.9</v>
      </c>
      <c r="J351" s="24"/>
      <c r="K351" s="21">
        <f>IF(MonthlyFAME!L353=0,"",MonthlyFAME!L353)</f>
        <v>171.43974341314899</v>
      </c>
      <c r="L351" s="21">
        <f>IF(MonthlyFAME!M353=0,"",MonthlyFAME!M353)</f>
        <v>2069</v>
      </c>
      <c r="M351" s="21" t="str">
        <f>IF(MonthlyFAME!N353=0,"",MonthlyFAME!N353)</f>
        <v/>
      </c>
      <c r="N351" s="21" t="str">
        <f>IF(MonthlyFAME!O353=0,"",MonthlyFAME!O353)</f>
        <v/>
      </c>
      <c r="O351" s="21" t="str">
        <f>IF(MonthlyFAME!P353=0,"",MonthlyFAME!P353)</f>
        <v/>
      </c>
      <c r="P351" s="21" t="str">
        <f>IF(MonthlyFAME!Q353=0,"",MonthlyFAME!Q353)</f>
        <v/>
      </c>
      <c r="Q351" s="21" t="str">
        <f>IF(MonthlyFAME!R353=0,"",MonthlyFAME!R353)</f>
        <v/>
      </c>
      <c r="R351" s="21" t="str">
        <f>IF(MonthlyFAME!S353=0,"",MonthlyFAME!S353)</f>
        <v/>
      </c>
      <c r="S351" s="21" t="str">
        <f>IF(MonthlyFAME!T353=0,"",MonthlyFAME!T353)</f>
        <v/>
      </c>
      <c r="T351" s="21">
        <f>IF(MonthlyFAME!U353=0,"",MonthlyFAME!U353)</f>
        <v>12.936363636363636</v>
      </c>
    </row>
    <row r="352" spans="1:20" x14ac:dyDescent="0.2">
      <c r="A352" s="23">
        <f>IF(MonthlyFAME!A354=0,"",MonthlyFAME!A354)</f>
        <v>32508</v>
      </c>
      <c r="B352" s="21" t="str">
        <f>IF(MonthlyFAME!B354=0,"",MonthlyFAME!B354)</f>
        <v/>
      </c>
      <c r="C352" s="21">
        <f>IF(MonthlyFAME!C354=0,"",MonthlyFAME!C354)</f>
        <v>74.7</v>
      </c>
      <c r="D352" s="21" t="str">
        <f>IF(MonthlyFAME!D354=0,"",MonthlyFAME!D354)</f>
        <v/>
      </c>
      <c r="E352" s="21">
        <f>IF(MonthlyFAME!F354=0,"",MonthlyFAME!F354)</f>
        <v>8256</v>
      </c>
      <c r="F352" s="21">
        <f>IF(MonthlyFAME!G354=0,"",MonthlyFAME!G354)</f>
        <v>10641</v>
      </c>
      <c r="G352" s="21">
        <f>IF(MonthlyFAME!H354=0,"",MonthlyFAME!H354)</f>
        <v>8.0040491482826024</v>
      </c>
      <c r="H352" s="21">
        <f>IF(MonthlyFAME!I354=0,"",MonthlyFAME!I354)</f>
        <v>26355</v>
      </c>
      <c r="I352" s="21">
        <f>IF(MonthlyFAME!J354=0,"",MonthlyFAME!J354)</f>
        <v>890.2</v>
      </c>
      <c r="J352" s="24"/>
      <c r="K352" s="21">
        <f>IF(MonthlyFAME!L354=0,"",MonthlyFAME!L354)</f>
        <v>174.569064913864</v>
      </c>
      <c r="L352" s="21">
        <f>IF(MonthlyFAME!M354=0,"",MonthlyFAME!M354)</f>
        <v>2005.8</v>
      </c>
      <c r="M352" s="21" t="str">
        <f>IF(MonthlyFAME!N354=0,"",MonthlyFAME!N354)</f>
        <v/>
      </c>
      <c r="N352" s="21" t="str">
        <f>IF(MonthlyFAME!O354=0,"",MonthlyFAME!O354)</f>
        <v/>
      </c>
      <c r="O352" s="21" t="str">
        <f>IF(MonthlyFAME!P354=0,"",MonthlyFAME!P354)</f>
        <v/>
      </c>
      <c r="P352" s="21" t="str">
        <f>IF(MonthlyFAME!Q354=0,"",MonthlyFAME!Q354)</f>
        <v/>
      </c>
      <c r="Q352" s="21" t="str">
        <f>IF(MonthlyFAME!R354=0,"",MonthlyFAME!R354)</f>
        <v/>
      </c>
      <c r="R352" s="21" t="str">
        <f>IF(MonthlyFAME!S354=0,"",MonthlyFAME!S354)</f>
        <v/>
      </c>
      <c r="S352" s="21" t="str">
        <f>IF(MonthlyFAME!T354=0,"",MonthlyFAME!T354)</f>
        <v/>
      </c>
      <c r="T352" s="21">
        <f>IF(MonthlyFAME!U354=0,"",MonthlyFAME!U354)</f>
        <v>15.315909090909093</v>
      </c>
    </row>
    <row r="353" spans="1:20" x14ac:dyDescent="0.2">
      <c r="A353" s="23">
        <f>IF(MonthlyFAME!A355=0,"",MonthlyFAME!A355)</f>
        <v>32539</v>
      </c>
      <c r="B353" s="21" t="str">
        <f>IF(MonthlyFAME!B355=0,"",MonthlyFAME!B355)</f>
        <v/>
      </c>
      <c r="C353" s="21">
        <f>IF(MonthlyFAME!C355=0,"",MonthlyFAME!C355)</f>
        <v>75.099999999999994</v>
      </c>
      <c r="D353" s="21" t="str">
        <f>IF(MonthlyFAME!D355=0,"",MonthlyFAME!D355)</f>
        <v/>
      </c>
      <c r="E353" s="21">
        <f>IF(MonthlyFAME!F355=0,"",MonthlyFAME!F355)</f>
        <v>8711</v>
      </c>
      <c r="F353" s="21">
        <f>IF(MonthlyFAME!G355=0,"",MonthlyFAME!G355)</f>
        <v>10629</v>
      </c>
      <c r="G353" s="21">
        <f>IF(MonthlyFAME!H355=0,"",MonthlyFAME!H355)</f>
        <v>7.8548269009517835</v>
      </c>
      <c r="H353" s="21">
        <f>IF(MonthlyFAME!I355=0,"",MonthlyFAME!I355)</f>
        <v>26430</v>
      </c>
      <c r="I353" s="21">
        <f>IF(MonthlyFAME!J355=0,"",MonthlyFAME!J355)</f>
        <v>893</v>
      </c>
      <c r="J353" s="24"/>
      <c r="K353" s="21">
        <f>IF(MonthlyFAME!L355=0,"",MonthlyFAME!L355)</f>
        <v>173.824740453765</v>
      </c>
      <c r="L353" s="21">
        <f>IF(MonthlyFAME!M355=0,"",MonthlyFAME!M355)</f>
        <v>1967.3</v>
      </c>
      <c r="M353" s="21" t="str">
        <f>IF(MonthlyFAME!N355=0,"",MonthlyFAME!N355)</f>
        <v/>
      </c>
      <c r="N353" s="21" t="str">
        <f>IF(MonthlyFAME!O355=0,"",MonthlyFAME!O355)</f>
        <v/>
      </c>
      <c r="O353" s="21" t="str">
        <f>IF(MonthlyFAME!P355=0,"",MonthlyFAME!P355)</f>
        <v/>
      </c>
      <c r="P353" s="21" t="str">
        <f>IF(MonthlyFAME!Q355=0,"",MonthlyFAME!Q355)</f>
        <v/>
      </c>
      <c r="Q353" s="21" t="str">
        <f>IF(MonthlyFAME!R355=0,"",MonthlyFAME!R355)</f>
        <v/>
      </c>
      <c r="R353" s="21" t="str">
        <f>IF(MonthlyFAME!S355=0,"",MonthlyFAME!S355)</f>
        <v/>
      </c>
      <c r="S353" s="21" t="str">
        <f>IF(MonthlyFAME!T355=0,"",MonthlyFAME!T355)</f>
        <v/>
      </c>
      <c r="T353" s="21">
        <f>IF(MonthlyFAME!U355=0,"",MonthlyFAME!U355)</f>
        <v>17.059090909090909</v>
      </c>
    </row>
    <row r="354" spans="1:20" x14ac:dyDescent="0.2">
      <c r="A354" s="23">
        <f>IF(MonthlyFAME!A356=0,"",MonthlyFAME!A356)</f>
        <v>32567</v>
      </c>
      <c r="B354" s="21" t="str">
        <f>IF(MonthlyFAME!B356=0,"",MonthlyFAME!B356)</f>
        <v/>
      </c>
      <c r="C354" s="21">
        <f>IF(MonthlyFAME!C356=0,"",MonthlyFAME!C356)</f>
        <v>75.3</v>
      </c>
      <c r="D354" s="21" t="str">
        <f>IF(MonthlyFAME!D356=0,"",MonthlyFAME!D356)</f>
        <v/>
      </c>
      <c r="E354" s="21">
        <f>IF(MonthlyFAME!F356=0,"",MonthlyFAME!F356)</f>
        <v>8391</v>
      </c>
      <c r="F354" s="21">
        <f>IF(MonthlyFAME!G356=0,"",MonthlyFAME!G356)</f>
        <v>10694</v>
      </c>
      <c r="G354" s="21">
        <f>IF(MonthlyFAME!H356=0,"",MonthlyFAME!H356)</f>
        <v>7.7046269540089822</v>
      </c>
      <c r="H354" s="21">
        <f>IF(MonthlyFAME!I356=0,"",MonthlyFAME!I356)</f>
        <v>26510</v>
      </c>
      <c r="I354" s="21">
        <f>IF(MonthlyFAME!J356=0,"",MonthlyFAME!J356)</f>
        <v>895.9</v>
      </c>
      <c r="J354" s="24"/>
      <c r="K354" s="21">
        <f>IF(MonthlyFAME!L356=0,"",MonthlyFAME!L356)</f>
        <v>174.56837599073199</v>
      </c>
      <c r="L354" s="21">
        <f>IF(MonthlyFAME!M356=0,"",MonthlyFAME!M356)</f>
        <v>1918.2</v>
      </c>
      <c r="M354" s="21" t="str">
        <f>IF(MonthlyFAME!N356=0,"",MonthlyFAME!N356)</f>
        <v/>
      </c>
      <c r="N354" s="21" t="str">
        <f>IF(MonthlyFAME!O356=0,"",MonthlyFAME!O356)</f>
        <v/>
      </c>
      <c r="O354" s="21" t="str">
        <f>IF(MonthlyFAME!P356=0,"",MonthlyFAME!P356)</f>
        <v/>
      </c>
      <c r="P354" s="21" t="str">
        <f>IF(MonthlyFAME!Q356=0,"",MonthlyFAME!Q356)</f>
        <v/>
      </c>
      <c r="Q354" s="21" t="str">
        <f>IF(MonthlyFAME!R356=0,"",MonthlyFAME!R356)</f>
        <v/>
      </c>
      <c r="R354" s="21" t="str">
        <f>IF(MonthlyFAME!S356=0,"",MonthlyFAME!S356)</f>
        <v/>
      </c>
      <c r="S354" s="21" t="str">
        <f>IF(MonthlyFAME!T356=0,"",MonthlyFAME!T356)</f>
        <v/>
      </c>
      <c r="T354" s="21">
        <f>IF(MonthlyFAME!U356=0,"",MonthlyFAME!U356)</f>
        <v>16.905000000000001</v>
      </c>
    </row>
    <row r="355" spans="1:20" x14ac:dyDescent="0.2">
      <c r="A355" s="23">
        <f>IF(MonthlyFAME!A357=0,"",MonthlyFAME!A357)</f>
        <v>32598</v>
      </c>
      <c r="B355" s="21" t="str">
        <f>IF(MonthlyFAME!B357=0,"",MonthlyFAME!B357)</f>
        <v/>
      </c>
      <c r="C355" s="21">
        <f>IF(MonthlyFAME!C357=0,"",MonthlyFAME!C357)</f>
        <v>74.3</v>
      </c>
      <c r="D355" s="21" t="str">
        <f>IF(MonthlyFAME!D357=0,"",MonthlyFAME!D357)</f>
        <v/>
      </c>
      <c r="E355" s="21">
        <f>IF(MonthlyFAME!F357=0,"",MonthlyFAME!F357)</f>
        <v>8706</v>
      </c>
      <c r="F355" s="21">
        <f>IF(MonthlyFAME!G357=0,"",MonthlyFAME!G357)</f>
        <v>10589</v>
      </c>
      <c r="G355" s="21">
        <f>IF(MonthlyFAME!H357=0,"",MonthlyFAME!H357)</f>
        <v>7.574124926135771</v>
      </c>
      <c r="H355" s="21">
        <f>IF(MonthlyFAME!I357=0,"",MonthlyFAME!I357)</f>
        <v>26590</v>
      </c>
      <c r="I355" s="21">
        <f>IF(MonthlyFAME!J357=0,"",MonthlyFAME!J357)</f>
        <v>898.9</v>
      </c>
      <c r="J355" s="24"/>
      <c r="K355" s="21">
        <f>IF(MonthlyFAME!L357=0,"",MonthlyFAME!L357)</f>
        <v>176.60240758722799</v>
      </c>
      <c r="L355" s="21">
        <f>IF(MonthlyFAME!M357=0,"",MonthlyFAME!M357)</f>
        <v>1876.9</v>
      </c>
      <c r="M355" s="21" t="str">
        <f>IF(MonthlyFAME!N357=0,"",MonthlyFAME!N357)</f>
        <v/>
      </c>
      <c r="N355" s="21" t="str">
        <f>IF(MonthlyFAME!O357=0,"",MonthlyFAME!O357)</f>
        <v/>
      </c>
      <c r="O355" s="21" t="str">
        <f>IF(MonthlyFAME!P357=0,"",MonthlyFAME!P357)</f>
        <v/>
      </c>
      <c r="P355" s="21" t="str">
        <f>IF(MonthlyFAME!Q357=0,"",MonthlyFAME!Q357)</f>
        <v/>
      </c>
      <c r="Q355" s="21" t="str">
        <f>IF(MonthlyFAME!R357=0,"",MonthlyFAME!R357)</f>
        <v/>
      </c>
      <c r="R355" s="21" t="str">
        <f>IF(MonthlyFAME!S357=0,"",MonthlyFAME!S357)</f>
        <v/>
      </c>
      <c r="S355" s="21" t="str">
        <f>IF(MonthlyFAME!T357=0,"",MonthlyFAME!T357)</f>
        <v/>
      </c>
      <c r="T355" s="21">
        <f>IF(MonthlyFAME!U357=0,"",MonthlyFAME!U357)</f>
        <v>18.782608695652172</v>
      </c>
    </row>
    <row r="356" spans="1:20" x14ac:dyDescent="0.2">
      <c r="A356" s="23">
        <f>IF(MonthlyFAME!A358=0,"",MonthlyFAME!A358)</f>
        <v>32628</v>
      </c>
      <c r="B356" s="21" t="str">
        <f>IF(MonthlyFAME!B358=0,"",MonthlyFAME!B358)</f>
        <v/>
      </c>
      <c r="C356" s="21">
        <f>IF(MonthlyFAME!C358=0,"",MonthlyFAME!C358)</f>
        <v>76.2</v>
      </c>
      <c r="D356" s="21" t="str">
        <f>IF(MonthlyFAME!D358=0,"",MonthlyFAME!D358)</f>
        <v/>
      </c>
      <c r="E356" s="21">
        <f>IF(MonthlyFAME!F358=0,"",MonthlyFAME!F358)</f>
        <v>8270</v>
      </c>
      <c r="F356" s="21">
        <f>IF(MonthlyFAME!G358=0,"",MonthlyFAME!G358)</f>
        <v>10440</v>
      </c>
      <c r="G356" s="21">
        <f>IF(MonthlyFAME!H358=0,"",MonthlyFAME!H358)</f>
        <v>7.4305555555555554</v>
      </c>
      <c r="H356" s="21">
        <f>IF(MonthlyFAME!I358=0,"",MonthlyFAME!I358)</f>
        <v>26660</v>
      </c>
      <c r="I356" s="21">
        <f>IF(MonthlyFAME!J358=0,"",MonthlyFAME!J358)</f>
        <v>901.4</v>
      </c>
      <c r="J356" s="24"/>
      <c r="K356" s="21">
        <f>IF(MonthlyFAME!L358=0,"",MonthlyFAME!L358)</f>
        <v>178.211025600819</v>
      </c>
      <c r="L356" s="21">
        <f>IF(MonthlyFAME!M358=0,"",MonthlyFAME!M358)</f>
        <v>1820.6</v>
      </c>
      <c r="M356" s="21" t="str">
        <f>IF(MonthlyFAME!N358=0,"",MonthlyFAME!N358)</f>
        <v/>
      </c>
      <c r="N356" s="21" t="str">
        <f>IF(MonthlyFAME!O358=0,"",MonthlyFAME!O358)</f>
        <v/>
      </c>
      <c r="O356" s="21" t="str">
        <f>IF(MonthlyFAME!P358=0,"",MonthlyFAME!P358)</f>
        <v/>
      </c>
      <c r="P356" s="21" t="str">
        <f>IF(MonthlyFAME!Q358=0,"",MonthlyFAME!Q358)</f>
        <v/>
      </c>
      <c r="Q356" s="21" t="str">
        <f>IF(MonthlyFAME!R358=0,"",MonthlyFAME!R358)</f>
        <v/>
      </c>
      <c r="R356" s="21" t="str">
        <f>IF(MonthlyFAME!S358=0,"",MonthlyFAME!S358)</f>
        <v/>
      </c>
      <c r="S356" s="21" t="str">
        <f>IF(MonthlyFAME!T358=0,"",MonthlyFAME!T358)</f>
        <v/>
      </c>
      <c r="T356" s="21">
        <f>IF(MonthlyFAME!U358=0,"",MonthlyFAME!U358)</f>
        <v>20.2515</v>
      </c>
    </row>
    <row r="357" spans="1:20" x14ac:dyDescent="0.2">
      <c r="A357" s="23">
        <f>IF(MonthlyFAME!A359=0,"",MonthlyFAME!A359)</f>
        <v>32659</v>
      </c>
      <c r="B357" s="21" t="str">
        <f>IF(MonthlyFAME!B359=0,"",MonthlyFAME!B359)</f>
        <v/>
      </c>
      <c r="C357" s="21">
        <f>IF(MonthlyFAME!C359=0,"",MonthlyFAME!C359)</f>
        <v>74.2</v>
      </c>
      <c r="D357" s="21" t="str">
        <f>IF(MonthlyFAME!D359=0,"",MonthlyFAME!D359)</f>
        <v/>
      </c>
      <c r="E357" s="21">
        <f>IF(MonthlyFAME!F359=0,"",MonthlyFAME!F359)</f>
        <v>8508</v>
      </c>
      <c r="F357" s="21">
        <f>IF(MonthlyFAME!G359=0,"",MonthlyFAME!G359)</f>
        <v>10525</v>
      </c>
      <c r="G357" s="21">
        <f>IF(MonthlyFAME!H359=0,"",MonthlyFAME!H359)</f>
        <v>7.308693388859969</v>
      </c>
      <c r="H357" s="21">
        <f>IF(MonthlyFAME!I359=0,"",MonthlyFAME!I359)</f>
        <v>26709</v>
      </c>
      <c r="I357" s="21">
        <f>IF(MonthlyFAME!J359=0,"",MonthlyFAME!J359)</f>
        <v>903.2</v>
      </c>
      <c r="J357" s="24"/>
      <c r="K357" s="21">
        <f>IF(MonthlyFAME!L359=0,"",MonthlyFAME!L359)</f>
        <v>178.374267300252</v>
      </c>
      <c r="L357" s="21">
        <f>IF(MonthlyFAME!M359=0,"",MonthlyFAME!M359)</f>
        <v>1787.8</v>
      </c>
      <c r="M357" s="21" t="str">
        <f>IF(MonthlyFAME!N359=0,"",MonthlyFAME!N359)</f>
        <v/>
      </c>
      <c r="N357" s="21" t="str">
        <f>IF(MonthlyFAME!O359=0,"",MonthlyFAME!O359)</f>
        <v/>
      </c>
      <c r="O357" s="21" t="str">
        <f>IF(MonthlyFAME!P359=0,"",MonthlyFAME!P359)</f>
        <v/>
      </c>
      <c r="P357" s="21" t="str">
        <f>IF(MonthlyFAME!Q359=0,"",MonthlyFAME!Q359)</f>
        <v/>
      </c>
      <c r="Q357" s="21" t="str">
        <f>IF(MonthlyFAME!R359=0,"",MonthlyFAME!R359)</f>
        <v/>
      </c>
      <c r="R357" s="21" t="str">
        <f>IF(MonthlyFAME!S359=0,"",MonthlyFAME!S359)</f>
        <v/>
      </c>
      <c r="S357" s="21" t="str">
        <f>IF(MonthlyFAME!T359=0,"",MonthlyFAME!T359)</f>
        <v/>
      </c>
      <c r="T357" s="21">
        <f>IF(MonthlyFAME!U359=0,"",MonthlyFAME!U359)</f>
        <v>18.713043478260872</v>
      </c>
    </row>
    <row r="358" spans="1:20" x14ac:dyDescent="0.2">
      <c r="A358" s="23">
        <f>IF(MonthlyFAME!A360=0,"",MonthlyFAME!A360)</f>
        <v>32689</v>
      </c>
      <c r="B358" s="21" t="str">
        <f>IF(MonthlyFAME!B360=0,"",MonthlyFAME!B360)</f>
        <v/>
      </c>
      <c r="C358" s="21">
        <f>IF(MonthlyFAME!C360=0,"",MonthlyFAME!C360)</f>
        <v>74.2</v>
      </c>
      <c r="D358" s="21" t="str">
        <f>IF(MonthlyFAME!D360=0,"",MonthlyFAME!D360)</f>
        <v/>
      </c>
      <c r="E358" s="21">
        <f>IF(MonthlyFAME!F360=0,"",MonthlyFAME!F360)</f>
        <v>8473</v>
      </c>
      <c r="F358" s="21">
        <f>IF(MonthlyFAME!G360=0,"",MonthlyFAME!G360)</f>
        <v>10605</v>
      </c>
      <c r="G358" s="21">
        <f>IF(MonthlyFAME!H360=0,"",MonthlyFAME!H360)</f>
        <v>7.2293756290563289</v>
      </c>
      <c r="H358" s="21">
        <f>IF(MonthlyFAME!I360=0,"",MonthlyFAME!I360)</f>
        <v>26730</v>
      </c>
      <c r="I358" s="21">
        <f>IF(MonthlyFAME!J360=0,"",MonthlyFAME!J360)</f>
        <v>904.1</v>
      </c>
      <c r="J358" s="24"/>
      <c r="K358" s="21">
        <f>IF(MonthlyFAME!L360=0,"",MonthlyFAME!L360)</f>
        <v>179.56574334452901</v>
      </c>
      <c r="L358" s="21">
        <f>IF(MonthlyFAME!M360=0,"",MonthlyFAME!M360)</f>
        <v>1762.3</v>
      </c>
      <c r="M358" s="21" t="str">
        <f>IF(MonthlyFAME!N360=0,"",MonthlyFAME!N360)</f>
        <v/>
      </c>
      <c r="N358" s="21" t="str">
        <f>IF(MonthlyFAME!O360=0,"",MonthlyFAME!O360)</f>
        <v/>
      </c>
      <c r="O358" s="21" t="str">
        <f>IF(MonthlyFAME!P360=0,"",MonthlyFAME!P360)</f>
        <v/>
      </c>
      <c r="P358" s="21" t="str">
        <f>IF(MonthlyFAME!Q360=0,"",MonthlyFAME!Q360)</f>
        <v/>
      </c>
      <c r="Q358" s="21" t="str">
        <f>IF(MonthlyFAME!R360=0,"",MonthlyFAME!R360)</f>
        <v/>
      </c>
      <c r="R358" s="21" t="str">
        <f>IF(MonthlyFAME!S360=0,"",MonthlyFAME!S360)</f>
        <v/>
      </c>
      <c r="S358" s="21" t="str">
        <f>IF(MonthlyFAME!T360=0,"",MonthlyFAME!T360)</f>
        <v/>
      </c>
      <c r="T358" s="21">
        <f>IF(MonthlyFAME!U360=0,"",MonthlyFAME!U360)</f>
        <v>17.640909090909091</v>
      </c>
    </row>
    <row r="359" spans="1:20" x14ac:dyDescent="0.2">
      <c r="A359" s="23">
        <f>IF(MonthlyFAME!A361=0,"",MonthlyFAME!A361)</f>
        <v>32720</v>
      </c>
      <c r="B359" s="21" t="str">
        <f>IF(MonthlyFAME!B361=0,"",MonthlyFAME!B361)</f>
        <v/>
      </c>
      <c r="C359" s="21">
        <f>IF(MonthlyFAME!C361=0,"",MonthlyFAME!C361)</f>
        <v>74.400000000000006</v>
      </c>
      <c r="D359" s="21" t="str">
        <f>IF(MonthlyFAME!D361=0,"",MonthlyFAME!D361)</f>
        <v/>
      </c>
      <c r="E359" s="21">
        <f>IF(MonthlyFAME!F361=0,"",MonthlyFAME!F361)</f>
        <v>8767</v>
      </c>
      <c r="F359" s="21">
        <f>IF(MonthlyFAME!G361=0,"",MonthlyFAME!G361)</f>
        <v>10455</v>
      </c>
      <c r="G359" s="21">
        <f>IF(MonthlyFAME!H361=0,"",MonthlyFAME!H361)</f>
        <v>7.1857326255161169</v>
      </c>
      <c r="H359" s="21">
        <f>IF(MonthlyFAME!I361=0,"",MonthlyFAME!I361)</f>
        <v>26750</v>
      </c>
      <c r="I359" s="21">
        <f>IF(MonthlyFAME!J361=0,"",MonthlyFAME!J361)</f>
        <v>904.9</v>
      </c>
      <c r="J359" s="24"/>
      <c r="K359" s="21">
        <f>IF(MonthlyFAME!L361=0,"",MonthlyFAME!L361)</f>
        <v>180.47442156954199</v>
      </c>
      <c r="L359" s="21">
        <f>IF(MonthlyFAME!M361=0,"",MonthlyFAME!M361)</f>
        <v>1743</v>
      </c>
      <c r="M359" s="21" t="str">
        <f>IF(MonthlyFAME!N361=0,"",MonthlyFAME!N361)</f>
        <v/>
      </c>
      <c r="N359" s="21" t="str">
        <f>IF(MonthlyFAME!O361=0,"",MonthlyFAME!O361)</f>
        <v/>
      </c>
      <c r="O359" s="21" t="str">
        <f>IF(MonthlyFAME!P361=0,"",MonthlyFAME!P361)</f>
        <v/>
      </c>
      <c r="P359" s="21" t="str">
        <f>IF(MonthlyFAME!Q361=0,"",MonthlyFAME!Q361)</f>
        <v/>
      </c>
      <c r="Q359" s="21" t="str">
        <f>IF(MonthlyFAME!R361=0,"",MonthlyFAME!R361)</f>
        <v/>
      </c>
      <c r="R359" s="21" t="str">
        <f>IF(MonthlyFAME!S361=0,"",MonthlyFAME!S361)</f>
        <v/>
      </c>
      <c r="S359" s="21" t="str">
        <f>IF(MonthlyFAME!T361=0,"",MonthlyFAME!T361)</f>
        <v/>
      </c>
      <c r="T359" s="21">
        <f>IF(MonthlyFAME!U361=0,"",MonthlyFAME!U361)</f>
        <v>17.599999999999998</v>
      </c>
    </row>
    <row r="360" spans="1:20" x14ac:dyDescent="0.2">
      <c r="A360" s="23">
        <f>IF(MonthlyFAME!A362=0,"",MonthlyFAME!A362)</f>
        <v>32751</v>
      </c>
      <c r="B360" s="21" t="str">
        <f>IF(MonthlyFAME!B362=0,"",MonthlyFAME!B362)</f>
        <v/>
      </c>
      <c r="C360" s="21">
        <f>IF(MonthlyFAME!C362=0,"",MonthlyFAME!C362)</f>
        <v>76</v>
      </c>
      <c r="D360" s="21" t="str">
        <f>IF(MonthlyFAME!D362=0,"",MonthlyFAME!D362)</f>
        <v/>
      </c>
      <c r="E360" s="21">
        <f>IF(MonthlyFAME!F362=0,"",MonthlyFAME!F362)</f>
        <v>8478</v>
      </c>
      <c r="F360" s="21">
        <f>IF(MonthlyFAME!G362=0,"",MonthlyFAME!G362)</f>
        <v>10753</v>
      </c>
      <c r="G360" s="21">
        <f>IF(MonthlyFAME!H362=0,"",MonthlyFAME!H362)</f>
        <v>7.1344339622641506</v>
      </c>
      <c r="H360" s="21">
        <f>IF(MonthlyFAME!I362=0,"",MonthlyFAME!I362)</f>
        <v>26775</v>
      </c>
      <c r="I360" s="21">
        <f>IF(MonthlyFAME!J362=0,"",MonthlyFAME!J362)</f>
        <v>905.8</v>
      </c>
      <c r="J360" s="24"/>
      <c r="K360" s="21">
        <f>IF(MonthlyFAME!L362=0,"",MonthlyFAME!L362)</f>
        <v>182.084118455658</v>
      </c>
      <c r="L360" s="21">
        <f>IF(MonthlyFAME!M362=0,"",MonthlyFAME!M362)</f>
        <v>1705.2</v>
      </c>
      <c r="M360" s="21" t="str">
        <f>IF(MonthlyFAME!N362=0,"",MonthlyFAME!N362)</f>
        <v/>
      </c>
      <c r="N360" s="21" t="str">
        <f>IF(MonthlyFAME!O362=0,"",MonthlyFAME!O362)</f>
        <v/>
      </c>
      <c r="O360" s="21" t="str">
        <f>IF(MonthlyFAME!P362=0,"",MonthlyFAME!P362)</f>
        <v/>
      </c>
      <c r="P360" s="21" t="str">
        <f>IF(MonthlyFAME!Q362=0,"",MonthlyFAME!Q362)</f>
        <v/>
      </c>
      <c r="Q360" s="21" t="str">
        <f>IF(MonthlyFAME!R362=0,"",MonthlyFAME!R362)</f>
        <v/>
      </c>
      <c r="R360" s="21" t="str">
        <f>IF(MonthlyFAME!S362=0,"",MonthlyFAME!S362)</f>
        <v/>
      </c>
      <c r="S360" s="21" t="str">
        <f>IF(MonthlyFAME!T362=0,"",MonthlyFAME!T362)</f>
        <v/>
      </c>
      <c r="T360" s="21">
        <f>IF(MonthlyFAME!U362=0,"",MonthlyFAME!U362)</f>
        <v>16.771739130434781</v>
      </c>
    </row>
    <row r="361" spans="1:20" x14ac:dyDescent="0.2">
      <c r="A361" s="23">
        <f>IF(MonthlyFAME!A363=0,"",MonthlyFAME!A363)</f>
        <v>32781</v>
      </c>
      <c r="B361" s="21" t="str">
        <f>IF(MonthlyFAME!B363=0,"",MonthlyFAME!B363)</f>
        <v/>
      </c>
      <c r="C361" s="21">
        <f>IF(MonthlyFAME!C363=0,"",MonthlyFAME!C363)</f>
        <v>75.599999999999994</v>
      </c>
      <c r="D361" s="21" t="str">
        <f>IF(MonthlyFAME!D363=0,"",MonthlyFAME!D363)</f>
        <v/>
      </c>
      <c r="E361" s="21">
        <f>IF(MonthlyFAME!F363=0,"",MonthlyFAME!F363)</f>
        <v>8853</v>
      </c>
      <c r="F361" s="21">
        <f>IF(MonthlyFAME!G363=0,"",MonthlyFAME!G363)</f>
        <v>11132</v>
      </c>
      <c r="G361" s="21">
        <f>IF(MonthlyFAME!H363=0,"",MonthlyFAME!H363)</f>
        <v>7.0908460471567265</v>
      </c>
      <c r="H361" s="21">
        <f>IF(MonthlyFAME!I363=0,"",MonthlyFAME!I363)</f>
        <v>26795</v>
      </c>
      <c r="I361" s="21">
        <f>IF(MonthlyFAME!J363=0,"",MonthlyFAME!J363)</f>
        <v>906.6</v>
      </c>
      <c r="J361" s="24"/>
      <c r="K361" s="21">
        <f>IF(MonthlyFAME!L363=0,"",MonthlyFAME!L363)</f>
        <v>185.42630498196601</v>
      </c>
      <c r="L361" s="21">
        <f>IF(MonthlyFAME!M363=0,"",MonthlyFAME!M363)</f>
        <v>1685</v>
      </c>
      <c r="M361" s="21" t="str">
        <f>IF(MonthlyFAME!N363=0,"",MonthlyFAME!N363)</f>
        <v/>
      </c>
      <c r="N361" s="21" t="str">
        <f>IF(MonthlyFAME!O363=0,"",MonthlyFAME!O363)</f>
        <v/>
      </c>
      <c r="O361" s="21" t="str">
        <f>IF(MonthlyFAME!P363=0,"",MonthlyFAME!P363)</f>
        <v/>
      </c>
      <c r="P361" s="21" t="str">
        <f>IF(MonthlyFAME!Q363=0,"",MonthlyFAME!Q363)</f>
        <v/>
      </c>
      <c r="Q361" s="21" t="str">
        <f>IF(MonthlyFAME!R363=0,"",MonthlyFAME!R363)</f>
        <v/>
      </c>
      <c r="R361" s="21" t="str">
        <f>IF(MonthlyFAME!S363=0,"",MonthlyFAME!S363)</f>
        <v/>
      </c>
      <c r="S361" s="21" t="str">
        <f>IF(MonthlyFAME!T363=0,"",MonthlyFAME!T363)</f>
        <v/>
      </c>
      <c r="T361" s="21">
        <f>IF(MonthlyFAME!U363=0,"",MonthlyFAME!U363)</f>
        <v>17.769047619047615</v>
      </c>
    </row>
    <row r="362" spans="1:20" x14ac:dyDescent="0.2">
      <c r="A362" s="23">
        <f>IF(MonthlyFAME!A364=0,"",MonthlyFAME!A364)</f>
        <v>32812</v>
      </c>
      <c r="B362" s="21" t="str">
        <f>IF(MonthlyFAME!B364=0,"",MonthlyFAME!B364)</f>
        <v/>
      </c>
      <c r="C362" s="21">
        <f>IF(MonthlyFAME!C364=0,"",MonthlyFAME!C364)</f>
        <v>75.2</v>
      </c>
      <c r="D362" s="21" t="str">
        <f>IF(MonthlyFAME!D364=0,"",MonthlyFAME!D364)</f>
        <v/>
      </c>
      <c r="E362" s="21">
        <f>IF(MonthlyFAME!F364=0,"",MonthlyFAME!F364)</f>
        <v>9014</v>
      </c>
      <c r="F362" s="21">
        <f>IF(MonthlyFAME!G364=0,"",MonthlyFAME!G364)</f>
        <v>10513</v>
      </c>
      <c r="G362" s="21">
        <f>IF(MonthlyFAME!H364=0,"",MonthlyFAME!H364)</f>
        <v>7.0492825951341231</v>
      </c>
      <c r="H362" s="21">
        <f>IF(MonthlyFAME!I364=0,"",MonthlyFAME!I364)</f>
        <v>26820</v>
      </c>
      <c r="I362" s="21">
        <f>IF(MonthlyFAME!J364=0,"",MonthlyFAME!J364)</f>
        <v>907.3</v>
      </c>
      <c r="J362" s="24"/>
      <c r="K362" s="21">
        <f>IF(MonthlyFAME!L364=0,"",MonthlyFAME!L364)</f>
        <v>187.56391089589599</v>
      </c>
      <c r="L362" s="21">
        <f>IF(MonthlyFAME!M364=0,"",MonthlyFAME!M364)</f>
        <v>1671.7</v>
      </c>
      <c r="M362" s="21" t="str">
        <f>IF(MonthlyFAME!N364=0,"",MonthlyFAME!N364)</f>
        <v/>
      </c>
      <c r="N362" s="21" t="str">
        <f>IF(MonthlyFAME!O364=0,"",MonthlyFAME!O364)</f>
        <v/>
      </c>
      <c r="O362" s="21" t="str">
        <f>IF(MonthlyFAME!P364=0,"",MonthlyFAME!P364)</f>
        <v/>
      </c>
      <c r="P362" s="21" t="str">
        <f>IF(MonthlyFAME!Q364=0,"",MonthlyFAME!Q364)</f>
        <v/>
      </c>
      <c r="Q362" s="21" t="str">
        <f>IF(MonthlyFAME!R364=0,"",MonthlyFAME!R364)</f>
        <v/>
      </c>
      <c r="R362" s="21" t="str">
        <f>IF(MonthlyFAME!S364=0,"",MonthlyFAME!S364)</f>
        <v/>
      </c>
      <c r="S362" s="21" t="str">
        <f>IF(MonthlyFAME!T364=0,"",MonthlyFAME!T364)</f>
        <v/>
      </c>
      <c r="T362" s="21">
        <f>IF(MonthlyFAME!U364=0,"",MonthlyFAME!U364)</f>
        <v>18.872727272727271</v>
      </c>
    </row>
    <row r="363" spans="1:20" x14ac:dyDescent="0.2">
      <c r="A363" s="23">
        <f>IF(MonthlyFAME!A365=0,"",MonthlyFAME!A365)</f>
        <v>32842</v>
      </c>
      <c r="B363" s="21" t="str">
        <f>IF(MonthlyFAME!B365=0,"",MonthlyFAME!B365)</f>
        <v/>
      </c>
      <c r="C363" s="21">
        <f>IF(MonthlyFAME!C365=0,"",MonthlyFAME!C365)</f>
        <v>75.8</v>
      </c>
      <c r="D363" s="21" t="str">
        <f>IF(MonthlyFAME!D365=0,"",MonthlyFAME!D365)</f>
        <v/>
      </c>
      <c r="E363" s="21">
        <f>IF(MonthlyFAME!F365=0,"",MonthlyFAME!F365)</f>
        <v>8781</v>
      </c>
      <c r="F363" s="21">
        <f>IF(MonthlyFAME!G365=0,"",MonthlyFAME!G365)</f>
        <v>10672</v>
      </c>
      <c r="G363" s="21">
        <f>IF(MonthlyFAME!H365=0,"",MonthlyFAME!H365)</f>
        <v>7.0194272258198565</v>
      </c>
      <c r="H363" s="21">
        <f>IF(MonthlyFAME!I365=0,"",MonthlyFAME!I365)</f>
        <v>26850</v>
      </c>
      <c r="I363" s="21">
        <f>IF(MonthlyFAME!J365=0,"",MonthlyFAME!J365)</f>
        <v>908.1</v>
      </c>
      <c r="J363" s="24"/>
      <c r="K363" s="21">
        <f>IF(MonthlyFAME!L365=0,"",MonthlyFAME!L365)</f>
        <v>187.165585305722</v>
      </c>
      <c r="L363" s="21">
        <f>IF(MonthlyFAME!M365=0,"",MonthlyFAME!M365)</f>
        <v>1648.7</v>
      </c>
      <c r="M363" s="21" t="str">
        <f>IF(MonthlyFAME!N365=0,"",MonthlyFAME!N365)</f>
        <v/>
      </c>
      <c r="N363" s="21" t="str">
        <f>IF(MonthlyFAME!O365=0,"",MonthlyFAME!O365)</f>
        <v/>
      </c>
      <c r="O363" s="21" t="str">
        <f>IF(MonthlyFAME!P365=0,"",MonthlyFAME!P365)</f>
        <v/>
      </c>
      <c r="P363" s="21" t="str">
        <f>IF(MonthlyFAME!Q365=0,"",MonthlyFAME!Q365)</f>
        <v/>
      </c>
      <c r="Q363" s="21" t="str">
        <f>IF(MonthlyFAME!R365=0,"",MonthlyFAME!R365)</f>
        <v/>
      </c>
      <c r="R363" s="21" t="str">
        <f>IF(MonthlyFAME!S365=0,"",MonthlyFAME!S365)</f>
        <v/>
      </c>
      <c r="S363" s="21" t="str">
        <f>IF(MonthlyFAME!T365=0,"",MonthlyFAME!T365)</f>
        <v/>
      </c>
      <c r="T363" s="21">
        <f>IF(MonthlyFAME!U365=0,"",MonthlyFAME!U365)</f>
        <v>18.71590909090909</v>
      </c>
    </row>
    <row r="364" spans="1:20" x14ac:dyDescent="0.2">
      <c r="A364" s="23">
        <f>IF(MonthlyFAME!A366=0,"",MonthlyFAME!A366)</f>
        <v>32873</v>
      </c>
      <c r="B364" s="21" t="str">
        <f>IF(MonthlyFAME!B366=0,"",MonthlyFAME!B366)</f>
        <v/>
      </c>
      <c r="C364" s="21">
        <f>IF(MonthlyFAME!C366=0,"",MonthlyFAME!C366)</f>
        <v>75.7</v>
      </c>
      <c r="D364" s="21" t="str">
        <f>IF(MonthlyFAME!D366=0,"",MonthlyFAME!D366)</f>
        <v/>
      </c>
      <c r="E364" s="21">
        <f>IF(MonthlyFAME!F366=0,"",MonthlyFAME!F366)</f>
        <v>9399</v>
      </c>
      <c r="F364" s="21">
        <f>IF(MonthlyFAME!G366=0,"",MonthlyFAME!G366)</f>
        <v>10663</v>
      </c>
      <c r="G364" s="21">
        <f>IF(MonthlyFAME!H366=0,"",MonthlyFAME!H366)</f>
        <v>6.992837618075499</v>
      </c>
      <c r="H364" s="21">
        <f>IF(MonthlyFAME!I366=0,"",MonthlyFAME!I366)</f>
        <v>26880</v>
      </c>
      <c r="I364" s="21">
        <f>IF(MonthlyFAME!J366=0,"",MonthlyFAME!J366)</f>
        <v>908.8</v>
      </c>
      <c r="J364" s="24"/>
      <c r="K364" s="21">
        <f>IF(MonthlyFAME!L366=0,"",MonthlyFAME!L366)</f>
        <v>187.92010993623501</v>
      </c>
      <c r="L364" s="21">
        <f>IF(MonthlyFAME!M366=0,"",MonthlyFAME!M366)</f>
        <v>1629.5</v>
      </c>
      <c r="M364" s="21" t="str">
        <f>IF(MonthlyFAME!N366=0,"",MonthlyFAME!N366)</f>
        <v/>
      </c>
      <c r="N364" s="21" t="str">
        <f>IF(MonthlyFAME!O366=0,"",MonthlyFAME!O366)</f>
        <v/>
      </c>
      <c r="O364" s="21" t="str">
        <f>IF(MonthlyFAME!P366=0,"",MonthlyFAME!P366)</f>
        <v/>
      </c>
      <c r="P364" s="21" t="str">
        <f>IF(MonthlyFAME!Q366=0,"",MonthlyFAME!Q366)</f>
        <v/>
      </c>
      <c r="Q364" s="21" t="str">
        <f>IF(MonthlyFAME!R366=0,"",MonthlyFAME!R366)</f>
        <v/>
      </c>
      <c r="R364" s="21" t="str">
        <f>IF(MonthlyFAME!S366=0,"",MonthlyFAME!S366)</f>
        <v/>
      </c>
      <c r="S364" s="21" t="str">
        <f>IF(MonthlyFAME!T366=0,"",MonthlyFAME!T366)</f>
        <v/>
      </c>
      <c r="T364" s="21">
        <f>IF(MonthlyFAME!U366=0,"",MonthlyFAME!U366)</f>
        <v>19.899999999999999</v>
      </c>
    </row>
    <row r="365" spans="1:20" x14ac:dyDescent="0.2">
      <c r="A365" s="23">
        <f>IF(MonthlyFAME!A367=0,"",MonthlyFAME!A367)</f>
        <v>32904</v>
      </c>
      <c r="B365" s="21" t="str">
        <f>IF(MonthlyFAME!B367=0,"",MonthlyFAME!B367)</f>
        <v/>
      </c>
      <c r="C365" s="21">
        <f>IF(MonthlyFAME!C367=0,"",MonthlyFAME!C367)</f>
        <v>74.900000000000006</v>
      </c>
      <c r="D365" s="21" t="str">
        <f>IF(MonthlyFAME!D367=0,"",MonthlyFAME!D367)</f>
        <v/>
      </c>
      <c r="E365" s="21">
        <f>IF(MonthlyFAME!F367=0,"",MonthlyFAME!F367)</f>
        <v>9247</v>
      </c>
      <c r="F365" s="21">
        <f>IF(MonthlyFAME!G367=0,"",MonthlyFAME!G367)</f>
        <v>11053</v>
      </c>
      <c r="G365" s="21">
        <f>IF(MonthlyFAME!H367=0,"",MonthlyFAME!H367)</f>
        <v>6.9614559546052179</v>
      </c>
      <c r="H365" s="21">
        <f>IF(MonthlyFAME!I367=0,"",MonthlyFAME!I367)</f>
        <v>26890</v>
      </c>
      <c r="I365" s="21">
        <f>IF(MonthlyFAME!J367=0,"",MonthlyFAME!J367)</f>
        <v>908.7</v>
      </c>
      <c r="J365" s="24"/>
      <c r="K365" s="21">
        <f>IF(MonthlyFAME!L367=0,"",MonthlyFAME!L367)</f>
        <v>191.21273055315001</v>
      </c>
      <c r="L365" s="21">
        <f>IF(MonthlyFAME!M367=0,"",MonthlyFAME!M367)</f>
        <v>1605.9</v>
      </c>
      <c r="M365" s="21" t="str">
        <f>IF(MonthlyFAME!N367=0,"",MonthlyFAME!N367)</f>
        <v/>
      </c>
      <c r="N365" s="21" t="str">
        <f>IF(MonthlyFAME!O367=0,"",MonthlyFAME!O367)</f>
        <v/>
      </c>
      <c r="O365" s="21" t="str">
        <f>IF(MonthlyFAME!P367=0,"",MonthlyFAME!P367)</f>
        <v/>
      </c>
      <c r="P365" s="21" t="str">
        <f>IF(MonthlyFAME!Q367=0,"",MonthlyFAME!Q367)</f>
        <v/>
      </c>
      <c r="Q365" s="21" t="str">
        <f>IF(MonthlyFAME!R367=0,"",MonthlyFAME!R367)</f>
        <v/>
      </c>
      <c r="R365" s="21" t="str">
        <f>IF(MonthlyFAME!S367=0,"",MonthlyFAME!S367)</f>
        <v/>
      </c>
      <c r="S365" s="21" t="str">
        <f>IF(MonthlyFAME!T367=0,"",MonthlyFAME!T367)</f>
        <v/>
      </c>
      <c r="T365" s="21">
        <f>IF(MonthlyFAME!U367=0,"",MonthlyFAME!U367)</f>
        <v>21.234782608695653</v>
      </c>
    </row>
    <row r="366" spans="1:20" x14ac:dyDescent="0.2">
      <c r="A366" s="23">
        <f>IF(MonthlyFAME!A368=0,"",MonthlyFAME!A368)</f>
        <v>32932</v>
      </c>
      <c r="B366" s="21" t="str">
        <f>IF(MonthlyFAME!B368=0,"",MonthlyFAME!B368)</f>
        <v/>
      </c>
      <c r="C366" s="21">
        <f>IF(MonthlyFAME!C368=0,"",MonthlyFAME!C368)</f>
        <v>74.400000000000006</v>
      </c>
      <c r="D366" s="21" t="str">
        <f>IF(MonthlyFAME!D368=0,"",MonthlyFAME!D368)</f>
        <v/>
      </c>
      <c r="E366" s="21">
        <f>IF(MonthlyFAME!F368=0,"",MonthlyFAME!F368)</f>
        <v>9218</v>
      </c>
      <c r="F366" s="21">
        <f>IF(MonthlyFAME!G368=0,"",MonthlyFAME!G368)</f>
        <v>10578</v>
      </c>
      <c r="G366" s="21">
        <f>IF(MonthlyFAME!H368=0,"",MonthlyFAME!H368)</f>
        <v>6.9397356950114162</v>
      </c>
      <c r="H366" s="21">
        <f>IF(MonthlyFAME!I368=0,"",MonthlyFAME!I368)</f>
        <v>26900</v>
      </c>
      <c r="I366" s="21">
        <f>IF(MonthlyFAME!J368=0,"",MonthlyFAME!J368)</f>
        <v>908.6</v>
      </c>
      <c r="J366" s="24"/>
      <c r="K366" s="21">
        <f>IF(MonthlyFAME!L368=0,"",MonthlyFAME!L368)</f>
        <v>193.533720831268</v>
      </c>
      <c r="L366" s="21">
        <f>IF(MonthlyFAME!M368=0,"",MonthlyFAME!M368)</f>
        <v>1597</v>
      </c>
      <c r="M366" s="21" t="str">
        <f>IF(MonthlyFAME!N368=0,"",MonthlyFAME!N368)</f>
        <v/>
      </c>
      <c r="N366" s="21" t="str">
        <f>IF(MonthlyFAME!O368=0,"",MonthlyFAME!O368)</f>
        <v/>
      </c>
      <c r="O366" s="21" t="str">
        <f>IF(MonthlyFAME!P368=0,"",MonthlyFAME!P368)</f>
        <v/>
      </c>
      <c r="P366" s="21" t="str">
        <f>IF(MonthlyFAME!Q368=0,"",MonthlyFAME!Q368)</f>
        <v/>
      </c>
      <c r="Q366" s="21" t="str">
        <f>IF(MonthlyFAME!R368=0,"",MonthlyFAME!R368)</f>
        <v/>
      </c>
      <c r="R366" s="21" t="str">
        <f>IF(MonthlyFAME!S368=0,"",MonthlyFAME!S368)</f>
        <v/>
      </c>
      <c r="S366" s="21" t="str">
        <f>IF(MonthlyFAME!T368=0,"",MonthlyFAME!T368)</f>
        <v/>
      </c>
      <c r="T366" s="21">
        <f>IF(MonthlyFAME!U368=0,"",MonthlyFAME!U368)</f>
        <v>19.844999999999999</v>
      </c>
    </row>
    <row r="367" spans="1:20" x14ac:dyDescent="0.2">
      <c r="A367" s="23">
        <f>IF(MonthlyFAME!A369=0,"",MonthlyFAME!A369)</f>
        <v>32963</v>
      </c>
      <c r="B367" s="21" t="str">
        <f>IF(MonthlyFAME!B369=0,"",MonthlyFAME!B369)</f>
        <v/>
      </c>
      <c r="C367" s="21">
        <f>IF(MonthlyFAME!C369=0,"",MonthlyFAME!C369)</f>
        <v>75.5</v>
      </c>
      <c r="D367" s="21" t="str">
        <f>IF(MonthlyFAME!D369=0,"",MonthlyFAME!D369)</f>
        <v/>
      </c>
      <c r="E367" s="21">
        <f>IF(MonthlyFAME!F369=0,"",MonthlyFAME!F369)</f>
        <v>9146</v>
      </c>
      <c r="F367" s="21">
        <f>IF(MonthlyFAME!G369=0,"",MonthlyFAME!G369)</f>
        <v>11034</v>
      </c>
      <c r="G367" s="21">
        <f>IF(MonthlyFAME!H369=0,"",MonthlyFAME!H369)</f>
        <v>6.9332964295599222</v>
      </c>
      <c r="H367" s="21">
        <f>IF(MonthlyFAME!I369=0,"",MonthlyFAME!I369)</f>
        <v>26900</v>
      </c>
      <c r="I367" s="21">
        <f>IF(MonthlyFAME!J369=0,"",MonthlyFAME!J369)</f>
        <v>908.1</v>
      </c>
      <c r="J367" s="24"/>
      <c r="K367" s="21">
        <f>IF(MonthlyFAME!L369=0,"",MonthlyFAME!L369)</f>
        <v>192.24283702499699</v>
      </c>
      <c r="L367" s="21">
        <f>IF(MonthlyFAME!M369=0,"",MonthlyFAME!M369)</f>
        <v>1584.1</v>
      </c>
      <c r="M367" s="21" t="str">
        <f>IF(MonthlyFAME!N369=0,"",MonthlyFAME!N369)</f>
        <v/>
      </c>
      <c r="N367" s="21" t="str">
        <f>IF(MonthlyFAME!O369=0,"",MonthlyFAME!O369)</f>
        <v/>
      </c>
      <c r="O367" s="21" t="str">
        <f>IF(MonthlyFAME!P369=0,"",MonthlyFAME!P369)</f>
        <v/>
      </c>
      <c r="P367" s="21" t="str">
        <f>IF(MonthlyFAME!Q369=0,"",MonthlyFAME!Q369)</f>
        <v/>
      </c>
      <c r="Q367" s="21" t="str">
        <f>IF(MonthlyFAME!R369=0,"",MonthlyFAME!R369)</f>
        <v/>
      </c>
      <c r="R367" s="21" t="str">
        <f>IF(MonthlyFAME!S369=0,"",MonthlyFAME!S369)</f>
        <v/>
      </c>
      <c r="S367" s="21" t="str">
        <f>IF(MonthlyFAME!T369=0,"",MonthlyFAME!T369)</f>
        <v/>
      </c>
      <c r="T367" s="21">
        <f>IF(MonthlyFAME!U369=0,"",MonthlyFAME!U369)</f>
        <v>18.37681818181818</v>
      </c>
    </row>
    <row r="368" spans="1:20" x14ac:dyDescent="0.2">
      <c r="A368" s="23">
        <f>IF(MonthlyFAME!A370=0,"",MonthlyFAME!A370)</f>
        <v>32993</v>
      </c>
      <c r="B368" s="21" t="str">
        <f>IF(MonthlyFAME!B370=0,"",MonthlyFAME!B370)</f>
        <v/>
      </c>
      <c r="C368" s="21">
        <f>IF(MonthlyFAME!C370=0,"",MonthlyFAME!C370)</f>
        <v>76</v>
      </c>
      <c r="D368" s="21" t="str">
        <f>IF(MonthlyFAME!D370=0,"",MonthlyFAME!D370)</f>
        <v/>
      </c>
      <c r="E368" s="21">
        <f>IF(MonthlyFAME!F370=0,"",MonthlyFAME!F370)</f>
        <v>9226</v>
      </c>
      <c r="F368" s="21">
        <f>IF(MonthlyFAME!G370=0,"",MonthlyFAME!G370)</f>
        <v>11005</v>
      </c>
      <c r="G368" s="21">
        <f>IF(MonthlyFAME!H370=0,"",MonthlyFAME!H370)</f>
        <v>6.9308985266652829</v>
      </c>
      <c r="H368" s="21">
        <f>IF(MonthlyFAME!I370=0,"",MonthlyFAME!I370)</f>
        <v>26910</v>
      </c>
      <c r="I368" s="21">
        <f>IF(MonthlyFAME!J370=0,"",MonthlyFAME!J370)</f>
        <v>907.7</v>
      </c>
      <c r="J368" s="24"/>
      <c r="K368" s="21">
        <f>IF(MonthlyFAME!L370=0,"",MonthlyFAME!L370)</f>
        <v>195.90595662981801</v>
      </c>
      <c r="L368" s="21">
        <f>IF(MonthlyFAME!M370=0,"",MonthlyFAME!M370)</f>
        <v>1570.2</v>
      </c>
      <c r="M368" s="21" t="str">
        <f>IF(MonthlyFAME!N370=0,"",MonthlyFAME!N370)</f>
        <v/>
      </c>
      <c r="N368" s="21" t="str">
        <f>IF(MonthlyFAME!O370=0,"",MonthlyFAME!O370)</f>
        <v/>
      </c>
      <c r="O368" s="21" t="str">
        <f>IF(MonthlyFAME!P370=0,"",MonthlyFAME!P370)</f>
        <v/>
      </c>
      <c r="P368" s="21" t="str">
        <f>IF(MonthlyFAME!Q370=0,"",MonthlyFAME!Q370)</f>
        <v/>
      </c>
      <c r="Q368" s="21" t="str">
        <f>IF(MonthlyFAME!R370=0,"",MonthlyFAME!R370)</f>
        <v/>
      </c>
      <c r="R368" s="21" t="str">
        <f>IF(MonthlyFAME!S370=0,"",MonthlyFAME!S370)</f>
        <v/>
      </c>
      <c r="S368" s="21" t="str">
        <f>IF(MonthlyFAME!T370=0,"",MonthlyFAME!T370)</f>
        <v/>
      </c>
      <c r="T368" s="21">
        <f>IF(MonthlyFAME!U370=0,"",MonthlyFAME!U370)</f>
        <v>16.554761904761904</v>
      </c>
    </row>
    <row r="369" spans="1:20" x14ac:dyDescent="0.2">
      <c r="A369" s="23">
        <f>IF(MonthlyFAME!A371=0,"",MonthlyFAME!A371)</f>
        <v>33024</v>
      </c>
      <c r="B369" s="21" t="str">
        <f>IF(MonthlyFAME!B371=0,"",MonthlyFAME!B371)</f>
        <v/>
      </c>
      <c r="C369" s="21">
        <f>IF(MonthlyFAME!C371=0,"",MonthlyFAME!C371)</f>
        <v>75.5</v>
      </c>
      <c r="D369" s="21" t="str">
        <f>IF(MonthlyFAME!D371=0,"",MonthlyFAME!D371)</f>
        <v/>
      </c>
      <c r="E369" s="21">
        <f>IF(MonthlyFAME!F371=0,"",MonthlyFAME!F371)</f>
        <v>9447</v>
      </c>
      <c r="F369" s="21">
        <f>IF(MonthlyFAME!G371=0,"",MonthlyFAME!G371)</f>
        <v>10757</v>
      </c>
      <c r="G369" s="21">
        <f>IF(MonthlyFAME!H371=0,"",MonthlyFAME!H371)</f>
        <v>6.9280232316946693</v>
      </c>
      <c r="H369" s="21">
        <f>IF(MonthlyFAME!I371=0,"",MonthlyFAME!I371)</f>
        <v>26922</v>
      </c>
      <c r="I369" s="21">
        <f>IF(MonthlyFAME!J371=0,"",MonthlyFAME!J371)</f>
        <v>907.3</v>
      </c>
      <c r="J369" s="24"/>
      <c r="K369" s="21">
        <f>IF(MonthlyFAME!L371=0,"",MonthlyFAME!L371)</f>
        <v>198.07646844416601</v>
      </c>
      <c r="L369" s="21">
        <f>IF(MonthlyFAME!M371=0,"",MonthlyFAME!M371)</f>
        <v>1567.5</v>
      </c>
      <c r="M369" s="21" t="str">
        <f>IF(MonthlyFAME!N371=0,"",MonthlyFAME!N371)</f>
        <v/>
      </c>
      <c r="N369" s="21" t="str">
        <f>IF(MonthlyFAME!O371=0,"",MonthlyFAME!O371)</f>
        <v/>
      </c>
      <c r="O369" s="21" t="str">
        <f>IF(MonthlyFAME!P371=0,"",MonthlyFAME!P371)</f>
        <v/>
      </c>
      <c r="P369" s="21" t="str">
        <f>IF(MonthlyFAME!Q371=0,"",MonthlyFAME!Q371)</f>
        <v/>
      </c>
      <c r="Q369" s="21" t="str">
        <f>IF(MonthlyFAME!R371=0,"",MonthlyFAME!R371)</f>
        <v/>
      </c>
      <c r="R369" s="21" t="str">
        <f>IF(MonthlyFAME!S371=0,"",MonthlyFAME!S371)</f>
        <v/>
      </c>
      <c r="S369" s="21" t="str">
        <f>IF(MonthlyFAME!T371=0,"",MonthlyFAME!T371)</f>
        <v/>
      </c>
      <c r="T369" s="21">
        <f>IF(MonthlyFAME!U371=0,"",MonthlyFAME!U371)</f>
        <v>16.352173913043476</v>
      </c>
    </row>
    <row r="370" spans="1:20" x14ac:dyDescent="0.2">
      <c r="A370" s="23">
        <f>IF(MonthlyFAME!A372=0,"",MonthlyFAME!A372)</f>
        <v>33054</v>
      </c>
      <c r="B370" s="21" t="str">
        <f>IF(MonthlyFAME!B372=0,"",MonthlyFAME!B372)</f>
        <v/>
      </c>
      <c r="C370" s="21">
        <f>IF(MonthlyFAME!C372=0,"",MonthlyFAME!C372)</f>
        <v>76.599999999999994</v>
      </c>
      <c r="D370" s="21" t="str">
        <f>IF(MonthlyFAME!D372=0,"",MonthlyFAME!D372)</f>
        <v/>
      </c>
      <c r="E370" s="21">
        <f>IF(MonthlyFAME!F372=0,"",MonthlyFAME!F372)</f>
        <v>9172</v>
      </c>
      <c r="F370" s="21">
        <f>IF(MonthlyFAME!G372=0,"",MonthlyFAME!G372)</f>
        <v>10740</v>
      </c>
      <c r="G370" s="21">
        <f>IF(MonthlyFAME!H372=0,"",MonthlyFAME!H372)</f>
        <v>6.9184780730552582</v>
      </c>
      <c r="H370" s="21">
        <f>IF(MonthlyFAME!I372=0,"",MonthlyFAME!I372)</f>
        <v>26935</v>
      </c>
      <c r="I370" s="21">
        <f>IF(MonthlyFAME!J372=0,"",MonthlyFAME!J372)</f>
        <v>906.6</v>
      </c>
      <c r="J370" s="24"/>
      <c r="K370" s="21">
        <f>IF(MonthlyFAME!L372=0,"",MonthlyFAME!L372)</f>
        <v>201.178638244859</v>
      </c>
      <c r="L370" s="21">
        <f>IF(MonthlyFAME!M372=0,"",MonthlyFAME!M372)</f>
        <v>1584.3</v>
      </c>
      <c r="M370" s="21" t="str">
        <f>IF(MonthlyFAME!N372=0,"",MonthlyFAME!N372)</f>
        <v/>
      </c>
      <c r="N370" s="21" t="str">
        <f>IF(MonthlyFAME!O372=0,"",MonthlyFAME!O372)</f>
        <v/>
      </c>
      <c r="O370" s="21" t="str">
        <f>IF(MonthlyFAME!P372=0,"",MonthlyFAME!P372)</f>
        <v/>
      </c>
      <c r="P370" s="21" t="str">
        <f>IF(MonthlyFAME!Q372=0,"",MonthlyFAME!Q372)</f>
        <v/>
      </c>
      <c r="Q370" s="21" t="str">
        <f>IF(MonthlyFAME!R372=0,"",MonthlyFAME!R372)</f>
        <v/>
      </c>
      <c r="R370" s="21" t="str">
        <f>IF(MonthlyFAME!S372=0,"",MonthlyFAME!S372)</f>
        <v/>
      </c>
      <c r="S370" s="21" t="str">
        <f>IF(MonthlyFAME!T372=0,"",MonthlyFAME!T372)</f>
        <v/>
      </c>
      <c r="T370" s="21">
        <f>IF(MonthlyFAME!U372=0,"",MonthlyFAME!U372)</f>
        <v>15.066666666666668</v>
      </c>
    </row>
    <row r="371" spans="1:20" x14ac:dyDescent="0.2">
      <c r="A371" s="23">
        <f>IF(MonthlyFAME!A373=0,"",MonthlyFAME!A373)</f>
        <v>33085</v>
      </c>
      <c r="B371" s="21" t="str">
        <f>IF(MonthlyFAME!B373=0,"",MonthlyFAME!B373)</f>
        <v/>
      </c>
      <c r="C371" s="21">
        <f>IF(MonthlyFAME!C373=0,"",MonthlyFAME!C373)</f>
        <v>74.8</v>
      </c>
      <c r="D371" s="21" t="str">
        <f>IF(MonthlyFAME!D373=0,"",MonthlyFAME!D373)</f>
        <v/>
      </c>
      <c r="E371" s="21">
        <f>IF(MonthlyFAME!F373=0,"",MonthlyFAME!F373)</f>
        <v>8961</v>
      </c>
      <c r="F371" s="21">
        <f>IF(MonthlyFAME!G373=0,"",MonthlyFAME!G373)</f>
        <v>10701</v>
      </c>
      <c r="G371" s="21">
        <f>IF(MonthlyFAME!H373=0,"",MonthlyFAME!H373)</f>
        <v>6.9385922497755059</v>
      </c>
      <c r="H371" s="21">
        <f>IF(MonthlyFAME!I373=0,"",MonthlyFAME!I373)</f>
        <v>26945</v>
      </c>
      <c r="I371" s="21">
        <f>IF(MonthlyFAME!J373=0,"",MonthlyFAME!J373)</f>
        <v>905.8</v>
      </c>
      <c r="J371" s="24"/>
      <c r="K371" s="21">
        <f>IF(MonthlyFAME!L373=0,"",MonthlyFAME!L373)</f>
        <v>201.91992464853101</v>
      </c>
      <c r="L371" s="21">
        <f>IF(MonthlyFAME!M373=0,"",MonthlyFAME!M373)</f>
        <v>1607</v>
      </c>
      <c r="M371" s="21" t="str">
        <f>IF(MonthlyFAME!N373=0,"",MonthlyFAME!N373)</f>
        <v/>
      </c>
      <c r="N371" s="21" t="str">
        <f>IF(MonthlyFAME!O373=0,"",MonthlyFAME!O373)</f>
        <v/>
      </c>
      <c r="O371" s="21" t="str">
        <f>IF(MonthlyFAME!P373=0,"",MonthlyFAME!P373)</f>
        <v/>
      </c>
      <c r="P371" s="21" t="str">
        <f>IF(MonthlyFAME!Q373=0,"",MonthlyFAME!Q373)</f>
        <v/>
      </c>
      <c r="Q371" s="21" t="str">
        <f>IF(MonthlyFAME!R373=0,"",MonthlyFAME!R373)</f>
        <v/>
      </c>
      <c r="R371" s="21" t="str">
        <f>IF(MonthlyFAME!S373=0,"",MonthlyFAME!S373)</f>
        <v/>
      </c>
      <c r="S371" s="21" t="str">
        <f>IF(MonthlyFAME!T373=0,"",MonthlyFAME!T373)</f>
        <v/>
      </c>
      <c r="T371" s="21">
        <f>IF(MonthlyFAME!U373=0,"",MonthlyFAME!U373)</f>
        <v>17.222727272727273</v>
      </c>
    </row>
    <row r="372" spans="1:20" x14ac:dyDescent="0.2">
      <c r="A372" s="23">
        <f>IF(MonthlyFAME!A374=0,"",MonthlyFAME!A374)</f>
        <v>33116</v>
      </c>
      <c r="B372" s="21" t="str">
        <f>IF(MonthlyFAME!B374=0,"",MonthlyFAME!B374)</f>
        <v/>
      </c>
      <c r="C372" s="21">
        <f>IF(MonthlyFAME!C374=0,"",MonthlyFAME!C374)</f>
        <v>74.900000000000006</v>
      </c>
      <c r="D372" s="21" t="str">
        <f>IF(MonthlyFAME!D374=0,"",MonthlyFAME!D374)</f>
        <v/>
      </c>
      <c r="E372" s="21">
        <f>IF(MonthlyFAME!F374=0,"",MonthlyFAME!F374)</f>
        <v>9174</v>
      </c>
      <c r="F372" s="21">
        <f>IF(MonthlyFAME!G374=0,"",MonthlyFAME!G374)</f>
        <v>10468</v>
      </c>
      <c r="G372" s="21">
        <f>IF(MonthlyFAME!H374=0,"",MonthlyFAME!H374)</f>
        <v>6.9903985632382399</v>
      </c>
      <c r="H372" s="21">
        <f>IF(MonthlyFAME!I374=0,"",MonthlyFAME!I374)</f>
        <v>26930</v>
      </c>
      <c r="I372" s="21">
        <f>IF(MonthlyFAME!J374=0,"",MonthlyFAME!J374)</f>
        <v>904.1</v>
      </c>
      <c r="J372" s="24"/>
      <c r="K372" s="21">
        <f>IF(MonthlyFAME!L374=0,"",MonthlyFAME!L374)</f>
        <v>203.07123672374701</v>
      </c>
      <c r="L372" s="21">
        <f>IF(MonthlyFAME!M374=0,"",MonthlyFAME!M374)</f>
        <v>1635.2</v>
      </c>
      <c r="M372" s="21" t="str">
        <f>IF(MonthlyFAME!N374=0,"",MonthlyFAME!N374)</f>
        <v/>
      </c>
      <c r="N372" s="21" t="str">
        <f>IF(MonthlyFAME!O374=0,"",MonthlyFAME!O374)</f>
        <v/>
      </c>
      <c r="O372" s="21" t="str">
        <f>IF(MonthlyFAME!P374=0,"",MonthlyFAME!P374)</f>
        <v/>
      </c>
      <c r="P372" s="21" t="str">
        <f>IF(MonthlyFAME!Q374=0,"",MonthlyFAME!Q374)</f>
        <v/>
      </c>
      <c r="Q372" s="21" t="str">
        <f>IF(MonthlyFAME!R374=0,"",MonthlyFAME!R374)</f>
        <v/>
      </c>
      <c r="R372" s="21" t="str">
        <f>IF(MonthlyFAME!S374=0,"",MonthlyFAME!S374)</f>
        <v/>
      </c>
      <c r="S372" s="21" t="str">
        <f>IF(MonthlyFAME!T374=0,"",MonthlyFAME!T374)</f>
        <v/>
      </c>
      <c r="T372" s="21">
        <f>IF(MonthlyFAME!U374=0,"",MonthlyFAME!U374)</f>
        <v>27.356521739130432</v>
      </c>
    </row>
    <row r="373" spans="1:20" x14ac:dyDescent="0.2">
      <c r="A373" s="23">
        <f>IF(MonthlyFAME!A375=0,"",MonthlyFAME!A375)</f>
        <v>33146</v>
      </c>
      <c r="B373" s="21" t="str">
        <f>IF(MonthlyFAME!B375=0,"",MonthlyFAME!B375)</f>
        <v/>
      </c>
      <c r="C373" s="21">
        <f>IF(MonthlyFAME!C375=0,"",MonthlyFAME!C375)</f>
        <v>74.5</v>
      </c>
      <c r="D373" s="21" t="str">
        <f>IF(MonthlyFAME!D375=0,"",MonthlyFAME!D375)</f>
        <v/>
      </c>
      <c r="E373" s="21">
        <f>IF(MonthlyFAME!F375=0,"",MonthlyFAME!F375)</f>
        <v>9520</v>
      </c>
      <c r="F373" s="21">
        <f>IF(MonthlyFAME!G375=0,"",MonthlyFAME!G375)</f>
        <v>10475</v>
      </c>
      <c r="G373" s="21">
        <f>IF(MonthlyFAME!H375=0,"",MonthlyFAME!H375)</f>
        <v>7.077964696535286</v>
      </c>
      <c r="H373" s="21">
        <f>IF(MonthlyFAME!I375=0,"",MonthlyFAME!I375)</f>
        <v>26900</v>
      </c>
      <c r="I373" s="21">
        <f>IF(MonthlyFAME!J375=0,"",MonthlyFAME!J375)</f>
        <v>901.8</v>
      </c>
      <c r="J373" s="24"/>
      <c r="K373" s="21">
        <f>IF(MonthlyFAME!L375=0,"",MonthlyFAME!L375)</f>
        <v>203.63684891699299</v>
      </c>
      <c r="L373" s="21">
        <f>IF(MonthlyFAME!M375=0,"",MonthlyFAME!M375)</f>
        <v>1680.5</v>
      </c>
      <c r="M373" s="21" t="str">
        <f>IF(MonthlyFAME!N375=0,"",MonthlyFAME!N375)</f>
        <v/>
      </c>
      <c r="N373" s="21" t="str">
        <f>IF(MonthlyFAME!O375=0,"",MonthlyFAME!O375)</f>
        <v/>
      </c>
      <c r="O373" s="21" t="str">
        <f>IF(MonthlyFAME!P375=0,"",MonthlyFAME!P375)</f>
        <v/>
      </c>
      <c r="P373" s="21" t="str">
        <f>IF(MonthlyFAME!Q375=0,"",MonthlyFAME!Q375)</f>
        <v/>
      </c>
      <c r="Q373" s="21" t="str">
        <f>IF(MonthlyFAME!R375=0,"",MonthlyFAME!R375)</f>
        <v/>
      </c>
      <c r="R373" s="21" t="str">
        <f>IF(MonthlyFAME!S375=0,"",MonthlyFAME!S375)</f>
        <v/>
      </c>
      <c r="S373" s="21" t="str">
        <f>IF(MonthlyFAME!T375=0,"",MonthlyFAME!T375)</f>
        <v/>
      </c>
      <c r="T373" s="21">
        <f>IF(MonthlyFAME!U375=0,"",MonthlyFAME!U375)</f>
        <v>35.102500000000006</v>
      </c>
    </row>
    <row r="374" spans="1:20" x14ac:dyDescent="0.2">
      <c r="A374" s="23">
        <f>IF(MonthlyFAME!A376=0,"",MonthlyFAME!A376)</f>
        <v>33177</v>
      </c>
      <c r="B374" s="21" t="str">
        <f>IF(MonthlyFAME!B376=0,"",MonthlyFAME!B376)</f>
        <v/>
      </c>
      <c r="C374" s="21">
        <f>IF(MonthlyFAME!C376=0,"",MonthlyFAME!C376)</f>
        <v>74.400000000000006</v>
      </c>
      <c r="D374" s="21" t="str">
        <f>IF(MonthlyFAME!D376=0,"",MonthlyFAME!D376)</f>
        <v/>
      </c>
      <c r="E374" s="21">
        <f>IF(MonthlyFAME!F376=0,"",MonthlyFAME!F376)</f>
        <v>9349</v>
      </c>
      <c r="F374" s="21">
        <f>IF(MonthlyFAME!G376=0,"",MonthlyFAME!G376)</f>
        <v>10437</v>
      </c>
      <c r="G374" s="21">
        <f>IF(MonthlyFAME!H376=0,"",MonthlyFAME!H376)</f>
        <v>7.1853183106380039</v>
      </c>
      <c r="H374" s="21">
        <f>IF(MonthlyFAME!I376=0,"",MonthlyFAME!I376)</f>
        <v>26855</v>
      </c>
      <c r="I374" s="21">
        <f>IF(MonthlyFAME!J376=0,"",MonthlyFAME!J376)</f>
        <v>898.8</v>
      </c>
      <c r="J374" s="24"/>
      <c r="K374" s="21">
        <f>IF(MonthlyFAME!L376=0,"",MonthlyFAME!L376)</f>
        <v>204.66917887306499</v>
      </c>
      <c r="L374" s="21">
        <f>IF(MonthlyFAME!M376=0,"",MonthlyFAME!M376)</f>
        <v>1725.9</v>
      </c>
      <c r="M374" s="21" t="str">
        <f>IF(MonthlyFAME!N376=0,"",MonthlyFAME!N376)</f>
        <v/>
      </c>
      <c r="N374" s="21" t="str">
        <f>IF(MonthlyFAME!O376=0,"",MonthlyFAME!O376)</f>
        <v/>
      </c>
      <c r="O374" s="21" t="str">
        <f>IF(MonthlyFAME!P376=0,"",MonthlyFAME!P376)</f>
        <v/>
      </c>
      <c r="P374" s="21" t="str">
        <f>IF(MonthlyFAME!Q376=0,"",MonthlyFAME!Q376)</f>
        <v/>
      </c>
      <c r="Q374" s="21" t="str">
        <f>IF(MonthlyFAME!R376=0,"",MonthlyFAME!R376)</f>
        <v/>
      </c>
      <c r="R374" s="21" t="str">
        <f>IF(MonthlyFAME!S376=0,"",MonthlyFAME!S376)</f>
        <v/>
      </c>
      <c r="S374" s="21" t="str">
        <f>IF(MonthlyFAME!T376=0,"",MonthlyFAME!T376)</f>
        <v/>
      </c>
      <c r="T374" s="21">
        <f>IF(MonthlyFAME!U376=0,"",MonthlyFAME!U376)</f>
        <v>36.065217391304344</v>
      </c>
    </row>
    <row r="375" spans="1:20" x14ac:dyDescent="0.2">
      <c r="A375" s="23">
        <f>IF(MonthlyFAME!A377=0,"",MonthlyFAME!A377)</f>
        <v>33207</v>
      </c>
      <c r="B375" s="21" t="str">
        <f>IF(MonthlyFAME!B377=0,"",MonthlyFAME!B377)</f>
        <v/>
      </c>
      <c r="C375" s="21">
        <f>IF(MonthlyFAME!C377=0,"",MonthlyFAME!C377)</f>
        <v>74</v>
      </c>
      <c r="D375" s="21" t="str">
        <f>IF(MonthlyFAME!D377=0,"",MonthlyFAME!D377)</f>
        <v/>
      </c>
      <c r="E375" s="21">
        <f>IF(MonthlyFAME!F377=0,"",MonthlyFAME!F377)</f>
        <v>9412</v>
      </c>
      <c r="F375" s="21">
        <f>IF(MonthlyFAME!G377=0,"",MonthlyFAME!G377)</f>
        <v>10481</v>
      </c>
      <c r="G375" s="21">
        <f>IF(MonthlyFAME!H377=0,"",MonthlyFAME!H377)</f>
        <v>7.313278008298755</v>
      </c>
      <c r="H375" s="21">
        <f>IF(MonthlyFAME!I377=0,"",MonthlyFAME!I377)</f>
        <v>26805</v>
      </c>
      <c r="I375" s="21">
        <f>IF(MonthlyFAME!J377=0,"",MonthlyFAME!J377)</f>
        <v>895.8</v>
      </c>
      <c r="J375" s="24"/>
      <c r="K375" s="21">
        <f>IF(MonthlyFAME!L377=0,"",MonthlyFAME!L377)</f>
        <v>206.62365981648699</v>
      </c>
      <c r="L375" s="21">
        <f>IF(MonthlyFAME!M377=0,"",MonthlyFAME!M377)</f>
        <v>1773.5</v>
      </c>
      <c r="M375" s="21" t="str">
        <f>IF(MonthlyFAME!N377=0,"",MonthlyFAME!N377)</f>
        <v/>
      </c>
      <c r="N375" s="21" t="str">
        <f>IF(MonthlyFAME!O377=0,"",MonthlyFAME!O377)</f>
        <v/>
      </c>
      <c r="O375" s="21" t="str">
        <f>IF(MonthlyFAME!P377=0,"",MonthlyFAME!P377)</f>
        <v/>
      </c>
      <c r="P375" s="21" t="str">
        <f>IF(MonthlyFAME!Q377=0,"",MonthlyFAME!Q377)</f>
        <v/>
      </c>
      <c r="Q375" s="21" t="str">
        <f>IF(MonthlyFAME!R377=0,"",MonthlyFAME!R377)</f>
        <v/>
      </c>
      <c r="R375" s="21" t="str">
        <f>IF(MonthlyFAME!S377=0,"",MonthlyFAME!S377)</f>
        <v/>
      </c>
      <c r="S375" s="21" t="str">
        <f>IF(MonthlyFAME!T377=0,"",MonthlyFAME!T377)</f>
        <v/>
      </c>
      <c r="T375" s="21">
        <f>IF(MonthlyFAME!U377=0,"",MonthlyFAME!U377)</f>
        <v>33.036363636363632</v>
      </c>
    </row>
    <row r="376" spans="1:20" x14ac:dyDescent="0.2">
      <c r="A376" s="23">
        <f>IF(MonthlyFAME!A378=0,"",MonthlyFAME!A378)</f>
        <v>33238</v>
      </c>
      <c r="B376" s="21" t="str">
        <f>IF(MonthlyFAME!B378=0,"",MonthlyFAME!B378)</f>
        <v/>
      </c>
      <c r="C376" s="21">
        <f>IF(MonthlyFAME!C378=0,"",MonthlyFAME!C378)</f>
        <v>73.7</v>
      </c>
      <c r="D376" s="21" t="str">
        <f>IF(MonthlyFAME!D378=0,"",MonthlyFAME!D378)</f>
        <v/>
      </c>
      <c r="E376" s="21">
        <f>IF(MonthlyFAME!F378=0,"",MonthlyFAME!F378)</f>
        <v>9044</v>
      </c>
      <c r="F376" s="21">
        <f>IF(MonthlyFAME!G378=0,"",MonthlyFAME!G378)</f>
        <v>10008</v>
      </c>
      <c r="G376" s="21">
        <f>IF(MonthlyFAME!H378=0,"",MonthlyFAME!H378)</f>
        <v>7.4650615746506155</v>
      </c>
      <c r="H376" s="21">
        <f>IF(MonthlyFAME!I378=0,"",MonthlyFAME!I378)</f>
        <v>26750</v>
      </c>
      <c r="I376" s="21">
        <f>IF(MonthlyFAME!J378=0,"",MonthlyFAME!J378)</f>
        <v>892.4</v>
      </c>
      <c r="J376" s="24"/>
      <c r="K376" s="21">
        <f>IF(MonthlyFAME!L378=0,"",MonthlyFAME!L378)</f>
        <v>208.96317010342901</v>
      </c>
      <c r="L376" s="21">
        <f>IF(MonthlyFAME!M378=0,"",MonthlyFAME!M378)</f>
        <v>1846.5</v>
      </c>
      <c r="M376" s="21" t="str">
        <f>IF(MonthlyFAME!N378=0,"",MonthlyFAME!N378)</f>
        <v/>
      </c>
      <c r="N376" s="21" t="str">
        <f>IF(MonthlyFAME!O378=0,"",MonthlyFAME!O378)</f>
        <v/>
      </c>
      <c r="O376" s="21" t="str">
        <f>IF(MonthlyFAME!P378=0,"",MonthlyFAME!P378)</f>
        <v/>
      </c>
      <c r="P376" s="21" t="str">
        <f>IF(MonthlyFAME!Q378=0,"",MonthlyFAME!Q378)</f>
        <v/>
      </c>
      <c r="Q376" s="21" t="str">
        <f>IF(MonthlyFAME!R378=0,"",MonthlyFAME!R378)</f>
        <v/>
      </c>
      <c r="R376" s="21" t="str">
        <f>IF(MonthlyFAME!S378=0,"",MonthlyFAME!S378)</f>
        <v/>
      </c>
      <c r="S376" s="21" t="str">
        <f>IF(MonthlyFAME!T378=0,"",MonthlyFAME!T378)</f>
        <v/>
      </c>
      <c r="T376" s="21">
        <f>IF(MonthlyFAME!U378=0,"",MonthlyFAME!U378)</f>
        <v>27.883333333333336</v>
      </c>
    </row>
    <row r="377" spans="1:20" x14ac:dyDescent="0.2">
      <c r="A377" s="23">
        <f>IF(MonthlyFAME!A379=0,"",MonthlyFAME!A379)</f>
        <v>33269</v>
      </c>
      <c r="B377" s="21" t="str">
        <f>IF(MonthlyFAME!B379=0,"",MonthlyFAME!B379)</f>
        <v/>
      </c>
      <c r="C377" s="21">
        <f>IF(MonthlyFAME!C379=0,"",MonthlyFAME!C379)</f>
        <v>73.5</v>
      </c>
      <c r="D377" s="21" t="str">
        <f>IF(MonthlyFAME!D379=0,"",MonthlyFAME!D379)</f>
        <v/>
      </c>
      <c r="E377" s="21">
        <f>IF(MonthlyFAME!F379=0,"",MonthlyFAME!F379)</f>
        <v>9082</v>
      </c>
      <c r="F377" s="21">
        <f>IF(MonthlyFAME!G379=0,"",MonthlyFAME!G379)</f>
        <v>10348</v>
      </c>
      <c r="G377" s="21">
        <f>IF(MonthlyFAME!H379=0,"",MonthlyFAME!H379)</f>
        <v>7.6036148332813962</v>
      </c>
      <c r="H377" s="21">
        <f>IF(MonthlyFAME!I379=0,"",MonthlyFAME!I379)</f>
        <v>26685</v>
      </c>
      <c r="I377" s="21">
        <f>IF(MonthlyFAME!J379=0,"",MonthlyFAME!J379)</f>
        <v>889</v>
      </c>
      <c r="J377" s="24"/>
      <c r="K377" s="21">
        <f>IF(MonthlyFAME!L379=0,"",MonthlyFAME!L379)</f>
        <v>209.01155405720499</v>
      </c>
      <c r="L377" s="21">
        <f>IF(MonthlyFAME!M379=0,"",MonthlyFAME!M379)</f>
        <v>1871.1</v>
      </c>
      <c r="M377" s="21" t="str">
        <f>IF(MonthlyFAME!N379=0,"",MonthlyFAME!N379)</f>
        <v/>
      </c>
      <c r="N377" s="21" t="str">
        <f>IF(MonthlyFAME!O379=0,"",MonthlyFAME!O379)</f>
        <v/>
      </c>
      <c r="O377" s="21" t="str">
        <f>IF(MonthlyFAME!P379=0,"",MonthlyFAME!P379)</f>
        <v/>
      </c>
      <c r="P377" s="21" t="str">
        <f>IF(MonthlyFAME!Q379=0,"",MonthlyFAME!Q379)</f>
        <v/>
      </c>
      <c r="Q377" s="21" t="str">
        <f>IF(MonthlyFAME!R379=0,"",MonthlyFAME!R379)</f>
        <v/>
      </c>
      <c r="R377" s="21" t="str">
        <f>IF(MonthlyFAME!S379=0,"",MonthlyFAME!S379)</f>
        <v/>
      </c>
      <c r="S377" s="21" t="str">
        <f>IF(MonthlyFAME!T379=0,"",MonthlyFAME!T379)</f>
        <v/>
      </c>
      <c r="T377" s="21">
        <f>IF(MonthlyFAME!U379=0,"",MonthlyFAME!U379)</f>
        <v>23.986956521739128</v>
      </c>
    </row>
    <row r="378" spans="1:20" x14ac:dyDescent="0.2">
      <c r="A378" s="23">
        <f>IF(MonthlyFAME!A380=0,"",MonthlyFAME!A380)</f>
        <v>33297</v>
      </c>
      <c r="B378" s="21" t="str">
        <f>IF(MonthlyFAME!B380=0,"",MonthlyFAME!B380)</f>
        <v/>
      </c>
      <c r="C378" s="21">
        <f>IF(MonthlyFAME!C380=0,"",MonthlyFAME!C380)</f>
        <v>73.5</v>
      </c>
      <c r="D378" s="21" t="str">
        <f>IF(MonthlyFAME!D380=0,"",MonthlyFAME!D380)</f>
        <v/>
      </c>
      <c r="E378" s="21">
        <f>IF(MonthlyFAME!F380=0,"",MonthlyFAME!F380)</f>
        <v>9000</v>
      </c>
      <c r="F378" s="21">
        <f>IF(MonthlyFAME!G380=0,"",MonthlyFAME!G380)</f>
        <v>9717</v>
      </c>
      <c r="G378" s="21">
        <f>IF(MonthlyFAME!H380=0,"",MonthlyFAME!H380)</f>
        <v>7.7757372050313593</v>
      </c>
      <c r="H378" s="21">
        <f>IF(MonthlyFAME!I380=0,"",MonthlyFAME!I380)</f>
        <v>26615</v>
      </c>
      <c r="I378" s="21">
        <f>IF(MonthlyFAME!J380=0,"",MonthlyFAME!J380)</f>
        <v>885.2</v>
      </c>
      <c r="J378" s="24"/>
      <c r="K378" s="21">
        <f>IF(MonthlyFAME!L380=0,"",MonthlyFAME!L380)</f>
        <v>210.19807444592999</v>
      </c>
      <c r="L378" s="21">
        <f>IF(MonthlyFAME!M380=0,"",MonthlyFAME!M380)</f>
        <v>1960.9</v>
      </c>
      <c r="M378" s="21" t="str">
        <f>IF(MonthlyFAME!N380=0,"",MonthlyFAME!N380)</f>
        <v/>
      </c>
      <c r="N378" s="21" t="str">
        <f>IF(MonthlyFAME!O380=0,"",MonthlyFAME!O380)</f>
        <v/>
      </c>
      <c r="O378" s="21" t="str">
        <f>IF(MonthlyFAME!P380=0,"",MonthlyFAME!P380)</f>
        <v/>
      </c>
      <c r="P378" s="21" t="str">
        <f>IF(MonthlyFAME!Q380=0,"",MonthlyFAME!Q380)</f>
        <v/>
      </c>
      <c r="Q378" s="21" t="str">
        <f>IF(MonthlyFAME!R380=0,"",MonthlyFAME!R380)</f>
        <v/>
      </c>
      <c r="R378" s="21" t="str">
        <f>IF(MonthlyFAME!S380=0,"",MonthlyFAME!S380)</f>
        <v/>
      </c>
      <c r="S378" s="21" t="str">
        <f>IF(MonthlyFAME!T380=0,"",MonthlyFAME!T380)</f>
        <v/>
      </c>
      <c r="T378" s="21">
        <f>IF(MonthlyFAME!U380=0,"",MonthlyFAME!U380)</f>
        <v>19.365000000000002</v>
      </c>
    </row>
    <row r="379" spans="1:20" x14ac:dyDescent="0.2">
      <c r="A379" s="23">
        <f>IF(MonthlyFAME!A381=0,"",MonthlyFAME!A381)</f>
        <v>33328</v>
      </c>
      <c r="B379" s="21" t="str">
        <f>IF(MonthlyFAME!B381=0,"",MonthlyFAME!B381)</f>
        <v/>
      </c>
      <c r="C379" s="21">
        <f>IF(MonthlyFAME!C381=0,"",MonthlyFAME!C381)</f>
        <v>72.7</v>
      </c>
      <c r="D379" s="21" t="str">
        <f>IF(MonthlyFAME!D381=0,"",MonthlyFAME!D381)</f>
        <v/>
      </c>
      <c r="E379" s="21">
        <f>IF(MonthlyFAME!F381=0,"",MonthlyFAME!F381)</f>
        <v>9093</v>
      </c>
      <c r="F379" s="21">
        <f>IF(MonthlyFAME!G381=0,"",MonthlyFAME!G381)</f>
        <v>10065</v>
      </c>
      <c r="G379" s="21">
        <f>IF(MonthlyFAME!H381=0,"",MonthlyFAME!H381)</f>
        <v>7.9969482591205434</v>
      </c>
      <c r="H379" s="21">
        <f>IF(MonthlyFAME!I381=0,"",MonthlyFAME!I381)</f>
        <v>26530</v>
      </c>
      <c r="I379" s="21">
        <f>IF(MonthlyFAME!J381=0,"",MonthlyFAME!J381)</f>
        <v>881.4</v>
      </c>
      <c r="J379" s="24"/>
      <c r="K379" s="21">
        <f>IF(MonthlyFAME!L381=0,"",MonthlyFAME!L381)</f>
        <v>208.15086403113401</v>
      </c>
      <c r="L379" s="21">
        <f>IF(MonthlyFAME!M381=0,"",MonthlyFAME!M381)</f>
        <v>2079.6</v>
      </c>
      <c r="M379" s="21" t="str">
        <f>IF(MonthlyFAME!N381=0,"",MonthlyFAME!N381)</f>
        <v/>
      </c>
      <c r="N379" s="21" t="str">
        <f>IF(MonthlyFAME!O381=0,"",MonthlyFAME!O381)</f>
        <v/>
      </c>
      <c r="O379" s="21" t="str">
        <f>IF(MonthlyFAME!P381=0,"",MonthlyFAME!P381)</f>
        <v/>
      </c>
      <c r="P379" s="21" t="str">
        <f>IF(MonthlyFAME!Q381=0,"",MonthlyFAME!Q381)</f>
        <v/>
      </c>
      <c r="Q379" s="21" t="str">
        <f>IF(MonthlyFAME!R381=0,"",MonthlyFAME!R381)</f>
        <v/>
      </c>
      <c r="R379" s="21" t="str">
        <f>IF(MonthlyFAME!S381=0,"",MonthlyFAME!S381)</f>
        <v/>
      </c>
      <c r="S379" s="21" t="str">
        <f>IF(MonthlyFAME!T381=0,"",MonthlyFAME!T381)</f>
        <v/>
      </c>
      <c r="T379" s="21">
        <f>IF(MonthlyFAME!U381=0,"",MonthlyFAME!U381)</f>
        <v>18.938095238095237</v>
      </c>
    </row>
    <row r="380" spans="1:20" x14ac:dyDescent="0.2">
      <c r="A380" s="23">
        <f>IF(MonthlyFAME!A382=0,"",MonthlyFAME!A382)</f>
        <v>33358</v>
      </c>
      <c r="B380" s="21" t="str">
        <f>IF(MonthlyFAME!B382=0,"",MonthlyFAME!B382)</f>
        <v/>
      </c>
      <c r="C380" s="21">
        <f>IF(MonthlyFAME!C382=0,"",MonthlyFAME!C382)</f>
        <v>71.7</v>
      </c>
      <c r="D380" s="21" t="str">
        <f>IF(MonthlyFAME!D382=0,"",MonthlyFAME!D382)</f>
        <v/>
      </c>
      <c r="E380" s="21">
        <f>IF(MonthlyFAME!F382=0,"",MonthlyFAME!F382)</f>
        <v>9246</v>
      </c>
      <c r="F380" s="21">
        <f>IF(MonthlyFAME!G382=0,"",MonthlyFAME!G382)</f>
        <v>9840</v>
      </c>
      <c r="G380" s="21">
        <f>IF(MonthlyFAME!H382=0,"",MonthlyFAME!H382)</f>
        <v>8.2489246565838776</v>
      </c>
      <c r="H380" s="21">
        <f>IF(MonthlyFAME!I382=0,"",MonthlyFAME!I382)</f>
        <v>26450</v>
      </c>
      <c r="I380" s="21">
        <f>IF(MonthlyFAME!J382=0,"",MonthlyFAME!J382)</f>
        <v>877.6</v>
      </c>
      <c r="J380" s="24"/>
      <c r="K380" s="21">
        <f>IF(MonthlyFAME!L382=0,"",MonthlyFAME!L382)</f>
        <v>212.59806721889399</v>
      </c>
      <c r="L380" s="21">
        <f>IF(MonthlyFAME!M382=0,"",MonthlyFAME!M382)</f>
        <v>2143.6</v>
      </c>
      <c r="M380" s="21" t="str">
        <f>IF(MonthlyFAME!N382=0,"",MonthlyFAME!N382)</f>
        <v/>
      </c>
      <c r="N380" s="21" t="str">
        <f>IF(MonthlyFAME!O382=0,"",MonthlyFAME!O382)</f>
        <v/>
      </c>
      <c r="O380" s="21" t="str">
        <f>IF(MonthlyFAME!P382=0,"",MonthlyFAME!P382)</f>
        <v/>
      </c>
      <c r="P380" s="21" t="str">
        <f>IF(MonthlyFAME!Q382=0,"",MonthlyFAME!Q382)</f>
        <v/>
      </c>
      <c r="Q380" s="21" t="str">
        <f>IF(MonthlyFAME!R382=0,"",MonthlyFAME!R382)</f>
        <v/>
      </c>
      <c r="R380" s="21" t="str">
        <f>IF(MonthlyFAME!S382=0,"",MonthlyFAME!S382)</f>
        <v/>
      </c>
      <c r="S380" s="21" t="str">
        <f>IF(MonthlyFAME!T382=0,"",MonthlyFAME!T382)</f>
        <v/>
      </c>
      <c r="T380" s="21">
        <f>IF(MonthlyFAME!U382=0,"",MonthlyFAME!U382)</f>
        <v>19.181818181818183</v>
      </c>
    </row>
    <row r="381" spans="1:20" x14ac:dyDescent="0.2">
      <c r="A381" s="23">
        <f>IF(MonthlyFAME!A383=0,"",MonthlyFAME!A383)</f>
        <v>33389</v>
      </c>
      <c r="B381" s="21" t="str">
        <f>IF(MonthlyFAME!B383=0,"",MonthlyFAME!B383)</f>
        <v/>
      </c>
      <c r="C381" s="21">
        <f>IF(MonthlyFAME!C383=0,"",MonthlyFAME!C383)</f>
        <v>72.599999999999994</v>
      </c>
      <c r="D381" s="21" t="str">
        <f>IF(MonthlyFAME!D383=0,"",MonthlyFAME!D383)</f>
        <v/>
      </c>
      <c r="E381" s="21">
        <f>IF(MonthlyFAME!F383=0,"",MonthlyFAME!F383)</f>
        <v>9174</v>
      </c>
      <c r="F381" s="21">
        <f>IF(MonthlyFAME!G383=0,"",MonthlyFAME!G383)</f>
        <v>9990</v>
      </c>
      <c r="G381" s="21">
        <f>IF(MonthlyFAME!H383=0,"",MonthlyFAME!H383)</f>
        <v>8.4771062588954074</v>
      </c>
      <c r="H381" s="21">
        <f>IF(MonthlyFAME!I383=0,"",MonthlyFAME!I383)</f>
        <v>26365</v>
      </c>
      <c r="I381" s="21">
        <f>IF(MonthlyFAME!J383=0,"",MonthlyFAME!J383)</f>
        <v>873.8</v>
      </c>
      <c r="J381" s="24"/>
      <c r="K381" s="21">
        <f>IF(MonthlyFAME!L383=0,"",MonthlyFAME!L383)</f>
        <v>214.201469659704</v>
      </c>
      <c r="L381" s="21">
        <f>IF(MonthlyFAME!M383=0,"",MonthlyFAME!M383)</f>
        <v>2205.9</v>
      </c>
      <c r="M381" s="21" t="str">
        <f>IF(MonthlyFAME!N383=0,"",MonthlyFAME!N383)</f>
        <v/>
      </c>
      <c r="N381" s="21" t="str">
        <f>IF(MonthlyFAME!O383=0,"",MonthlyFAME!O383)</f>
        <v/>
      </c>
      <c r="O381" s="21" t="str">
        <f>IF(MonthlyFAME!P383=0,"",MonthlyFAME!P383)</f>
        <v/>
      </c>
      <c r="P381" s="21" t="str">
        <f>IF(MonthlyFAME!Q383=0,"",MonthlyFAME!Q383)</f>
        <v/>
      </c>
      <c r="Q381" s="21" t="str">
        <f>IF(MonthlyFAME!R383=0,"",MonthlyFAME!R383)</f>
        <v/>
      </c>
      <c r="R381" s="21" t="str">
        <f>IF(MonthlyFAME!S383=0,"",MonthlyFAME!S383)</f>
        <v/>
      </c>
      <c r="S381" s="21" t="str">
        <f>IF(MonthlyFAME!T383=0,"",MonthlyFAME!T383)</f>
        <v/>
      </c>
      <c r="T381" s="21">
        <f>IF(MonthlyFAME!U383=0,"",MonthlyFAME!U383)</f>
        <v>19.091304347826089</v>
      </c>
    </row>
    <row r="382" spans="1:20" x14ac:dyDescent="0.2">
      <c r="A382" s="23">
        <f>IF(MonthlyFAME!A384=0,"",MonthlyFAME!A384)</f>
        <v>33419</v>
      </c>
      <c r="B382" s="21" t="str">
        <f>IF(MonthlyFAME!B384=0,"",MonthlyFAME!B384)</f>
        <v/>
      </c>
      <c r="C382" s="21">
        <f>IF(MonthlyFAME!C384=0,"",MonthlyFAME!C384)</f>
        <v>72.8</v>
      </c>
      <c r="D382" s="21" t="str">
        <f>IF(MonthlyFAME!D384=0,"",MonthlyFAME!D384)</f>
        <v/>
      </c>
      <c r="E382" s="21">
        <f>IF(MonthlyFAME!F384=0,"",MonthlyFAME!F384)</f>
        <v>9720</v>
      </c>
      <c r="F382" s="21">
        <f>IF(MonthlyFAME!G384=0,"",MonthlyFAME!G384)</f>
        <v>10023</v>
      </c>
      <c r="G382" s="21">
        <f>IF(MonthlyFAME!H384=0,"",MonthlyFAME!H384)</f>
        <v>8.6627037925400625</v>
      </c>
      <c r="H382" s="21">
        <f>IF(MonthlyFAME!I384=0,"",MonthlyFAME!I384)</f>
        <v>26275</v>
      </c>
      <c r="I382" s="21">
        <f>IF(MonthlyFAME!J384=0,"",MonthlyFAME!J384)</f>
        <v>869.8</v>
      </c>
      <c r="J382" s="24"/>
      <c r="K382" s="21">
        <f>IF(MonthlyFAME!L384=0,"",MonthlyFAME!L384)</f>
        <v>214.759071493698</v>
      </c>
      <c r="L382" s="21">
        <f>IF(MonthlyFAME!M384=0,"",MonthlyFAME!M384)</f>
        <v>2274.6999999999998</v>
      </c>
      <c r="M382" s="21" t="str">
        <f>IF(MonthlyFAME!N384=0,"",MonthlyFAME!N384)</f>
        <v/>
      </c>
      <c r="N382" s="21" t="str">
        <f>IF(MonthlyFAME!O384=0,"",MonthlyFAME!O384)</f>
        <v/>
      </c>
      <c r="O382" s="21" t="str">
        <f>IF(MonthlyFAME!P384=0,"",MonthlyFAME!P384)</f>
        <v/>
      </c>
      <c r="P382" s="21" t="str">
        <f>IF(MonthlyFAME!Q384=0,"",MonthlyFAME!Q384)</f>
        <v/>
      </c>
      <c r="Q382" s="21" t="str">
        <f>IF(MonthlyFAME!R384=0,"",MonthlyFAME!R384)</f>
        <v/>
      </c>
      <c r="R382" s="21" t="str">
        <f>IF(MonthlyFAME!S384=0,"",MonthlyFAME!S384)</f>
        <v/>
      </c>
      <c r="S382" s="21" t="str">
        <f>IF(MonthlyFAME!T384=0,"",MonthlyFAME!T384)</f>
        <v/>
      </c>
      <c r="T382" s="21">
        <f>IF(MonthlyFAME!U384=0,"",MonthlyFAME!U384)</f>
        <v>18.0915</v>
      </c>
    </row>
    <row r="383" spans="1:20" x14ac:dyDescent="0.2">
      <c r="A383" s="23">
        <f>IF(MonthlyFAME!A385=0,"",MonthlyFAME!A385)</f>
        <v>33450</v>
      </c>
      <c r="B383" s="21" t="str">
        <f>IF(MonthlyFAME!B385=0,"",MonthlyFAME!B385)</f>
        <v/>
      </c>
      <c r="C383" s="21">
        <f>IF(MonthlyFAME!C385=0,"",MonthlyFAME!C385)</f>
        <v>72.2</v>
      </c>
      <c r="D383" s="21" t="str">
        <f>IF(MonthlyFAME!D385=0,"",MonthlyFAME!D385)</f>
        <v/>
      </c>
      <c r="E383" s="21">
        <f>IF(MonthlyFAME!F385=0,"",MonthlyFAME!F385)</f>
        <v>9474</v>
      </c>
      <c r="F383" s="21">
        <f>IF(MonthlyFAME!G385=0,"",MonthlyFAME!G385)</f>
        <v>9820</v>
      </c>
      <c r="G383" s="21">
        <f>IF(MonthlyFAME!H385=0,"",MonthlyFAME!H385)</f>
        <v>8.8409328228332758</v>
      </c>
      <c r="H383" s="21">
        <f>IF(MonthlyFAME!I385=0,"",MonthlyFAME!I385)</f>
        <v>26190</v>
      </c>
      <c r="I383" s="21">
        <f>IF(MonthlyFAME!J385=0,"",MonthlyFAME!J385)</f>
        <v>866.1</v>
      </c>
      <c r="J383" s="24"/>
      <c r="K383" s="21">
        <f>IF(MonthlyFAME!L385=0,"",MonthlyFAME!L385)</f>
        <v>216.04964582162</v>
      </c>
      <c r="L383" s="21">
        <f>IF(MonthlyFAME!M385=0,"",MonthlyFAME!M385)</f>
        <v>2341.3000000000002</v>
      </c>
      <c r="M383" s="21" t="str">
        <f>IF(MonthlyFAME!N385=0,"",MonthlyFAME!N385)</f>
        <v/>
      </c>
      <c r="N383" s="21" t="str">
        <f>IF(MonthlyFAME!O385=0,"",MonthlyFAME!O385)</f>
        <v/>
      </c>
      <c r="O383" s="21" t="str">
        <f>IF(MonthlyFAME!P385=0,"",MonthlyFAME!P385)</f>
        <v/>
      </c>
      <c r="P383" s="21" t="str">
        <f>IF(MonthlyFAME!Q385=0,"",MonthlyFAME!Q385)</f>
        <v/>
      </c>
      <c r="Q383" s="21" t="str">
        <f>IF(MonthlyFAME!R385=0,"",MonthlyFAME!R385)</f>
        <v/>
      </c>
      <c r="R383" s="21" t="str">
        <f>IF(MonthlyFAME!S385=0,"",MonthlyFAME!S385)</f>
        <v/>
      </c>
      <c r="S383" s="21" t="str">
        <f>IF(MonthlyFAME!T385=0,"",MonthlyFAME!T385)</f>
        <v/>
      </c>
      <c r="T383" s="21">
        <f>IF(MonthlyFAME!U385=0,"",MonthlyFAME!U385)</f>
        <v>19.430434782608696</v>
      </c>
    </row>
    <row r="384" spans="1:20" x14ac:dyDescent="0.2">
      <c r="A384" s="23">
        <f>IF(MonthlyFAME!A386=0,"",MonthlyFAME!A386)</f>
        <v>33481</v>
      </c>
      <c r="B384" s="21" t="str">
        <f>IF(MonthlyFAME!B386=0,"",MonthlyFAME!B386)</f>
        <v/>
      </c>
      <c r="C384" s="21">
        <f>IF(MonthlyFAME!C386=0,"",MonthlyFAME!C386)</f>
        <v>71.400000000000006</v>
      </c>
      <c r="D384" s="21" t="str">
        <f>IF(MonthlyFAME!D386=0,"",MonthlyFAME!D386)</f>
        <v/>
      </c>
      <c r="E384" s="21">
        <f>IF(MonthlyFAME!F386=0,"",MonthlyFAME!F386)</f>
        <v>9687</v>
      </c>
      <c r="F384" s="21">
        <f>IF(MonthlyFAME!G386=0,"",MonthlyFAME!G386)</f>
        <v>10228</v>
      </c>
      <c r="G384" s="21">
        <f>IF(MonthlyFAME!H386=0,"",MonthlyFAME!H386)</f>
        <v>9.0101080515859184</v>
      </c>
      <c r="H384" s="21">
        <f>IF(MonthlyFAME!I386=0,"",MonthlyFAME!I386)</f>
        <v>26105</v>
      </c>
      <c r="I384" s="21">
        <f>IF(MonthlyFAME!J386=0,"",MonthlyFAME!J386)</f>
        <v>862.6</v>
      </c>
      <c r="J384" s="24"/>
      <c r="K384" s="21">
        <f>IF(MonthlyFAME!L386=0,"",MonthlyFAME!L386)</f>
        <v>218.55710909859599</v>
      </c>
      <c r="L384" s="21">
        <f>IF(MonthlyFAME!M386=0,"",MonthlyFAME!M386)</f>
        <v>2391.3000000000002</v>
      </c>
      <c r="M384" s="21" t="str">
        <f>IF(MonthlyFAME!N386=0,"",MonthlyFAME!N386)</f>
        <v/>
      </c>
      <c r="N384" s="21" t="str">
        <f>IF(MonthlyFAME!O386=0,"",MonthlyFAME!O386)</f>
        <v/>
      </c>
      <c r="O384" s="21" t="str">
        <f>IF(MonthlyFAME!P386=0,"",MonthlyFAME!P386)</f>
        <v/>
      </c>
      <c r="P384" s="21" t="str">
        <f>IF(MonthlyFAME!Q386=0,"",MonthlyFAME!Q386)</f>
        <v/>
      </c>
      <c r="Q384" s="21" t="str">
        <f>IF(MonthlyFAME!R386=0,"",MonthlyFAME!R386)</f>
        <v/>
      </c>
      <c r="R384" s="21" t="str">
        <f>IF(MonthlyFAME!S386=0,"",MonthlyFAME!S386)</f>
        <v/>
      </c>
      <c r="S384" s="21" t="str">
        <f>IF(MonthlyFAME!T386=0,"",MonthlyFAME!T386)</f>
        <v/>
      </c>
      <c r="T384" s="21">
        <f>IF(MonthlyFAME!U386=0,"",MonthlyFAME!U386)</f>
        <v>19.768181818181816</v>
      </c>
    </row>
    <row r="385" spans="1:20" x14ac:dyDescent="0.2">
      <c r="A385" s="23">
        <f>IF(MonthlyFAME!A387=0,"",MonthlyFAME!A387)</f>
        <v>33511</v>
      </c>
      <c r="B385" s="21" t="str">
        <f>IF(MonthlyFAME!B387=0,"",MonthlyFAME!B387)</f>
        <v/>
      </c>
      <c r="C385" s="21">
        <f>IF(MonthlyFAME!C387=0,"",MonthlyFAME!C387)</f>
        <v>71.5</v>
      </c>
      <c r="D385" s="21" t="str">
        <f>IF(MonthlyFAME!D387=0,"",MonthlyFAME!D387)</f>
        <v/>
      </c>
      <c r="E385" s="21">
        <f>IF(MonthlyFAME!F387=0,"",MonthlyFAME!F387)</f>
        <v>9341</v>
      </c>
      <c r="F385" s="21">
        <f>IF(MonthlyFAME!G387=0,"",MonthlyFAME!G387)</f>
        <v>10225</v>
      </c>
      <c r="G385" s="21">
        <f>IF(MonthlyFAME!H387=0,"",MonthlyFAME!H387)</f>
        <v>9.1591329540298094</v>
      </c>
      <c r="H385" s="21">
        <f>IF(MonthlyFAME!I387=0,"",MonthlyFAME!I387)</f>
        <v>26025</v>
      </c>
      <c r="I385" s="21">
        <f>IF(MonthlyFAME!J387=0,"",MonthlyFAME!J387)</f>
        <v>859.5</v>
      </c>
      <c r="J385" s="24"/>
      <c r="K385" s="21">
        <f>IF(MonthlyFAME!L387=0,"",MonthlyFAME!L387)</f>
        <v>219.95467381626099</v>
      </c>
      <c r="L385" s="21">
        <f>IF(MonthlyFAME!M387=0,"",MonthlyFAME!M387)</f>
        <v>2434.9</v>
      </c>
      <c r="M385" s="21" t="str">
        <f>IF(MonthlyFAME!N387=0,"",MonthlyFAME!N387)</f>
        <v/>
      </c>
      <c r="N385" s="21" t="str">
        <f>IF(MonthlyFAME!O387=0,"",MonthlyFAME!O387)</f>
        <v/>
      </c>
      <c r="O385" s="21" t="str">
        <f>IF(MonthlyFAME!P387=0,"",MonthlyFAME!P387)</f>
        <v/>
      </c>
      <c r="P385" s="21" t="str">
        <f>IF(MonthlyFAME!Q387=0,"",MonthlyFAME!Q387)</f>
        <v/>
      </c>
      <c r="Q385" s="21" t="str">
        <f>IF(MonthlyFAME!R387=0,"",MonthlyFAME!R387)</f>
        <v/>
      </c>
      <c r="R385" s="21" t="str">
        <f>IF(MonthlyFAME!S387=0,"",MonthlyFAME!S387)</f>
        <v/>
      </c>
      <c r="S385" s="21" t="str">
        <f>IF(MonthlyFAME!T387=0,"",MonthlyFAME!T387)</f>
        <v/>
      </c>
      <c r="T385" s="21">
        <f>IF(MonthlyFAME!U387=0,"",MonthlyFAME!U387)</f>
        <v>20.547619047619044</v>
      </c>
    </row>
    <row r="386" spans="1:20" x14ac:dyDescent="0.2">
      <c r="A386" s="23">
        <f>IF(MonthlyFAME!A388=0,"",MonthlyFAME!A388)</f>
        <v>33542</v>
      </c>
      <c r="B386" s="21" t="str">
        <f>IF(MonthlyFAME!B388=0,"",MonthlyFAME!B388)</f>
        <v/>
      </c>
      <c r="C386" s="21">
        <f>IF(MonthlyFAME!C388=0,"",MonthlyFAME!C388)</f>
        <v>72.400000000000006</v>
      </c>
      <c r="D386" s="21" t="str">
        <f>IF(MonthlyFAME!D388=0,"",MonthlyFAME!D388)</f>
        <v/>
      </c>
      <c r="E386" s="21">
        <f>IF(MonthlyFAME!F388=0,"",MonthlyFAME!F388)</f>
        <v>9273</v>
      </c>
      <c r="F386" s="21">
        <f>IF(MonthlyFAME!G388=0,"",MonthlyFAME!G388)</f>
        <v>10078</v>
      </c>
      <c r="G386" s="21">
        <f>IF(MonthlyFAME!H388=0,"",MonthlyFAME!H388)</f>
        <v>9.270458279442094</v>
      </c>
      <c r="H386" s="21">
        <f>IF(MonthlyFAME!I388=0,"",MonthlyFAME!I388)</f>
        <v>25955</v>
      </c>
      <c r="I386" s="21">
        <f>IF(MonthlyFAME!J388=0,"",MonthlyFAME!J388)</f>
        <v>856.9</v>
      </c>
      <c r="J386" s="24"/>
      <c r="K386" s="21">
        <f>IF(MonthlyFAME!L388=0,"",MonthlyFAME!L388)</f>
        <v>220.53963986984999</v>
      </c>
      <c r="L386" s="21">
        <f>IF(MonthlyFAME!M388=0,"",MonthlyFAME!M388)</f>
        <v>2470.1</v>
      </c>
      <c r="M386" s="21" t="str">
        <f>IF(MonthlyFAME!N388=0,"",MonthlyFAME!N388)</f>
        <v/>
      </c>
      <c r="N386" s="21" t="str">
        <f>IF(MonthlyFAME!O388=0,"",MonthlyFAME!O388)</f>
        <v/>
      </c>
      <c r="O386" s="21" t="str">
        <f>IF(MonthlyFAME!P388=0,"",MonthlyFAME!P388)</f>
        <v/>
      </c>
      <c r="P386" s="21" t="str">
        <f>IF(MonthlyFAME!Q388=0,"",MonthlyFAME!Q388)</f>
        <v/>
      </c>
      <c r="Q386" s="21" t="str">
        <f>IF(MonthlyFAME!R388=0,"",MonthlyFAME!R388)</f>
        <v/>
      </c>
      <c r="R386" s="21" t="str">
        <f>IF(MonthlyFAME!S388=0,"",MonthlyFAME!S388)</f>
        <v/>
      </c>
      <c r="S386" s="21" t="str">
        <f>IF(MonthlyFAME!T388=0,"",MonthlyFAME!T388)</f>
        <v/>
      </c>
      <c r="T386" s="21">
        <f>IF(MonthlyFAME!U388=0,"",MonthlyFAME!U388)</f>
        <v>22.234782608695649</v>
      </c>
    </row>
    <row r="387" spans="1:20" x14ac:dyDescent="0.2">
      <c r="A387" s="23">
        <f>IF(MonthlyFAME!A389=0,"",MonthlyFAME!A389)</f>
        <v>33572</v>
      </c>
      <c r="B387" s="21" t="str">
        <f>IF(MonthlyFAME!B389=0,"",MonthlyFAME!B389)</f>
        <v/>
      </c>
      <c r="C387" s="21">
        <f>IF(MonthlyFAME!C389=0,"",MonthlyFAME!C389)</f>
        <v>72.599999999999994</v>
      </c>
      <c r="D387" s="21" t="str">
        <f>IF(MonthlyFAME!D389=0,"",MonthlyFAME!D389)</f>
        <v/>
      </c>
      <c r="E387" s="21">
        <f>IF(MonthlyFAME!F389=0,"",MonthlyFAME!F389)</f>
        <v>9311</v>
      </c>
      <c r="F387" s="21">
        <f>IF(MonthlyFAME!G389=0,"",MonthlyFAME!G389)</f>
        <v>10213</v>
      </c>
      <c r="G387" s="21">
        <f>IF(MonthlyFAME!H389=0,"",MonthlyFAME!H389)</f>
        <v>9.3662464985994394</v>
      </c>
      <c r="H387" s="21">
        <f>IF(MonthlyFAME!I389=0,"",MonthlyFAME!I389)</f>
        <v>25885</v>
      </c>
      <c r="I387" s="21">
        <f>IF(MonthlyFAME!J389=0,"",MonthlyFAME!J389)</f>
        <v>854.2</v>
      </c>
      <c r="J387" s="24"/>
      <c r="K387" s="21">
        <f>IF(MonthlyFAME!L389=0,"",MonthlyFAME!L389)</f>
        <v>222.27390484369101</v>
      </c>
      <c r="L387" s="21">
        <f>IF(MonthlyFAME!M389=0,"",MonthlyFAME!M389)</f>
        <v>2504.8000000000002</v>
      </c>
      <c r="M387" s="21" t="str">
        <f>IF(MonthlyFAME!N389=0,"",MonthlyFAME!N389)</f>
        <v/>
      </c>
      <c r="N387" s="21" t="str">
        <f>IF(MonthlyFAME!O389=0,"",MonthlyFAME!O389)</f>
        <v/>
      </c>
      <c r="O387" s="21" t="str">
        <f>IF(MonthlyFAME!P389=0,"",MonthlyFAME!P389)</f>
        <v/>
      </c>
      <c r="P387" s="21" t="str">
        <f>IF(MonthlyFAME!Q389=0,"",MonthlyFAME!Q389)</f>
        <v/>
      </c>
      <c r="Q387" s="21" t="str">
        <f>IF(MonthlyFAME!R389=0,"",MonthlyFAME!R389)</f>
        <v/>
      </c>
      <c r="R387" s="21" t="str">
        <f>IF(MonthlyFAME!S389=0,"",MonthlyFAME!S389)</f>
        <v/>
      </c>
      <c r="S387" s="21" t="str">
        <f>IF(MonthlyFAME!T389=0,"",MonthlyFAME!T389)</f>
        <v/>
      </c>
      <c r="T387" s="21">
        <f>IF(MonthlyFAME!U389=0,"",MonthlyFAME!U389)</f>
        <v>21.0547619047619</v>
      </c>
    </row>
    <row r="388" spans="1:20" x14ac:dyDescent="0.2">
      <c r="A388" s="23">
        <f>IF(MonthlyFAME!A390=0,"",MonthlyFAME!A390)</f>
        <v>33603</v>
      </c>
      <c r="B388" s="21" t="str">
        <f>IF(MonthlyFAME!B390=0,"",MonthlyFAME!B390)</f>
        <v/>
      </c>
      <c r="C388" s="21">
        <f>IF(MonthlyFAME!C390=0,"",MonthlyFAME!C390)</f>
        <v>72.3</v>
      </c>
      <c r="D388" s="21" t="str">
        <f>IF(MonthlyFAME!D390=0,"",MonthlyFAME!D390)</f>
        <v/>
      </c>
      <c r="E388" s="21">
        <f>IF(MonthlyFAME!F390=0,"",MonthlyFAME!F390)</f>
        <v>9704</v>
      </c>
      <c r="F388" s="21">
        <f>IF(MonthlyFAME!G390=0,"",MonthlyFAME!G390)</f>
        <v>10378</v>
      </c>
      <c r="G388" s="21">
        <f>IF(MonthlyFAME!H390=0,"",MonthlyFAME!H390)</f>
        <v>9.457516569064067</v>
      </c>
      <c r="H388" s="21">
        <f>IF(MonthlyFAME!I390=0,"",MonthlyFAME!I390)</f>
        <v>25820</v>
      </c>
      <c r="I388" s="21">
        <f>IF(MonthlyFAME!J390=0,"",MonthlyFAME!J390)</f>
        <v>851.9</v>
      </c>
      <c r="J388" s="24"/>
      <c r="K388" s="21">
        <f>IF(MonthlyFAME!L390=0,"",MonthlyFAME!L390)</f>
        <v>221.57666078244301</v>
      </c>
      <c r="L388" s="21">
        <f>IF(MonthlyFAME!M390=0,"",MonthlyFAME!M390)</f>
        <v>2535.9</v>
      </c>
      <c r="M388" s="21" t="str">
        <f>IF(MonthlyFAME!N390=0,"",MonthlyFAME!N390)</f>
        <v/>
      </c>
      <c r="N388" s="21" t="str">
        <f>IF(MonthlyFAME!O390=0,"",MonthlyFAME!O390)</f>
        <v/>
      </c>
      <c r="O388" s="21" t="str">
        <f>IF(MonthlyFAME!P390=0,"",MonthlyFAME!P390)</f>
        <v/>
      </c>
      <c r="P388" s="21" t="str">
        <f>IF(MonthlyFAME!Q390=0,"",MonthlyFAME!Q390)</f>
        <v/>
      </c>
      <c r="Q388" s="21" t="str">
        <f>IF(MonthlyFAME!R390=0,"",MonthlyFAME!R390)</f>
        <v/>
      </c>
      <c r="R388" s="21" t="str">
        <f>IF(MonthlyFAME!S390=0,"",MonthlyFAME!S390)</f>
        <v/>
      </c>
      <c r="S388" s="21" t="str">
        <f>IF(MonthlyFAME!T390=0,"",MonthlyFAME!T390)</f>
        <v/>
      </c>
      <c r="T388" s="21">
        <f>IF(MonthlyFAME!U390=0,"",MonthlyFAME!U390)</f>
        <v>18.270454545454541</v>
      </c>
    </row>
    <row r="389" spans="1:20" x14ac:dyDescent="0.2">
      <c r="A389" s="23">
        <f>IF(MonthlyFAME!A391=0,"",MonthlyFAME!A391)</f>
        <v>33634</v>
      </c>
      <c r="B389" s="21" t="str">
        <f>IF(MonthlyFAME!B391=0,"",MonthlyFAME!B391)</f>
        <v/>
      </c>
      <c r="C389" s="21">
        <f>IF(MonthlyFAME!C391=0,"",MonthlyFAME!C391)</f>
        <v>72.3</v>
      </c>
      <c r="D389" s="21" t="str">
        <f>IF(MonthlyFAME!D391=0,"",MonthlyFAME!D391)</f>
        <v/>
      </c>
      <c r="E389" s="21">
        <f>IF(MonthlyFAME!F391=0,"",MonthlyFAME!F391)</f>
        <v>9009</v>
      </c>
      <c r="F389" s="21">
        <f>IF(MonthlyFAME!G391=0,"",MonthlyFAME!G391)</f>
        <v>10018</v>
      </c>
      <c r="G389" s="21">
        <f>IF(MonthlyFAME!H391=0,"",MonthlyFAME!H391)</f>
        <v>9.526483906069009</v>
      </c>
      <c r="H389" s="21">
        <f>IF(MonthlyFAME!I391=0,"",MonthlyFAME!I391)</f>
        <v>25775</v>
      </c>
      <c r="I389" s="21">
        <f>IF(MonthlyFAME!J391=0,"",MonthlyFAME!J391)</f>
        <v>850.1</v>
      </c>
      <c r="J389" s="24"/>
      <c r="K389" s="21">
        <f>IF(MonthlyFAME!L391=0,"",MonthlyFAME!L391)</f>
        <v>224.34624683807201</v>
      </c>
      <c r="L389" s="21">
        <f>IF(MonthlyFAME!M391=0,"",MonthlyFAME!M391)</f>
        <v>2564.4</v>
      </c>
      <c r="M389" s="21" t="str">
        <f>IF(MonthlyFAME!N391=0,"",MonthlyFAME!N391)</f>
        <v/>
      </c>
      <c r="N389" s="21" t="str">
        <f>IF(MonthlyFAME!O391=0,"",MonthlyFAME!O391)</f>
        <v/>
      </c>
      <c r="O389" s="21" t="str">
        <f>IF(MonthlyFAME!P391=0,"",MonthlyFAME!P391)</f>
        <v/>
      </c>
      <c r="P389" s="21" t="str">
        <f>IF(MonthlyFAME!Q391=0,"",MonthlyFAME!Q391)</f>
        <v/>
      </c>
      <c r="Q389" s="21" t="str">
        <f>IF(MonthlyFAME!R391=0,"",MonthlyFAME!R391)</f>
        <v/>
      </c>
      <c r="R389" s="21" t="str">
        <f>IF(MonthlyFAME!S391=0,"",MonthlyFAME!S391)</f>
        <v/>
      </c>
      <c r="S389" s="21" t="str">
        <f>IF(MonthlyFAME!T391=0,"",MonthlyFAME!T391)</f>
        <v/>
      </c>
      <c r="T389" s="21">
        <f>IF(MonthlyFAME!U391=0,"",MonthlyFAME!U391)</f>
        <v>18.171739130434784</v>
      </c>
    </row>
    <row r="390" spans="1:20" x14ac:dyDescent="0.2">
      <c r="A390" s="23">
        <f>IF(MonthlyFAME!A392=0,"",MonthlyFAME!A392)</f>
        <v>33663</v>
      </c>
      <c r="B390" s="21" t="str">
        <f>IF(MonthlyFAME!B392=0,"",MonthlyFAME!B392)</f>
        <v/>
      </c>
      <c r="C390" s="21">
        <f>IF(MonthlyFAME!C392=0,"",MonthlyFAME!C392)</f>
        <v>72.7</v>
      </c>
      <c r="D390" s="21" t="str">
        <f>IF(MonthlyFAME!D392=0,"",MonthlyFAME!D392)</f>
        <v/>
      </c>
      <c r="E390" s="21">
        <f>IF(MonthlyFAME!F392=0,"",MonthlyFAME!F392)</f>
        <v>9618</v>
      </c>
      <c r="F390" s="21">
        <f>IF(MonthlyFAME!G392=0,"",MonthlyFAME!G392)</f>
        <v>10609</v>
      </c>
      <c r="G390" s="21">
        <f>IF(MonthlyFAME!H392=0,"",MonthlyFAME!H392)</f>
        <v>9.6049165935030736</v>
      </c>
      <c r="H390" s="21">
        <f>IF(MonthlyFAME!I392=0,"",MonthlyFAME!I392)</f>
        <v>25740</v>
      </c>
      <c r="I390" s="21">
        <f>IF(MonthlyFAME!J392=0,"",MonthlyFAME!J392)</f>
        <v>848.8</v>
      </c>
      <c r="J390" s="24"/>
      <c r="K390" s="21">
        <f>IF(MonthlyFAME!L392=0,"",MonthlyFAME!L392)</f>
        <v>225.82900734095099</v>
      </c>
      <c r="L390" s="21">
        <f>IF(MonthlyFAME!M392=0,"",MonthlyFAME!M392)</f>
        <v>2609.1</v>
      </c>
      <c r="M390" s="21" t="str">
        <f>IF(MonthlyFAME!N392=0,"",MonthlyFAME!N392)</f>
        <v/>
      </c>
      <c r="N390" s="21" t="str">
        <f>IF(MonthlyFAME!O392=0,"",MonthlyFAME!O392)</f>
        <v/>
      </c>
      <c r="O390" s="21" t="str">
        <f>IF(MonthlyFAME!P392=0,"",MonthlyFAME!P392)</f>
        <v/>
      </c>
      <c r="P390" s="21" t="str">
        <f>IF(MonthlyFAME!Q392=0,"",MonthlyFAME!Q392)</f>
        <v/>
      </c>
      <c r="Q390" s="21" t="str">
        <f>IF(MonthlyFAME!R392=0,"",MonthlyFAME!R392)</f>
        <v/>
      </c>
      <c r="R390" s="21" t="str">
        <f>IF(MonthlyFAME!S392=0,"",MonthlyFAME!S392)</f>
        <v/>
      </c>
      <c r="S390" s="21" t="str">
        <f>IF(MonthlyFAME!T392=0,"",MonthlyFAME!T392)</f>
        <v/>
      </c>
      <c r="T390" s="21">
        <f>IF(MonthlyFAME!U392=0,"",MonthlyFAME!U392)</f>
        <v>18.0975</v>
      </c>
    </row>
    <row r="391" spans="1:20" x14ac:dyDescent="0.2">
      <c r="A391" s="23">
        <f>IF(MonthlyFAME!A393=0,"",MonthlyFAME!A393)</f>
        <v>33694</v>
      </c>
      <c r="B391" s="21" t="str">
        <f>IF(MonthlyFAME!B393=0,"",MonthlyFAME!B393)</f>
        <v/>
      </c>
      <c r="C391" s="21">
        <f>IF(MonthlyFAME!C393=0,"",MonthlyFAME!C393)</f>
        <v>72.400000000000006</v>
      </c>
      <c r="D391" s="21" t="str">
        <f>IF(MonthlyFAME!D393=0,"",MonthlyFAME!D393)</f>
        <v/>
      </c>
      <c r="E391" s="21">
        <f>IF(MonthlyFAME!F393=0,"",MonthlyFAME!F393)</f>
        <v>9590</v>
      </c>
      <c r="F391" s="21">
        <f>IF(MonthlyFAME!G393=0,"",MonthlyFAME!G393)</f>
        <v>10347</v>
      </c>
      <c r="G391" s="21">
        <f>IF(MonthlyFAME!H393=0,"",MonthlyFAME!H393)</f>
        <v>9.7007586400674342</v>
      </c>
      <c r="H391" s="21">
        <f>IF(MonthlyFAME!I393=0,"",MonthlyFAME!I393)</f>
        <v>25710</v>
      </c>
      <c r="I391" s="21">
        <f>IF(MonthlyFAME!J393=0,"",MonthlyFAME!J393)</f>
        <v>847.2</v>
      </c>
      <c r="J391" s="24"/>
      <c r="K391" s="21">
        <f>IF(MonthlyFAME!L393=0,"",MonthlyFAME!L393)</f>
        <v>226.537512126259</v>
      </c>
      <c r="L391" s="21">
        <f>IF(MonthlyFAME!M393=0,"",MonthlyFAME!M393)</f>
        <v>2636.1</v>
      </c>
      <c r="M391" s="21" t="str">
        <f>IF(MonthlyFAME!N393=0,"",MonthlyFAME!N393)</f>
        <v/>
      </c>
      <c r="N391" s="21" t="str">
        <f>IF(MonthlyFAME!O393=0,"",MonthlyFAME!O393)</f>
        <v/>
      </c>
      <c r="O391" s="21" t="str">
        <f>IF(MonthlyFAME!P393=0,"",MonthlyFAME!P393)</f>
        <v/>
      </c>
      <c r="P391" s="21" t="str">
        <f>IF(MonthlyFAME!Q393=0,"",MonthlyFAME!Q393)</f>
        <v/>
      </c>
      <c r="Q391" s="21" t="str">
        <f>IF(MonthlyFAME!R393=0,"",MonthlyFAME!R393)</f>
        <v/>
      </c>
      <c r="R391" s="21" t="str">
        <f>IF(MonthlyFAME!S393=0,"",MonthlyFAME!S393)</f>
        <v/>
      </c>
      <c r="S391" s="21" t="str">
        <f>IF(MonthlyFAME!T393=0,"",MonthlyFAME!T393)</f>
        <v/>
      </c>
      <c r="T391" s="21">
        <f>IF(MonthlyFAME!U393=0,"",MonthlyFAME!U393)</f>
        <v>17.570454545454542</v>
      </c>
    </row>
    <row r="392" spans="1:20" x14ac:dyDescent="0.2">
      <c r="A392" s="23">
        <f>IF(MonthlyFAME!A394=0,"",MonthlyFAME!A394)</f>
        <v>33724</v>
      </c>
      <c r="B392" s="21" t="str">
        <f>IF(MonthlyFAME!B394=0,"",MonthlyFAME!B394)</f>
        <v/>
      </c>
      <c r="C392" s="21">
        <f>IF(MonthlyFAME!C394=0,"",MonthlyFAME!C394)</f>
        <v>72.900000000000006</v>
      </c>
      <c r="D392" s="21" t="str">
        <f>IF(MonthlyFAME!D394=0,"",MonthlyFAME!D394)</f>
        <v/>
      </c>
      <c r="E392" s="21">
        <f>IF(MonthlyFAME!F394=0,"",MonthlyFAME!F394)</f>
        <v>9462</v>
      </c>
      <c r="F392" s="21">
        <f>IF(MonthlyFAME!G394=0,"",MonthlyFAME!G394)</f>
        <v>10783</v>
      </c>
      <c r="G392" s="21">
        <f>IF(MonthlyFAME!H394=0,"",MonthlyFAME!H394)</f>
        <v>9.7727192890012997</v>
      </c>
      <c r="H392" s="21">
        <f>IF(MonthlyFAME!I394=0,"",MonthlyFAME!I394)</f>
        <v>25685</v>
      </c>
      <c r="I392" s="21">
        <f>IF(MonthlyFAME!J394=0,"",MonthlyFAME!J394)</f>
        <v>846.9</v>
      </c>
      <c r="J392" s="24"/>
      <c r="K392" s="21">
        <f>IF(MonthlyFAME!L394=0,"",MonthlyFAME!L394)</f>
        <v>225.67135980875699</v>
      </c>
      <c r="L392" s="21">
        <f>IF(MonthlyFAME!M394=0,"",MonthlyFAME!M394)</f>
        <v>2665</v>
      </c>
      <c r="M392" s="21" t="str">
        <f>IF(MonthlyFAME!N394=0,"",MonthlyFAME!N394)</f>
        <v/>
      </c>
      <c r="N392" s="21" t="str">
        <f>IF(MonthlyFAME!O394=0,"",MonthlyFAME!O394)</f>
        <v/>
      </c>
      <c r="O392" s="21" t="str">
        <f>IF(MonthlyFAME!P394=0,"",MonthlyFAME!P394)</f>
        <v/>
      </c>
      <c r="P392" s="21" t="str">
        <f>IF(MonthlyFAME!Q394=0,"",MonthlyFAME!Q394)</f>
        <v/>
      </c>
      <c r="Q392" s="21" t="str">
        <f>IF(MonthlyFAME!R394=0,"",MonthlyFAME!R394)</f>
        <v/>
      </c>
      <c r="R392" s="21" t="str">
        <f>IF(MonthlyFAME!S394=0,"",MonthlyFAME!S394)</f>
        <v/>
      </c>
      <c r="S392" s="21" t="str">
        <f>IF(MonthlyFAME!T394=0,"",MonthlyFAME!T394)</f>
        <v/>
      </c>
      <c r="T392" s="21">
        <f>IF(MonthlyFAME!U394=0,"",MonthlyFAME!U394)</f>
        <v>18.977272727272727</v>
      </c>
    </row>
    <row r="393" spans="1:20" x14ac:dyDescent="0.2">
      <c r="A393" s="23">
        <f>IF(MonthlyFAME!A395=0,"",MonthlyFAME!A395)</f>
        <v>33755</v>
      </c>
      <c r="B393" s="21" t="str">
        <f>IF(MonthlyFAME!B395=0,"",MonthlyFAME!B395)</f>
        <v/>
      </c>
      <c r="C393" s="21">
        <f>IF(MonthlyFAME!C395=0,"",MonthlyFAME!C395)</f>
        <v>71.400000000000006</v>
      </c>
      <c r="D393" s="21" t="str">
        <f>IF(MonthlyFAME!D395=0,"",MonthlyFAME!D395)</f>
        <v/>
      </c>
      <c r="E393" s="21">
        <f>IF(MonthlyFAME!F395=0,"",MonthlyFAME!F395)</f>
        <v>9858</v>
      </c>
      <c r="F393" s="21">
        <f>IF(MonthlyFAME!G395=0,"",MonthlyFAME!G395)</f>
        <v>10915</v>
      </c>
      <c r="G393" s="21">
        <f>IF(MonthlyFAME!H395=0,"",MonthlyFAME!H395)</f>
        <v>9.8339898705683737</v>
      </c>
      <c r="H393" s="21">
        <f>IF(MonthlyFAME!I395=0,"",MonthlyFAME!I395)</f>
        <v>25636</v>
      </c>
      <c r="I393" s="21">
        <f>IF(MonthlyFAME!J395=0,"",MonthlyFAME!J395)</f>
        <v>847.2</v>
      </c>
      <c r="J393" s="24"/>
      <c r="K393" s="21">
        <f>IF(MonthlyFAME!L395=0,"",MonthlyFAME!L395)</f>
        <v>226.907423071023</v>
      </c>
      <c r="L393" s="21">
        <f>IF(MonthlyFAME!M395=0,"",MonthlyFAME!M395)</f>
        <v>2696.7</v>
      </c>
      <c r="M393" s="21" t="str">
        <f>IF(MonthlyFAME!N395=0,"",MonthlyFAME!N395)</f>
        <v/>
      </c>
      <c r="N393" s="21" t="str">
        <f>IF(MonthlyFAME!O395=0,"",MonthlyFAME!O395)</f>
        <v/>
      </c>
      <c r="O393" s="21" t="str">
        <f>IF(MonthlyFAME!P395=0,"",MonthlyFAME!P395)</f>
        <v/>
      </c>
      <c r="P393" s="21" t="str">
        <f>IF(MonthlyFAME!Q395=0,"",MonthlyFAME!Q395)</f>
        <v/>
      </c>
      <c r="Q393" s="21" t="str">
        <f>IF(MonthlyFAME!R395=0,"",MonthlyFAME!R395)</f>
        <v/>
      </c>
      <c r="R393" s="21" t="str">
        <f>IF(MonthlyFAME!S395=0,"",MonthlyFAME!S395)</f>
        <v/>
      </c>
      <c r="S393" s="21" t="str">
        <f>IF(MonthlyFAME!T395=0,"",MonthlyFAME!T395)</f>
        <v/>
      </c>
      <c r="T393" s="21">
        <f>IF(MonthlyFAME!U395=0,"",MonthlyFAME!U395)</f>
        <v>19.897619047619049</v>
      </c>
    </row>
    <row r="394" spans="1:20" x14ac:dyDescent="0.2">
      <c r="A394" s="23">
        <f>IF(MonthlyFAME!A396=0,"",MonthlyFAME!A396)</f>
        <v>33785</v>
      </c>
      <c r="B394" s="21" t="str">
        <f>IF(MonthlyFAME!B396=0,"",MonthlyFAME!B396)</f>
        <v/>
      </c>
      <c r="C394" s="21">
        <f>IF(MonthlyFAME!C396=0,"",MonthlyFAME!C396)</f>
        <v>72.099999999999994</v>
      </c>
      <c r="D394" s="21" t="str">
        <f>IF(MonthlyFAME!D396=0,"",MonthlyFAME!D396)</f>
        <v/>
      </c>
      <c r="E394" s="21">
        <f>IF(MonthlyFAME!F396=0,"",MonthlyFAME!F396)</f>
        <v>9467</v>
      </c>
      <c r="F394" s="21">
        <f>IF(MonthlyFAME!G396=0,"",MonthlyFAME!G396)</f>
        <v>10670</v>
      </c>
      <c r="G394" s="21">
        <f>IF(MonthlyFAME!H396=0,"",MonthlyFAME!H396)</f>
        <v>9.7843703755901625</v>
      </c>
      <c r="H394" s="21">
        <f>IF(MonthlyFAME!I396=0,"",MonthlyFAME!I396)</f>
        <v>25605</v>
      </c>
      <c r="I394" s="21">
        <f>IF(MonthlyFAME!J396=0,"",MonthlyFAME!J396)</f>
        <v>847.6</v>
      </c>
      <c r="J394" s="24"/>
      <c r="K394" s="21">
        <f>IF(MonthlyFAME!L396=0,"",MonthlyFAME!L396)</f>
        <v>228.08010985601399</v>
      </c>
      <c r="L394" s="21">
        <f>IF(MonthlyFAME!M396=0,"",MonthlyFAME!M396)</f>
        <v>2711.1</v>
      </c>
      <c r="M394" s="21" t="str">
        <f>IF(MonthlyFAME!N396=0,"",MonthlyFAME!N396)</f>
        <v/>
      </c>
      <c r="N394" s="21" t="str">
        <f>IF(MonthlyFAME!O396=0,"",MonthlyFAME!O396)</f>
        <v/>
      </c>
      <c r="O394" s="21" t="str">
        <f>IF(MonthlyFAME!P396=0,"",MonthlyFAME!P396)</f>
        <v/>
      </c>
      <c r="P394" s="21" t="str">
        <f>IF(MonthlyFAME!Q396=0,"",MonthlyFAME!Q396)</f>
        <v/>
      </c>
      <c r="Q394" s="21" t="str">
        <f>IF(MonthlyFAME!R396=0,"",MonthlyFAME!R396)</f>
        <v/>
      </c>
      <c r="R394" s="21" t="str">
        <f>IF(MonthlyFAME!S396=0,"",MonthlyFAME!S396)</f>
        <v/>
      </c>
      <c r="S394" s="21" t="str">
        <f>IF(MonthlyFAME!T396=0,"",MonthlyFAME!T396)</f>
        <v/>
      </c>
      <c r="T394" s="21">
        <f>IF(MonthlyFAME!U396=0,"",MonthlyFAME!U396)</f>
        <v>21.118181818181821</v>
      </c>
    </row>
    <row r="395" spans="1:20" x14ac:dyDescent="0.2">
      <c r="A395" s="23">
        <f>IF(MonthlyFAME!A397=0,"",MonthlyFAME!A397)</f>
        <v>33816</v>
      </c>
      <c r="B395" s="21" t="str">
        <f>IF(MonthlyFAME!B397=0,"",MonthlyFAME!B397)</f>
        <v/>
      </c>
      <c r="C395" s="21">
        <f>IF(MonthlyFAME!C397=0,"",MonthlyFAME!C397)</f>
        <v>72.8</v>
      </c>
      <c r="D395" s="21" t="str">
        <f>IF(MonthlyFAME!D397=0,"",MonthlyFAME!D397)</f>
        <v/>
      </c>
      <c r="E395" s="21">
        <f>IF(MonthlyFAME!F397=0,"",MonthlyFAME!F397)</f>
        <v>9505</v>
      </c>
      <c r="F395" s="21">
        <f>IF(MonthlyFAME!G397=0,"",MonthlyFAME!G397)</f>
        <v>10868</v>
      </c>
      <c r="G395" s="21">
        <f>IF(MonthlyFAME!H397=0,"",MonthlyFAME!H397)</f>
        <v>9.8888692891162471</v>
      </c>
      <c r="H395" s="21">
        <f>IF(MonthlyFAME!I397=0,"",MonthlyFAME!I397)</f>
        <v>25542</v>
      </c>
      <c r="I395" s="21">
        <f>IF(MonthlyFAME!J397=0,"",MonthlyFAME!J397)</f>
        <v>843.5</v>
      </c>
      <c r="J395" s="24"/>
      <c r="K395" s="21">
        <f>IF(MonthlyFAME!L397=0,"",MonthlyFAME!L397)</f>
        <v>228.90060768299099</v>
      </c>
      <c r="L395" s="21">
        <f>IF(MonthlyFAME!M397=0,"",MonthlyFAME!M397)</f>
        <v>2733.2</v>
      </c>
      <c r="M395" s="21" t="str">
        <f>IF(MonthlyFAME!N397=0,"",MonthlyFAME!N397)</f>
        <v/>
      </c>
      <c r="N395" s="21" t="str">
        <f>IF(MonthlyFAME!O397=0,"",MonthlyFAME!O397)</f>
        <v/>
      </c>
      <c r="O395" s="21" t="str">
        <f>IF(MonthlyFAME!P397=0,"",MonthlyFAME!P397)</f>
        <v/>
      </c>
      <c r="P395" s="21" t="str">
        <f>IF(MonthlyFAME!Q397=0,"",MonthlyFAME!Q397)</f>
        <v/>
      </c>
      <c r="Q395" s="21" t="str">
        <f>IF(MonthlyFAME!R397=0,"",MonthlyFAME!R397)</f>
        <v/>
      </c>
      <c r="R395" s="21" t="str">
        <f>IF(MonthlyFAME!S397=0,"",MonthlyFAME!S397)</f>
        <v/>
      </c>
      <c r="S395" s="21" t="str">
        <f>IF(MonthlyFAME!T397=0,"",MonthlyFAME!T397)</f>
        <v/>
      </c>
      <c r="T395" s="21">
        <f>IF(MonthlyFAME!U397=0,"",MonthlyFAME!U397)</f>
        <v>20.247826086956522</v>
      </c>
    </row>
    <row r="396" spans="1:20" x14ac:dyDescent="0.2">
      <c r="A396" s="23">
        <f>IF(MonthlyFAME!A398=0,"",MonthlyFAME!A398)</f>
        <v>33847</v>
      </c>
      <c r="B396" s="21" t="str">
        <f>IF(MonthlyFAME!B398=0,"",MonthlyFAME!B398)</f>
        <v/>
      </c>
      <c r="C396" s="21">
        <f>IF(MonthlyFAME!C398=0,"",MonthlyFAME!C398)</f>
        <v>72.7</v>
      </c>
      <c r="D396" s="21" t="str">
        <f>IF(MonthlyFAME!D398=0,"",MonthlyFAME!D398)</f>
        <v/>
      </c>
      <c r="E396" s="21">
        <f>IF(MonthlyFAME!F398=0,"",MonthlyFAME!F398)</f>
        <v>9493</v>
      </c>
      <c r="F396" s="21">
        <f>IF(MonthlyFAME!G398=0,"",MonthlyFAME!G398)</f>
        <v>10915</v>
      </c>
      <c r="G396" s="21">
        <f>IF(MonthlyFAME!H398=0,"",MonthlyFAME!H398)</f>
        <v>9.9361349281958997</v>
      </c>
      <c r="H396" s="21">
        <f>IF(MonthlyFAME!I398=0,"",MonthlyFAME!I398)</f>
        <v>25525</v>
      </c>
      <c r="I396" s="21">
        <f>IF(MonthlyFAME!J398=0,"",MonthlyFAME!J398)</f>
        <v>841.4</v>
      </c>
      <c r="J396" s="24"/>
      <c r="K396" s="21">
        <f>IF(MonthlyFAME!L398=0,"",MonthlyFAME!L398)</f>
        <v>230.08424255385299</v>
      </c>
      <c r="L396" s="21">
        <f>IF(MonthlyFAME!M398=0,"",MonthlyFAME!M398)</f>
        <v>2777.7</v>
      </c>
      <c r="M396" s="21" t="str">
        <f>IF(MonthlyFAME!N398=0,"",MonthlyFAME!N398)</f>
        <v/>
      </c>
      <c r="N396" s="21" t="str">
        <f>IF(MonthlyFAME!O398=0,"",MonthlyFAME!O398)</f>
        <v/>
      </c>
      <c r="O396" s="21" t="str">
        <f>IF(MonthlyFAME!P398=0,"",MonthlyFAME!P398)</f>
        <v/>
      </c>
      <c r="P396" s="21" t="str">
        <f>IF(MonthlyFAME!Q398=0,"",MonthlyFAME!Q398)</f>
        <v/>
      </c>
      <c r="Q396" s="21" t="str">
        <f>IF(MonthlyFAME!R398=0,"",MonthlyFAME!R398)</f>
        <v/>
      </c>
      <c r="R396" s="21" t="str">
        <f>IF(MonthlyFAME!S398=0,"",MonthlyFAME!S398)</f>
        <v/>
      </c>
      <c r="S396" s="21" t="str">
        <f>IF(MonthlyFAME!T398=0,"",MonthlyFAME!T398)</f>
        <v/>
      </c>
      <c r="T396" s="21">
        <f>IF(MonthlyFAME!U398=0,"",MonthlyFAME!U398)</f>
        <v>19.735714285714288</v>
      </c>
    </row>
    <row r="397" spans="1:20" x14ac:dyDescent="0.2">
      <c r="A397" s="23">
        <f>IF(MonthlyFAME!A399=0,"",MonthlyFAME!A399)</f>
        <v>33877</v>
      </c>
      <c r="B397" s="21" t="str">
        <f>IF(MonthlyFAME!B399=0,"",MonthlyFAME!B399)</f>
        <v/>
      </c>
      <c r="C397" s="21">
        <f>IF(MonthlyFAME!C399=0,"",MonthlyFAME!C399)</f>
        <v>73.2</v>
      </c>
      <c r="D397" s="21" t="str">
        <f>IF(MonthlyFAME!D399=0,"",MonthlyFAME!D399)</f>
        <v/>
      </c>
      <c r="E397" s="21">
        <f>IF(MonthlyFAME!F399=0,"",MonthlyFAME!F399)</f>
        <v>9520</v>
      </c>
      <c r="F397" s="21">
        <f>IF(MonthlyFAME!G399=0,"",MonthlyFAME!G399)</f>
        <v>10711</v>
      </c>
      <c r="G397" s="21">
        <f>IF(MonthlyFAME!H399=0,"",MonthlyFAME!H399)</f>
        <v>9.9385679988702158</v>
      </c>
      <c r="H397" s="21">
        <f>IF(MonthlyFAME!I399=0,"",MonthlyFAME!I399)</f>
        <v>25509</v>
      </c>
      <c r="I397" s="21">
        <f>IF(MonthlyFAME!J399=0,"",MonthlyFAME!J399)</f>
        <v>840.4</v>
      </c>
      <c r="J397" s="24"/>
      <c r="K397" s="21">
        <f>IF(MonthlyFAME!L399=0,"",MonthlyFAME!L399)</f>
        <v>230.85464884829599</v>
      </c>
      <c r="L397" s="21">
        <f>IF(MonthlyFAME!M399=0,"",MonthlyFAME!M399)</f>
        <v>2807.7</v>
      </c>
      <c r="M397" s="21" t="str">
        <f>IF(MonthlyFAME!N399=0,"",MonthlyFAME!N399)</f>
        <v/>
      </c>
      <c r="N397" s="21" t="str">
        <f>IF(MonthlyFAME!O399=0,"",MonthlyFAME!O399)</f>
        <v/>
      </c>
      <c r="O397" s="21" t="str">
        <f>IF(MonthlyFAME!P399=0,"",MonthlyFAME!P399)</f>
        <v/>
      </c>
      <c r="P397" s="21" t="str">
        <f>IF(MonthlyFAME!Q399=0,"",MonthlyFAME!Q399)</f>
        <v/>
      </c>
      <c r="Q397" s="21" t="str">
        <f>IF(MonthlyFAME!R399=0,"",MonthlyFAME!R399)</f>
        <v/>
      </c>
      <c r="R397" s="21" t="str">
        <f>IF(MonthlyFAME!S399=0,"",MonthlyFAME!S399)</f>
        <v/>
      </c>
      <c r="S397" s="21" t="str">
        <f>IF(MonthlyFAME!T399=0,"",MonthlyFAME!T399)</f>
        <v/>
      </c>
      <c r="T397" s="21">
        <f>IF(MonthlyFAME!U399=0,"",MonthlyFAME!U399)</f>
        <v>20.252272727272722</v>
      </c>
    </row>
    <row r="398" spans="1:20" x14ac:dyDescent="0.2">
      <c r="A398" s="23">
        <f>IF(MonthlyFAME!A400=0,"",MonthlyFAME!A400)</f>
        <v>33908</v>
      </c>
      <c r="B398" s="21" t="str">
        <f>IF(MonthlyFAME!B400=0,"",MonthlyFAME!B400)</f>
        <v/>
      </c>
      <c r="C398" s="21">
        <f>IF(MonthlyFAME!C400=0,"",MonthlyFAME!C400)</f>
        <v>74</v>
      </c>
      <c r="D398" s="21" t="str">
        <f>IF(MonthlyFAME!D400=0,"",MonthlyFAME!D400)</f>
        <v/>
      </c>
      <c r="E398" s="21">
        <f>IF(MonthlyFAME!F400=0,"",MonthlyFAME!F400)</f>
        <v>9797</v>
      </c>
      <c r="F398" s="21">
        <f>IF(MonthlyFAME!G400=0,"",MonthlyFAME!G400)</f>
        <v>10922</v>
      </c>
      <c r="G398" s="21">
        <f>IF(MonthlyFAME!H400=0,"",MonthlyFAME!H400)</f>
        <v>10.069248162803843</v>
      </c>
      <c r="H398" s="21">
        <f>IF(MonthlyFAME!I400=0,"",MonthlyFAME!I400)</f>
        <v>25454</v>
      </c>
      <c r="I398" s="21">
        <f>IF(MonthlyFAME!J400=0,"",MonthlyFAME!J400)</f>
        <v>837.7</v>
      </c>
      <c r="J398" s="24"/>
      <c r="K398" s="21">
        <f>IF(MonthlyFAME!L400=0,"",MonthlyFAME!L400)</f>
        <v>232.42896395104501</v>
      </c>
      <c r="L398" s="21">
        <f>IF(MonthlyFAME!M400=0,"",MonthlyFAME!M400)</f>
        <v>2848.4</v>
      </c>
      <c r="M398" s="21" t="str">
        <f>IF(MonthlyFAME!N400=0,"",MonthlyFAME!N400)</f>
        <v/>
      </c>
      <c r="N398" s="21" t="str">
        <f>IF(MonthlyFAME!O400=0,"",MonthlyFAME!O400)</f>
        <v/>
      </c>
      <c r="O398" s="21" t="str">
        <f>IF(MonthlyFAME!P400=0,"",MonthlyFAME!P400)</f>
        <v/>
      </c>
      <c r="P398" s="21" t="str">
        <f>IF(MonthlyFAME!Q400=0,"",MonthlyFAME!Q400)</f>
        <v/>
      </c>
      <c r="Q398" s="21" t="str">
        <f>IF(MonthlyFAME!R400=0,"",MonthlyFAME!R400)</f>
        <v/>
      </c>
      <c r="R398" s="21" t="str">
        <f>IF(MonthlyFAME!S400=0,"",MonthlyFAME!S400)</f>
        <v/>
      </c>
      <c r="S398" s="21" t="str">
        <f>IF(MonthlyFAME!T400=0,"",MonthlyFAME!T400)</f>
        <v/>
      </c>
      <c r="T398" s="21">
        <f>IF(MonthlyFAME!U400=0,"",MonthlyFAME!U400)</f>
        <v>20.26227272727273</v>
      </c>
    </row>
    <row r="399" spans="1:20" x14ac:dyDescent="0.2">
      <c r="A399" s="23">
        <f>IF(MonthlyFAME!A401=0,"",MonthlyFAME!A401)</f>
        <v>33938</v>
      </c>
      <c r="B399" s="21" t="str">
        <f>IF(MonthlyFAME!B401=0,"",MonthlyFAME!B401)</f>
        <v/>
      </c>
      <c r="C399" s="21">
        <f>IF(MonthlyFAME!C401=0,"",MonthlyFAME!C401)</f>
        <v>73</v>
      </c>
      <c r="D399" s="21" t="str">
        <f>IF(MonthlyFAME!D401=0,"",MonthlyFAME!D401)</f>
        <v/>
      </c>
      <c r="E399" s="21">
        <f>IF(MonthlyFAME!F401=0,"",MonthlyFAME!F401)</f>
        <v>9912</v>
      </c>
      <c r="F399" s="21">
        <f>IF(MonthlyFAME!G401=0,"",MonthlyFAME!G401)</f>
        <v>10925</v>
      </c>
      <c r="G399" s="21">
        <f>IF(MonthlyFAME!H401=0,"",MonthlyFAME!H401)</f>
        <v>10.242006712594948</v>
      </c>
      <c r="H399" s="21">
        <f>IF(MonthlyFAME!I401=0,"",MonthlyFAME!I401)</f>
        <v>25406</v>
      </c>
      <c r="I399" s="21">
        <f>IF(MonthlyFAME!J401=0,"",MonthlyFAME!J401)</f>
        <v>837.2</v>
      </c>
      <c r="J399" s="24"/>
      <c r="K399" s="21">
        <f>IF(MonthlyFAME!L401=0,"",MonthlyFAME!L401)</f>
        <v>231.42310634309601</v>
      </c>
      <c r="L399" s="21">
        <f>IF(MonthlyFAME!M401=0,"",MonthlyFAME!M401)</f>
        <v>2888.9</v>
      </c>
      <c r="M399" s="21" t="str">
        <f>IF(MonthlyFAME!N401=0,"",MonthlyFAME!N401)</f>
        <v/>
      </c>
      <c r="N399" s="21" t="str">
        <f>IF(MonthlyFAME!O401=0,"",MonthlyFAME!O401)</f>
        <v/>
      </c>
      <c r="O399" s="21" t="str">
        <f>IF(MonthlyFAME!P401=0,"",MonthlyFAME!P401)</f>
        <v/>
      </c>
      <c r="P399" s="21" t="str">
        <f>IF(MonthlyFAME!Q401=0,"",MonthlyFAME!Q401)</f>
        <v/>
      </c>
      <c r="Q399" s="21" t="str">
        <f>IF(MonthlyFAME!R401=0,"",MonthlyFAME!R401)</f>
        <v/>
      </c>
      <c r="R399" s="21" t="str">
        <f>IF(MonthlyFAME!S401=0,"",MonthlyFAME!S401)</f>
        <v/>
      </c>
      <c r="S399" s="21" t="str">
        <f>IF(MonthlyFAME!T401=0,"",MonthlyFAME!T401)</f>
        <v/>
      </c>
      <c r="T399" s="21">
        <f>IF(MonthlyFAME!U401=0,"",MonthlyFAME!U401)</f>
        <v>19.19285714285714</v>
      </c>
    </row>
    <row r="400" spans="1:20" x14ac:dyDescent="0.2">
      <c r="A400" s="23">
        <f>IF(MonthlyFAME!A402=0,"",MonthlyFAME!A402)</f>
        <v>33969</v>
      </c>
      <c r="B400" s="21" t="str">
        <f>IF(MonthlyFAME!B402=0,"",MonthlyFAME!B402)</f>
        <v/>
      </c>
      <c r="C400" s="21">
        <f>IF(MonthlyFAME!C402=0,"",MonthlyFAME!C402)</f>
        <v>72.900000000000006</v>
      </c>
      <c r="D400" s="21" t="str">
        <f>IF(MonthlyFAME!D402=0,"",MonthlyFAME!D402)</f>
        <v/>
      </c>
      <c r="E400" s="21">
        <f>IF(MonthlyFAME!F402=0,"",MonthlyFAME!F402)</f>
        <v>9637</v>
      </c>
      <c r="F400" s="21">
        <f>IF(MonthlyFAME!G402=0,"",MonthlyFAME!G402)</f>
        <v>11190</v>
      </c>
      <c r="G400" s="21">
        <f>IF(MonthlyFAME!H402=0,"",MonthlyFAME!H402)</f>
        <v>10.372152256969011</v>
      </c>
      <c r="H400" s="21">
        <f>IF(MonthlyFAME!I402=0,"",MonthlyFAME!I402)</f>
        <v>25336</v>
      </c>
      <c r="I400" s="21">
        <f>IF(MonthlyFAME!J402=0,"",MonthlyFAME!J402)</f>
        <v>832.8</v>
      </c>
      <c r="J400" s="24"/>
      <c r="K400" s="21">
        <f>IF(MonthlyFAME!L402=0,"",MonthlyFAME!L402)</f>
        <v>231.974765212503</v>
      </c>
      <c r="L400" s="21">
        <f>IF(MonthlyFAME!M402=0,"",MonthlyFAME!M402)</f>
        <v>2960.3</v>
      </c>
      <c r="M400" s="21" t="str">
        <f>IF(MonthlyFAME!N402=0,"",MonthlyFAME!N402)</f>
        <v/>
      </c>
      <c r="N400" s="21" t="str">
        <f>IF(MonthlyFAME!O402=0,"",MonthlyFAME!O402)</f>
        <v/>
      </c>
      <c r="O400" s="21" t="str">
        <f>IF(MonthlyFAME!P402=0,"",MonthlyFAME!P402)</f>
        <v/>
      </c>
      <c r="P400" s="21" t="str">
        <f>IF(MonthlyFAME!Q402=0,"",MonthlyFAME!Q402)</f>
        <v/>
      </c>
      <c r="Q400" s="21" t="str">
        <f>IF(MonthlyFAME!R402=0,"",MonthlyFAME!R402)</f>
        <v/>
      </c>
      <c r="R400" s="21" t="str">
        <f>IF(MonthlyFAME!S402=0,"",MonthlyFAME!S402)</f>
        <v/>
      </c>
      <c r="S400" s="21" t="str">
        <f>IF(MonthlyFAME!T402=0,"",MonthlyFAME!T402)</f>
        <v/>
      </c>
      <c r="T400" s="21">
        <f>IF(MonthlyFAME!U402=0,"",MonthlyFAME!U402)</f>
        <v>18.14130434782609</v>
      </c>
    </row>
    <row r="401" spans="1:20" x14ac:dyDescent="0.2">
      <c r="A401" s="23">
        <f>IF(MonthlyFAME!A403=0,"",MonthlyFAME!A403)</f>
        <v>34000</v>
      </c>
      <c r="B401" s="21" t="str">
        <f>IF(MonthlyFAME!B403=0,"",MonthlyFAME!B403)</f>
        <v/>
      </c>
      <c r="C401" s="21">
        <f>IF(MonthlyFAME!C403=0,"",MonthlyFAME!C403)</f>
        <v>73</v>
      </c>
      <c r="D401" s="21" t="str">
        <f>IF(MonthlyFAME!D403=0,"",MonthlyFAME!D403)</f>
        <v/>
      </c>
      <c r="E401" s="21">
        <f>IF(MonthlyFAME!F403=0,"",MonthlyFAME!F403)</f>
        <v>9703</v>
      </c>
      <c r="F401" s="21">
        <f>IF(MonthlyFAME!G403=0,"",MonthlyFAME!G403)</f>
        <v>11108</v>
      </c>
      <c r="G401" s="21">
        <f>IF(MonthlyFAME!H403=0,"",MonthlyFAME!H403)</f>
        <v>10.546598783764672</v>
      </c>
      <c r="H401" s="21">
        <f>IF(MonthlyFAME!I403=0,"",MonthlyFAME!I403)</f>
        <v>25301</v>
      </c>
      <c r="I401" s="21">
        <f>IF(MonthlyFAME!J403=0,"",MonthlyFAME!J403)</f>
        <v>834.1</v>
      </c>
      <c r="J401" s="24"/>
      <c r="K401" s="21">
        <f>IF(MonthlyFAME!L403=0,"",MonthlyFAME!L403)</f>
        <v>232.77249386235999</v>
      </c>
      <c r="L401" s="21">
        <f>IF(MonthlyFAME!M403=0,"",MonthlyFAME!M403)</f>
        <v>2937.5</v>
      </c>
      <c r="M401" s="21" t="str">
        <f>IF(MonthlyFAME!N403=0,"",MonthlyFAME!N403)</f>
        <v/>
      </c>
      <c r="N401" s="21" t="str">
        <f>IF(MonthlyFAME!O403=0,"",MonthlyFAME!O403)</f>
        <v/>
      </c>
      <c r="O401" s="21" t="str">
        <f>IF(MonthlyFAME!P403=0,"",MonthlyFAME!P403)</f>
        <v/>
      </c>
      <c r="P401" s="21" t="str">
        <f>IF(MonthlyFAME!Q403=0,"",MonthlyFAME!Q403)</f>
        <v/>
      </c>
      <c r="Q401" s="21" t="str">
        <f>IF(MonthlyFAME!R403=0,"",MonthlyFAME!R403)</f>
        <v/>
      </c>
      <c r="R401" s="21" t="str">
        <f>IF(MonthlyFAME!S403=0,"",MonthlyFAME!S403)</f>
        <v/>
      </c>
      <c r="S401" s="21" t="str">
        <f>IF(MonthlyFAME!T403=0,"",MonthlyFAME!T403)</f>
        <v/>
      </c>
      <c r="T401" s="21">
        <f>IF(MonthlyFAME!U403=0,"",MonthlyFAME!U403)</f>
        <v>17.391904761904762</v>
      </c>
    </row>
    <row r="402" spans="1:20" x14ac:dyDescent="0.2">
      <c r="A402" s="23">
        <f>IF(MonthlyFAME!A404=0,"",MonthlyFAME!A404)</f>
        <v>34028</v>
      </c>
      <c r="B402" s="21" t="str">
        <f>IF(MonthlyFAME!B404=0,"",MonthlyFAME!B404)</f>
        <v/>
      </c>
      <c r="C402" s="21">
        <f>IF(MonthlyFAME!C404=0,"",MonthlyFAME!C404)</f>
        <v>74</v>
      </c>
      <c r="D402" s="21" t="str">
        <f>IF(MonthlyFAME!D404=0,"",MonthlyFAME!D404)</f>
        <v/>
      </c>
      <c r="E402" s="21">
        <f>IF(MonthlyFAME!F404=0,"",MonthlyFAME!F404)</f>
        <v>10064</v>
      </c>
      <c r="F402" s="21">
        <f>IF(MonthlyFAME!G404=0,"",MonthlyFAME!G404)</f>
        <v>11406</v>
      </c>
      <c r="G402" s="21">
        <f>IF(MonthlyFAME!H404=0,"",MonthlyFAME!H404)</f>
        <v>10.683111283881683</v>
      </c>
      <c r="H402" s="21">
        <f>IF(MonthlyFAME!I404=0,"",MonthlyFAME!I404)</f>
        <v>25274</v>
      </c>
      <c r="I402" s="21">
        <f>IF(MonthlyFAME!J404=0,"",MonthlyFAME!J404)</f>
        <v>832.9</v>
      </c>
      <c r="J402" s="24"/>
      <c r="K402" s="21">
        <f>IF(MonthlyFAME!L404=0,"",MonthlyFAME!L404)</f>
        <v>233.172561962922</v>
      </c>
      <c r="L402" s="21">
        <f>IF(MonthlyFAME!M404=0,"",MonthlyFAME!M404)</f>
        <v>2930.6</v>
      </c>
      <c r="M402" s="21" t="str">
        <f>IF(MonthlyFAME!N404=0,"",MonthlyFAME!N404)</f>
        <v/>
      </c>
      <c r="N402" s="21" t="str">
        <f>IF(MonthlyFAME!O404=0,"",MonthlyFAME!O404)</f>
        <v/>
      </c>
      <c r="O402" s="21" t="str">
        <f>IF(MonthlyFAME!P404=0,"",MonthlyFAME!P404)</f>
        <v/>
      </c>
      <c r="P402" s="21" t="str">
        <f>IF(MonthlyFAME!Q404=0,"",MonthlyFAME!Q404)</f>
        <v/>
      </c>
      <c r="Q402" s="21" t="str">
        <f>IF(MonthlyFAME!R404=0,"",MonthlyFAME!R404)</f>
        <v/>
      </c>
      <c r="R402" s="21" t="str">
        <f>IF(MonthlyFAME!S404=0,"",MonthlyFAME!S404)</f>
        <v/>
      </c>
      <c r="S402" s="21" t="str">
        <f>IF(MonthlyFAME!T404=0,"",MonthlyFAME!T404)</f>
        <v/>
      </c>
      <c r="T402" s="21">
        <f>IF(MonthlyFAME!U404=0,"",MonthlyFAME!U404)</f>
        <v>18.440000000000005</v>
      </c>
    </row>
    <row r="403" spans="1:20" x14ac:dyDescent="0.2">
      <c r="A403" s="23">
        <f>IF(MonthlyFAME!A405=0,"",MonthlyFAME!A405)</f>
        <v>34059</v>
      </c>
      <c r="B403" s="21" t="str">
        <f>IF(MonthlyFAME!B405=0,"",MonthlyFAME!B405)</f>
        <v/>
      </c>
      <c r="C403" s="21">
        <f>IF(MonthlyFAME!C405=0,"",MonthlyFAME!C405)</f>
        <v>73.400000000000006</v>
      </c>
      <c r="D403" s="21" t="str">
        <f>IF(MonthlyFAME!D405=0,"",MonthlyFAME!D405)</f>
        <v/>
      </c>
      <c r="E403" s="21">
        <f>IF(MonthlyFAME!F405=0,"",MonthlyFAME!F405)</f>
        <v>9924</v>
      </c>
      <c r="F403" s="21">
        <f>IF(MonthlyFAME!G405=0,"",MonthlyFAME!G405)</f>
        <v>11044</v>
      </c>
      <c r="G403" s="21">
        <f>IF(MonthlyFAME!H405=0,"",MonthlyFAME!H405)</f>
        <v>10.620094746517712</v>
      </c>
      <c r="H403" s="21">
        <f>IF(MonthlyFAME!I405=0,"",MonthlyFAME!I405)</f>
        <v>25282</v>
      </c>
      <c r="I403" s="21">
        <f>IF(MonthlyFAME!J405=0,"",MonthlyFAME!J405)</f>
        <v>832.3</v>
      </c>
      <c r="J403" s="24"/>
      <c r="K403" s="21">
        <f>IF(MonthlyFAME!L405=0,"",MonthlyFAME!L405)</f>
        <v>230.611428679662</v>
      </c>
      <c r="L403" s="21">
        <f>IF(MonthlyFAME!M405=0,"",MonthlyFAME!M405)</f>
        <v>2923.1</v>
      </c>
      <c r="M403" s="21" t="str">
        <f>IF(MonthlyFAME!N405=0,"",MonthlyFAME!N405)</f>
        <v/>
      </c>
      <c r="N403" s="21" t="str">
        <f>IF(MonthlyFAME!O405=0,"",MonthlyFAME!O405)</f>
        <v/>
      </c>
      <c r="O403" s="21" t="str">
        <f>IF(MonthlyFAME!P405=0,"",MonthlyFAME!P405)</f>
        <v/>
      </c>
      <c r="P403" s="21" t="str">
        <f>IF(MonthlyFAME!Q405=0,"",MonthlyFAME!Q405)</f>
        <v/>
      </c>
      <c r="Q403" s="21" t="str">
        <f>IF(MonthlyFAME!R405=0,"",MonthlyFAME!R405)</f>
        <v/>
      </c>
      <c r="R403" s="21" t="str">
        <f>IF(MonthlyFAME!S405=0,"",MonthlyFAME!S405)</f>
        <v/>
      </c>
      <c r="S403" s="21" t="str">
        <f>IF(MonthlyFAME!T405=0,"",MonthlyFAME!T405)</f>
        <v/>
      </c>
      <c r="T403" s="21">
        <f>IF(MonthlyFAME!U405=0,"",MonthlyFAME!U405)</f>
        <v>18.75826086956522</v>
      </c>
    </row>
    <row r="404" spans="1:20" x14ac:dyDescent="0.2">
      <c r="A404" s="23">
        <f>IF(MonthlyFAME!A406=0,"",MonthlyFAME!A406)</f>
        <v>34089</v>
      </c>
      <c r="B404" s="21" t="str">
        <f>IF(MonthlyFAME!B406=0,"",MonthlyFAME!B406)</f>
        <v/>
      </c>
      <c r="C404" s="21">
        <f>IF(MonthlyFAME!C406=0,"",MonthlyFAME!C406)</f>
        <v>73.5</v>
      </c>
      <c r="D404" s="21" t="str">
        <f>IF(MonthlyFAME!D406=0,"",MonthlyFAME!D406)</f>
        <v/>
      </c>
      <c r="E404" s="21">
        <f>IF(MonthlyFAME!F406=0,"",MonthlyFAME!F406)</f>
        <v>9626</v>
      </c>
      <c r="F404" s="21">
        <f>IF(MonthlyFAME!G406=0,"",MonthlyFAME!G406)</f>
        <v>10917</v>
      </c>
      <c r="G404" s="21">
        <f>IF(MonthlyFAME!H406=0,"",MonthlyFAME!H406)</f>
        <v>10.578488989591447</v>
      </c>
      <c r="H404" s="21">
        <f>IF(MonthlyFAME!I406=0,"",MonthlyFAME!I406)</f>
        <v>25258</v>
      </c>
      <c r="I404" s="21">
        <f>IF(MonthlyFAME!J406=0,"",MonthlyFAME!J406)</f>
        <v>829.6</v>
      </c>
      <c r="J404" s="24"/>
      <c r="K404" s="21">
        <f>IF(MonthlyFAME!L406=0,"",MonthlyFAME!L406)</f>
        <v>233.709254091053</v>
      </c>
      <c r="L404" s="21">
        <f>IF(MonthlyFAME!M406=0,"",MonthlyFAME!M406)</f>
        <v>2925.5</v>
      </c>
      <c r="M404" s="21" t="str">
        <f>IF(MonthlyFAME!N406=0,"",MonthlyFAME!N406)</f>
        <v/>
      </c>
      <c r="N404" s="21" t="str">
        <f>IF(MonthlyFAME!O406=0,"",MonthlyFAME!O406)</f>
        <v/>
      </c>
      <c r="O404" s="21" t="str">
        <f>IF(MonthlyFAME!P406=0,"",MonthlyFAME!P406)</f>
        <v/>
      </c>
      <c r="P404" s="21" t="str">
        <f>IF(MonthlyFAME!Q406=0,"",MonthlyFAME!Q406)</f>
        <v/>
      </c>
      <c r="Q404" s="21" t="str">
        <f>IF(MonthlyFAME!R406=0,"",MonthlyFAME!R406)</f>
        <v/>
      </c>
      <c r="R404" s="21" t="str">
        <f>IF(MonthlyFAME!S406=0,"",MonthlyFAME!S406)</f>
        <v/>
      </c>
      <c r="S404" s="21" t="str">
        <f>IF(MonthlyFAME!T406=0,"",MonthlyFAME!T406)</f>
        <v/>
      </c>
      <c r="T404" s="21">
        <f>IF(MonthlyFAME!U406=0,"",MonthlyFAME!U406)</f>
        <v>18.642727272727271</v>
      </c>
    </row>
    <row r="405" spans="1:20" x14ac:dyDescent="0.2">
      <c r="A405" s="23">
        <f>IF(MonthlyFAME!A407=0,"",MonthlyFAME!A407)</f>
        <v>34120</v>
      </c>
      <c r="B405" s="21" t="str">
        <f>IF(MonthlyFAME!B407=0,"",MonthlyFAME!B407)</f>
        <v/>
      </c>
      <c r="C405" s="21">
        <f>IF(MonthlyFAME!C407=0,"",MonthlyFAME!C407)</f>
        <v>74</v>
      </c>
      <c r="D405" s="21" t="str">
        <f>IF(MonthlyFAME!D407=0,"",MonthlyFAME!D407)</f>
        <v/>
      </c>
      <c r="E405" s="21">
        <f>IF(MonthlyFAME!F407=0,"",MonthlyFAME!F407)</f>
        <v>9809</v>
      </c>
      <c r="F405" s="21">
        <f>IF(MonthlyFAME!G407=0,"",MonthlyFAME!G407)</f>
        <v>10693</v>
      </c>
      <c r="G405" s="21">
        <f>IF(MonthlyFAME!H407=0,"",MonthlyFAME!H407)</f>
        <v>10.45399815850981</v>
      </c>
      <c r="H405" s="21">
        <f>IF(MonthlyFAME!I407=0,"",MonthlyFAME!I407)</f>
        <v>25286</v>
      </c>
      <c r="I405" s="21">
        <f>IF(MonthlyFAME!J407=0,"",MonthlyFAME!J407)</f>
        <v>830.4</v>
      </c>
      <c r="J405" s="24"/>
      <c r="K405" s="21">
        <f>IF(MonthlyFAME!L407=0,"",MonthlyFAME!L407)</f>
        <v>234.735762975781</v>
      </c>
      <c r="L405" s="21">
        <f>IF(MonthlyFAME!M407=0,"",MonthlyFAME!M407)</f>
        <v>2909.4</v>
      </c>
      <c r="M405" s="21" t="str">
        <f>IF(MonthlyFAME!N407=0,"",MonthlyFAME!N407)</f>
        <v/>
      </c>
      <c r="N405" s="21" t="str">
        <f>IF(MonthlyFAME!O407=0,"",MonthlyFAME!O407)</f>
        <v/>
      </c>
      <c r="O405" s="21" t="str">
        <f>IF(MonthlyFAME!P407=0,"",MonthlyFAME!P407)</f>
        <v/>
      </c>
      <c r="P405" s="21" t="str">
        <f>IF(MonthlyFAME!Q407=0,"",MonthlyFAME!Q407)</f>
        <v/>
      </c>
      <c r="Q405" s="21" t="str">
        <f>IF(MonthlyFAME!R407=0,"",MonthlyFAME!R407)</f>
        <v/>
      </c>
      <c r="R405" s="21" t="str">
        <f>IF(MonthlyFAME!S407=0,"",MonthlyFAME!S407)</f>
        <v/>
      </c>
      <c r="S405" s="21" t="str">
        <f>IF(MonthlyFAME!T407=0,"",MonthlyFAME!T407)</f>
        <v/>
      </c>
      <c r="T405" s="21">
        <f>IF(MonthlyFAME!U407=0,"",MonthlyFAME!U407)</f>
        <v>18.479047619047613</v>
      </c>
    </row>
    <row r="406" spans="1:20" x14ac:dyDescent="0.2">
      <c r="A406" s="23">
        <f>IF(MonthlyFAME!A408=0,"",MonthlyFAME!A408)</f>
        <v>34150</v>
      </c>
      <c r="B406" s="21" t="str">
        <f>IF(MonthlyFAME!B408=0,"",MonthlyFAME!B408)</f>
        <v/>
      </c>
      <c r="C406" s="21">
        <f>IF(MonthlyFAME!C408=0,"",MonthlyFAME!C408)</f>
        <v>73.599999999999994</v>
      </c>
      <c r="D406" s="21" t="str">
        <f>IF(MonthlyFAME!D408=0,"",MonthlyFAME!D408)</f>
        <v/>
      </c>
      <c r="E406" s="21">
        <f>IF(MonthlyFAME!F408=0,"",MonthlyFAME!F408)</f>
        <v>10045</v>
      </c>
      <c r="F406" s="21">
        <f>IF(MonthlyFAME!G408=0,"",MonthlyFAME!G408)</f>
        <v>11134</v>
      </c>
      <c r="G406" s="21">
        <f>IF(MonthlyFAME!H408=0,"",MonthlyFAME!H408)</f>
        <v>10.384778911564625</v>
      </c>
      <c r="H406" s="21">
        <f>IF(MonthlyFAME!I408=0,"",MonthlyFAME!I408)</f>
        <v>25293</v>
      </c>
      <c r="I406" s="21">
        <f>IF(MonthlyFAME!J408=0,"",MonthlyFAME!J408)</f>
        <v>832.6</v>
      </c>
      <c r="J406" s="24"/>
      <c r="K406" s="21">
        <f>IF(MonthlyFAME!L408=0,"",MonthlyFAME!L408)</f>
        <v>234.69717471373701</v>
      </c>
      <c r="L406" s="21">
        <f>IF(MonthlyFAME!M408=0,"",MonthlyFAME!M408)</f>
        <v>2901.8</v>
      </c>
      <c r="M406" s="21" t="str">
        <f>IF(MonthlyFAME!N408=0,"",MonthlyFAME!N408)</f>
        <v/>
      </c>
      <c r="N406" s="21" t="str">
        <f>IF(MonthlyFAME!O408=0,"",MonthlyFAME!O408)</f>
        <v/>
      </c>
      <c r="O406" s="21" t="str">
        <f>IF(MonthlyFAME!P408=0,"",MonthlyFAME!P408)</f>
        <v/>
      </c>
      <c r="P406" s="21" t="str">
        <f>IF(MonthlyFAME!Q408=0,"",MonthlyFAME!Q408)</f>
        <v/>
      </c>
      <c r="Q406" s="21" t="str">
        <f>IF(MonthlyFAME!R408=0,"",MonthlyFAME!R408)</f>
        <v/>
      </c>
      <c r="R406" s="21" t="str">
        <f>IF(MonthlyFAME!S408=0,"",MonthlyFAME!S408)</f>
        <v/>
      </c>
      <c r="S406" s="21" t="str">
        <f>IF(MonthlyFAME!T408=0,"",MonthlyFAME!T408)</f>
        <v/>
      </c>
      <c r="T406" s="21">
        <f>IF(MonthlyFAME!U408=0,"",MonthlyFAME!U408)</f>
        <v>17.594545454545457</v>
      </c>
    </row>
    <row r="407" spans="1:20" x14ac:dyDescent="0.2">
      <c r="A407" s="23">
        <f>IF(MonthlyFAME!A409=0,"",MonthlyFAME!A409)</f>
        <v>34181</v>
      </c>
      <c r="B407" s="21" t="str">
        <f>IF(MonthlyFAME!B409=0,"",MonthlyFAME!B409)</f>
        <v/>
      </c>
      <c r="C407" s="21">
        <f>IF(MonthlyFAME!C409=0,"",MonthlyFAME!C409)</f>
        <v>74.2</v>
      </c>
      <c r="D407" s="21" t="str">
        <f>IF(MonthlyFAME!D409=0,"",MonthlyFAME!D409)</f>
        <v/>
      </c>
      <c r="E407" s="21">
        <f>IF(MonthlyFAME!F409=0,"",MonthlyFAME!F409)</f>
        <v>9732</v>
      </c>
      <c r="F407" s="21">
        <f>IF(MonthlyFAME!G409=0,"",MonthlyFAME!G409)</f>
        <v>11134</v>
      </c>
      <c r="G407" s="21">
        <f>IF(MonthlyFAME!H409=0,"",MonthlyFAME!H409)</f>
        <v>10.372076541459958</v>
      </c>
      <c r="H407" s="21">
        <f>IF(MonthlyFAME!I409=0,"",MonthlyFAME!I409)</f>
        <v>25293</v>
      </c>
      <c r="I407" s="21">
        <f>IF(MonthlyFAME!J409=0,"",MonthlyFAME!J409)</f>
        <v>834.1</v>
      </c>
      <c r="J407" s="24"/>
      <c r="K407" s="21">
        <f>IF(MonthlyFAME!L409=0,"",MonthlyFAME!L409)</f>
        <v>236.33979072264501</v>
      </c>
      <c r="L407" s="21">
        <f>IF(MonthlyFAME!M409=0,"",MonthlyFAME!M409)</f>
        <v>2878.1</v>
      </c>
      <c r="M407" s="21" t="str">
        <f>IF(MonthlyFAME!N409=0,"",MonthlyFAME!N409)</f>
        <v/>
      </c>
      <c r="N407" s="21" t="str">
        <f>IF(MonthlyFAME!O409=0,"",MonthlyFAME!O409)</f>
        <v/>
      </c>
      <c r="O407" s="21" t="str">
        <f>IF(MonthlyFAME!P409=0,"",MonthlyFAME!P409)</f>
        <v/>
      </c>
      <c r="P407" s="21" t="str">
        <f>IF(MonthlyFAME!Q409=0,"",MonthlyFAME!Q409)</f>
        <v/>
      </c>
      <c r="Q407" s="21" t="str">
        <f>IF(MonthlyFAME!R409=0,"",MonthlyFAME!R409)</f>
        <v/>
      </c>
      <c r="R407" s="21" t="str">
        <f>IF(MonthlyFAME!S409=0,"",MonthlyFAME!S409)</f>
        <v/>
      </c>
      <c r="S407" s="21" t="str">
        <f>IF(MonthlyFAME!T409=0,"",MonthlyFAME!T409)</f>
        <v/>
      </c>
      <c r="T407" s="21">
        <f>IF(MonthlyFAME!U409=0,"",MonthlyFAME!U409)</f>
        <v>16.774090909090908</v>
      </c>
    </row>
    <row r="408" spans="1:20" x14ac:dyDescent="0.2">
      <c r="A408" s="23">
        <f>IF(MonthlyFAME!A410=0,"",MonthlyFAME!A410)</f>
        <v>34212</v>
      </c>
      <c r="B408" s="21" t="str">
        <f>IF(MonthlyFAME!B410=0,"",MonthlyFAME!B410)</f>
        <v/>
      </c>
      <c r="C408" s="21">
        <f>IF(MonthlyFAME!C410=0,"",MonthlyFAME!C410)</f>
        <v>74.400000000000006</v>
      </c>
      <c r="D408" s="21" t="str">
        <f>IF(MonthlyFAME!D410=0,"",MonthlyFAME!D410)</f>
        <v/>
      </c>
      <c r="E408" s="21">
        <f>IF(MonthlyFAME!F410=0,"",MonthlyFAME!F410)</f>
        <v>9962</v>
      </c>
      <c r="F408" s="21">
        <f>IF(MonthlyFAME!G410=0,"",MonthlyFAME!G410)</f>
        <v>10783</v>
      </c>
      <c r="G408" s="21">
        <f>IF(MonthlyFAME!H410=0,"",MonthlyFAME!H410)</f>
        <v>10.310814646608005</v>
      </c>
      <c r="H408" s="21">
        <f>IF(MonthlyFAME!I410=0,"",MonthlyFAME!I410)</f>
        <v>25278</v>
      </c>
      <c r="I408" s="21">
        <f>IF(MonthlyFAME!J410=0,"",MonthlyFAME!J410)</f>
        <v>833.5</v>
      </c>
      <c r="J408" s="24"/>
      <c r="K408" s="21">
        <f>IF(MonthlyFAME!L410=0,"",MonthlyFAME!L410)</f>
        <v>236.47122516094899</v>
      </c>
      <c r="L408" s="21">
        <f>IF(MonthlyFAME!M410=0,"",MonthlyFAME!M410)</f>
        <v>2874.8</v>
      </c>
      <c r="M408" s="21" t="str">
        <f>IF(MonthlyFAME!N410=0,"",MonthlyFAME!N410)</f>
        <v/>
      </c>
      <c r="N408" s="21" t="str">
        <f>IF(MonthlyFAME!O410=0,"",MonthlyFAME!O410)</f>
        <v/>
      </c>
      <c r="O408" s="21" t="str">
        <f>IF(MonthlyFAME!P410=0,"",MonthlyFAME!P410)</f>
        <v/>
      </c>
      <c r="P408" s="21" t="str">
        <f>IF(MonthlyFAME!Q410=0,"",MonthlyFAME!Q410)</f>
        <v/>
      </c>
      <c r="Q408" s="21" t="str">
        <f>IF(MonthlyFAME!R410=0,"",MonthlyFAME!R410)</f>
        <v/>
      </c>
      <c r="R408" s="21" t="str">
        <f>IF(MonthlyFAME!S410=0,"",MonthlyFAME!S410)</f>
        <v/>
      </c>
      <c r="S408" s="21" t="str">
        <f>IF(MonthlyFAME!T410=0,"",MonthlyFAME!T410)</f>
        <v/>
      </c>
      <c r="T408" s="21">
        <f>IF(MonthlyFAME!U410=0,"",MonthlyFAME!U410)</f>
        <v>16.723181818181818</v>
      </c>
    </row>
    <row r="409" spans="1:20" x14ac:dyDescent="0.2">
      <c r="A409" s="23">
        <f>IF(MonthlyFAME!A411=0,"",MonthlyFAME!A411)</f>
        <v>34242</v>
      </c>
      <c r="B409" s="21" t="str">
        <f>IF(MonthlyFAME!B411=0,"",MonthlyFAME!B411)</f>
        <v/>
      </c>
      <c r="C409" s="21">
        <f>IF(MonthlyFAME!C411=0,"",MonthlyFAME!C411)</f>
        <v>74.7</v>
      </c>
      <c r="D409" s="21" t="str">
        <f>IF(MonthlyFAME!D411=0,"",MonthlyFAME!D411)</f>
        <v/>
      </c>
      <c r="E409" s="21">
        <f>IF(MonthlyFAME!F411=0,"",MonthlyFAME!F411)</f>
        <v>10032</v>
      </c>
      <c r="F409" s="21">
        <f>IF(MonthlyFAME!G411=0,"",MonthlyFAME!G411)</f>
        <v>11483</v>
      </c>
      <c r="G409" s="21">
        <f>IF(MonthlyFAME!H411=0,"",MonthlyFAME!H411)</f>
        <v>10.246046940367298</v>
      </c>
      <c r="H409" s="21">
        <f>IF(MonthlyFAME!I411=0,"",MonthlyFAME!I411)</f>
        <v>25316</v>
      </c>
      <c r="I409" s="21">
        <f>IF(MonthlyFAME!J411=0,"",MonthlyFAME!J411)</f>
        <v>832.4</v>
      </c>
      <c r="J409" s="24"/>
      <c r="K409" s="21">
        <f>IF(MonthlyFAME!L411=0,"",MonthlyFAME!L411)</f>
        <v>237.02547789765299</v>
      </c>
      <c r="L409" s="21">
        <f>IF(MonthlyFAME!M411=0,"",MonthlyFAME!M411)</f>
        <v>2855.9</v>
      </c>
      <c r="M409" s="21" t="str">
        <f>IF(MonthlyFAME!N411=0,"",MonthlyFAME!N411)</f>
        <v/>
      </c>
      <c r="N409" s="21" t="str">
        <f>IF(MonthlyFAME!O411=0,"",MonthlyFAME!O411)</f>
        <v/>
      </c>
      <c r="O409" s="21" t="str">
        <f>IF(MonthlyFAME!P411=0,"",MonthlyFAME!P411)</f>
        <v/>
      </c>
      <c r="P409" s="21" t="str">
        <f>IF(MonthlyFAME!Q411=0,"",MonthlyFAME!Q411)</f>
        <v/>
      </c>
      <c r="Q409" s="21" t="str">
        <f>IF(MonthlyFAME!R411=0,"",MonthlyFAME!R411)</f>
        <v/>
      </c>
      <c r="R409" s="21" t="str">
        <f>IF(MonthlyFAME!S411=0,"",MonthlyFAME!S411)</f>
        <v/>
      </c>
      <c r="S409" s="21" t="str">
        <f>IF(MonthlyFAME!T411=0,"",MonthlyFAME!T411)</f>
        <v/>
      </c>
      <c r="T409" s="21">
        <f>IF(MonthlyFAME!U411=0,"",MonthlyFAME!U411)</f>
        <v>16.021363636363638</v>
      </c>
    </row>
    <row r="410" spans="1:20" x14ac:dyDescent="0.2">
      <c r="A410" s="23">
        <f>IF(MonthlyFAME!A412=0,"",MonthlyFAME!A412)</f>
        <v>34273</v>
      </c>
      <c r="B410" s="21" t="str">
        <f>IF(MonthlyFAME!B412=0,"",MonthlyFAME!B412)</f>
        <v/>
      </c>
      <c r="C410" s="21">
        <f>IF(MonthlyFAME!C412=0,"",MonthlyFAME!C412)</f>
        <v>74.900000000000006</v>
      </c>
      <c r="D410" s="21" t="str">
        <f>IF(MonthlyFAME!D412=0,"",MonthlyFAME!D412)</f>
        <v/>
      </c>
      <c r="E410" s="21">
        <f>IF(MonthlyFAME!F412=0,"",MonthlyFAME!F412)</f>
        <v>10193</v>
      </c>
      <c r="F410" s="21">
        <f>IF(MonthlyFAME!G412=0,"",MonthlyFAME!G412)</f>
        <v>11293</v>
      </c>
      <c r="G410" s="21">
        <f>IF(MonthlyFAME!H412=0,"",MonthlyFAME!H412)</f>
        <v>10.250957039557635</v>
      </c>
      <c r="H410" s="21">
        <f>IF(MonthlyFAME!I412=0,"",MonthlyFAME!I412)</f>
        <v>25320</v>
      </c>
      <c r="I410" s="21">
        <f>IF(MonthlyFAME!J412=0,"",MonthlyFAME!J412)</f>
        <v>832.6</v>
      </c>
      <c r="J410" s="24"/>
      <c r="K410" s="21">
        <f>IF(MonthlyFAME!L412=0,"",MonthlyFAME!L412)</f>
        <v>237.55741146815399</v>
      </c>
      <c r="L410" s="21">
        <f>IF(MonthlyFAME!M412=0,"",MonthlyFAME!M412)</f>
        <v>2823.9</v>
      </c>
      <c r="M410" s="21" t="str">
        <f>IF(MonthlyFAME!N412=0,"",MonthlyFAME!N412)</f>
        <v/>
      </c>
      <c r="N410" s="21" t="str">
        <f>IF(MonthlyFAME!O412=0,"",MonthlyFAME!O412)</f>
        <v/>
      </c>
      <c r="O410" s="21" t="str">
        <f>IF(MonthlyFAME!P412=0,"",MonthlyFAME!P412)</f>
        <v/>
      </c>
      <c r="P410" s="21" t="str">
        <f>IF(MonthlyFAME!Q412=0,"",MonthlyFAME!Q412)</f>
        <v/>
      </c>
      <c r="Q410" s="21" t="str">
        <f>IF(MonthlyFAME!R412=0,"",MonthlyFAME!R412)</f>
        <v/>
      </c>
      <c r="R410" s="21" t="str">
        <f>IF(MonthlyFAME!S412=0,"",MonthlyFAME!S412)</f>
        <v/>
      </c>
      <c r="S410" s="21" t="str">
        <f>IF(MonthlyFAME!T412=0,"",MonthlyFAME!T412)</f>
        <v/>
      </c>
      <c r="T410" s="21">
        <f>IF(MonthlyFAME!U412=0,"",MonthlyFAME!U412)</f>
        <v>16.540476190476191</v>
      </c>
    </row>
    <row r="411" spans="1:20" x14ac:dyDescent="0.2">
      <c r="A411" s="23">
        <f>IF(MonthlyFAME!A413=0,"",MonthlyFAME!A413)</f>
        <v>34303</v>
      </c>
      <c r="B411" s="21" t="str">
        <f>IF(MonthlyFAME!B413=0,"",MonthlyFAME!B413)</f>
        <v/>
      </c>
      <c r="C411" s="21">
        <f>IF(MonthlyFAME!C413=0,"",MonthlyFAME!C413)</f>
        <v>75.599999999999994</v>
      </c>
      <c r="D411" s="21" t="str">
        <f>IF(MonthlyFAME!D413=0,"",MonthlyFAME!D413)</f>
        <v/>
      </c>
      <c r="E411" s="21">
        <f>IF(MonthlyFAME!F413=0,"",MonthlyFAME!F413)</f>
        <v>9911</v>
      </c>
      <c r="F411" s="21">
        <f>IF(MonthlyFAME!G413=0,"",MonthlyFAME!G413)</f>
        <v>11219</v>
      </c>
      <c r="G411" s="21">
        <f>IF(MonthlyFAME!H413=0,"",MonthlyFAME!H413)</f>
        <v>10.229045525457382</v>
      </c>
      <c r="H411" s="21">
        <f>IF(MonthlyFAME!I413=0,"",MonthlyFAME!I413)</f>
        <v>25319</v>
      </c>
      <c r="I411" s="21">
        <f>IF(MonthlyFAME!J413=0,"",MonthlyFAME!J413)</f>
        <v>826.4</v>
      </c>
      <c r="J411" s="24"/>
      <c r="K411" s="21">
        <f>IF(MonthlyFAME!L413=0,"",MonthlyFAME!L413)</f>
        <v>238.976741129705</v>
      </c>
      <c r="L411" s="21">
        <f>IF(MonthlyFAME!M413=0,"",MonthlyFAME!M413)</f>
        <v>2794.3</v>
      </c>
      <c r="M411" s="21" t="str">
        <f>IF(MonthlyFAME!N413=0,"",MonthlyFAME!N413)</f>
        <v/>
      </c>
      <c r="N411" s="21" t="str">
        <f>IF(MonthlyFAME!O413=0,"",MonthlyFAME!O413)</f>
        <v/>
      </c>
      <c r="O411" s="21" t="str">
        <f>IF(MonthlyFAME!P413=0,"",MonthlyFAME!P413)</f>
        <v/>
      </c>
      <c r="P411" s="21" t="str">
        <f>IF(MonthlyFAME!Q413=0,"",MonthlyFAME!Q413)</f>
        <v/>
      </c>
      <c r="Q411" s="21" t="str">
        <f>IF(MonthlyFAME!R413=0,"",MonthlyFAME!R413)</f>
        <v/>
      </c>
      <c r="R411" s="21" t="str">
        <f>IF(MonthlyFAME!S413=0,"",MonthlyFAME!S413)</f>
        <v/>
      </c>
      <c r="S411" s="21" t="str">
        <f>IF(MonthlyFAME!T413=0,"",MonthlyFAME!T413)</f>
        <v/>
      </c>
      <c r="T411" s="21">
        <f>IF(MonthlyFAME!U413=0,"",MonthlyFAME!U413)</f>
        <v>15.101363636363637</v>
      </c>
    </row>
    <row r="412" spans="1:20" x14ac:dyDescent="0.2">
      <c r="A412" s="23">
        <f>IF(MonthlyFAME!A414=0,"",MonthlyFAME!A414)</f>
        <v>34334</v>
      </c>
      <c r="B412" s="21" t="str">
        <f>IF(MonthlyFAME!B414=0,"",MonthlyFAME!B414)</f>
        <v/>
      </c>
      <c r="C412" s="21">
        <f>IF(MonthlyFAME!C414=0,"",MonthlyFAME!C414)</f>
        <v>75.8</v>
      </c>
      <c r="D412" s="21" t="str">
        <f>IF(MonthlyFAME!D414=0,"",MonthlyFAME!D414)</f>
        <v/>
      </c>
      <c r="E412" s="21">
        <f>IF(MonthlyFAME!F414=0,"",MonthlyFAME!F414)</f>
        <v>10228</v>
      </c>
      <c r="F412" s="21">
        <f>IF(MonthlyFAME!G414=0,"",MonthlyFAME!G414)</f>
        <v>11505</v>
      </c>
      <c r="G412" s="21">
        <f>IF(MonthlyFAME!H414=0,"",MonthlyFAME!H414)</f>
        <v>10.250957039557635</v>
      </c>
      <c r="H412" s="21">
        <f>IF(MonthlyFAME!I414=0,"",MonthlyFAME!I414)</f>
        <v>25320</v>
      </c>
      <c r="I412" s="21">
        <f>IF(MonthlyFAME!J414=0,"",MonthlyFAME!J414)</f>
        <v>831.6</v>
      </c>
      <c r="J412" s="24"/>
      <c r="K412" s="21">
        <f>IF(MonthlyFAME!L414=0,"",MonthlyFAME!L414)</f>
        <v>238.75092061327001</v>
      </c>
      <c r="L412" s="21">
        <f>IF(MonthlyFAME!M414=0,"",MonthlyFAME!M414)</f>
        <v>2764.8</v>
      </c>
      <c r="M412" s="21" t="str">
        <f>IF(MonthlyFAME!N414=0,"",MonthlyFAME!N414)</f>
        <v/>
      </c>
      <c r="N412" s="21" t="str">
        <f>IF(MonthlyFAME!O414=0,"",MonthlyFAME!O414)</f>
        <v/>
      </c>
      <c r="O412" s="21" t="str">
        <f>IF(MonthlyFAME!P414=0,"",MonthlyFAME!P414)</f>
        <v/>
      </c>
      <c r="P412" s="21" t="str">
        <f>IF(MonthlyFAME!Q414=0,"",MonthlyFAME!Q414)</f>
        <v/>
      </c>
      <c r="Q412" s="21" t="str">
        <f>IF(MonthlyFAME!R414=0,"",MonthlyFAME!R414)</f>
        <v/>
      </c>
      <c r="R412" s="21" t="str">
        <f>IF(MonthlyFAME!S414=0,"",MonthlyFAME!S414)</f>
        <v/>
      </c>
      <c r="S412" s="21" t="str">
        <f>IF(MonthlyFAME!T414=0,"",MonthlyFAME!T414)</f>
        <v/>
      </c>
      <c r="T412" s="21">
        <f>IF(MonthlyFAME!U414=0,"",MonthlyFAME!U414)</f>
        <v>13.52260869565217</v>
      </c>
    </row>
    <row r="413" spans="1:20" x14ac:dyDescent="0.2">
      <c r="A413" s="23">
        <f>IF(MonthlyFAME!A415=0,"",MonthlyFAME!A415)</f>
        <v>34365</v>
      </c>
      <c r="B413" s="21" t="str">
        <f>IF(MonthlyFAME!B415=0,"",MonthlyFAME!B415)</f>
        <v/>
      </c>
      <c r="C413" s="21">
        <f>IF(MonthlyFAME!C415=0,"",MonthlyFAME!C415)</f>
        <v>76.3</v>
      </c>
      <c r="D413" s="21" t="str">
        <f>IF(MonthlyFAME!D415=0,"",MonthlyFAME!D415)</f>
        <v/>
      </c>
      <c r="E413" s="21">
        <f>IF(MonthlyFAME!F415=0,"",MonthlyFAME!F415)</f>
        <v>10540</v>
      </c>
      <c r="F413" s="21">
        <f>IF(MonthlyFAME!G415=0,"",MonthlyFAME!G415)</f>
        <v>11361</v>
      </c>
      <c r="G413" s="21">
        <f>IF(MonthlyFAME!H415=0,"",MonthlyFAME!H415)</f>
        <v>10.250230382079819</v>
      </c>
      <c r="H413" s="21">
        <f>IF(MonthlyFAME!I415=0,"",MonthlyFAME!I415)</f>
        <v>25322</v>
      </c>
      <c r="I413" s="21">
        <f>IF(MonthlyFAME!J415=0,"",MonthlyFAME!J415)</f>
        <v>829.3</v>
      </c>
      <c r="J413" s="24"/>
      <c r="K413" s="21">
        <f>IF(MonthlyFAME!L415=0,"",MonthlyFAME!L415)</f>
        <v>239.967312473709</v>
      </c>
      <c r="L413" s="21">
        <f>IF(MonthlyFAME!M415=0,"",MonthlyFAME!M415)</f>
        <v>2766</v>
      </c>
      <c r="M413" s="21" t="str">
        <f>IF(MonthlyFAME!N415=0,"",MonthlyFAME!N415)</f>
        <v/>
      </c>
      <c r="N413" s="21" t="str">
        <f>IF(MonthlyFAME!O415=0,"",MonthlyFAME!O415)</f>
        <v/>
      </c>
      <c r="O413" s="21" t="str">
        <f>IF(MonthlyFAME!P415=0,"",MonthlyFAME!P415)</f>
        <v/>
      </c>
      <c r="P413" s="21" t="str">
        <f>IF(MonthlyFAME!Q415=0,"",MonthlyFAME!Q415)</f>
        <v/>
      </c>
      <c r="Q413" s="21" t="str">
        <f>IF(MonthlyFAME!R415=0,"",MonthlyFAME!R415)</f>
        <v/>
      </c>
      <c r="R413" s="21" t="str">
        <f>IF(MonthlyFAME!S415=0,"",MonthlyFAME!S415)</f>
        <v/>
      </c>
      <c r="S413" s="21" t="str">
        <f>IF(MonthlyFAME!T415=0,"",MonthlyFAME!T415)</f>
        <v/>
      </c>
      <c r="T413" s="21">
        <f>IF(MonthlyFAME!U415=0,"",MonthlyFAME!U415)</f>
        <v>14.271904761904764</v>
      </c>
    </row>
    <row r="414" spans="1:20" x14ac:dyDescent="0.2">
      <c r="A414" s="23">
        <f>IF(MonthlyFAME!A416=0,"",MonthlyFAME!A416)</f>
        <v>34393</v>
      </c>
      <c r="B414" s="21" t="str">
        <f>IF(MonthlyFAME!B416=0,"",MonthlyFAME!B416)</f>
        <v/>
      </c>
      <c r="C414" s="21">
        <f>IF(MonthlyFAME!C416=0,"",MonthlyFAME!C416)</f>
        <v>76.5</v>
      </c>
      <c r="D414" s="21" t="str">
        <f>IF(MonthlyFAME!D416=0,"",MonthlyFAME!D416)</f>
        <v/>
      </c>
      <c r="E414" s="21">
        <f>IF(MonthlyFAME!F416=0,"",MonthlyFAME!F416)</f>
        <v>10580</v>
      </c>
      <c r="F414" s="21">
        <f>IF(MonthlyFAME!G416=0,"",MonthlyFAME!G416)</f>
        <v>11457</v>
      </c>
      <c r="G414" s="21">
        <f>IF(MonthlyFAME!H416=0,"",MonthlyFAME!H416)</f>
        <v>10.086148828305031</v>
      </c>
      <c r="H414" s="21">
        <f>IF(MonthlyFAME!I416=0,"",MonthlyFAME!I416)</f>
        <v>25362</v>
      </c>
      <c r="I414" s="21">
        <f>IF(MonthlyFAME!J416=0,"",MonthlyFAME!J416)</f>
        <v>836.8</v>
      </c>
      <c r="J414" s="24"/>
      <c r="K414" s="21">
        <f>IF(MonthlyFAME!L416=0,"",MonthlyFAME!L416)</f>
        <v>242.152659380328</v>
      </c>
      <c r="L414" s="21">
        <f>IF(MonthlyFAME!M416=0,"",MonthlyFAME!M416)</f>
        <v>2734.2</v>
      </c>
      <c r="M414" s="21" t="str">
        <f>IF(MonthlyFAME!N416=0,"",MonthlyFAME!N416)</f>
        <v/>
      </c>
      <c r="N414" s="21" t="str">
        <f>IF(MonthlyFAME!O416=0,"",MonthlyFAME!O416)</f>
        <v/>
      </c>
      <c r="O414" s="21" t="str">
        <f>IF(MonthlyFAME!P416=0,"",MonthlyFAME!P416)</f>
        <v/>
      </c>
      <c r="P414" s="21" t="str">
        <f>IF(MonthlyFAME!Q416=0,"",MonthlyFAME!Q416)</f>
        <v/>
      </c>
      <c r="Q414" s="21" t="str">
        <f>IF(MonthlyFAME!R416=0,"",MonthlyFAME!R416)</f>
        <v/>
      </c>
      <c r="R414" s="21" t="str">
        <f>IF(MonthlyFAME!S416=0,"",MonthlyFAME!S416)</f>
        <v/>
      </c>
      <c r="S414" s="21" t="str">
        <f>IF(MonthlyFAME!T416=0,"",MonthlyFAME!T416)</f>
        <v/>
      </c>
      <c r="T414" s="21">
        <f>IF(MonthlyFAME!U416=0,"",MonthlyFAME!U416)</f>
        <v>13.755999999999997</v>
      </c>
    </row>
    <row r="415" spans="1:20" x14ac:dyDescent="0.2">
      <c r="A415" s="23">
        <f>IF(MonthlyFAME!A417=0,"",MonthlyFAME!A417)</f>
        <v>34424</v>
      </c>
      <c r="B415" s="21" t="str">
        <f>IF(MonthlyFAME!B417=0,"",MonthlyFAME!B417)</f>
        <v/>
      </c>
      <c r="C415" s="21">
        <f>IF(MonthlyFAME!C417=0,"",MonthlyFAME!C417)</f>
        <v>76.8</v>
      </c>
      <c r="D415" s="21" t="str">
        <f>IF(MonthlyFAME!D417=0,"",MonthlyFAME!D417)</f>
        <v/>
      </c>
      <c r="E415" s="21">
        <f>IF(MonthlyFAME!F417=0,"",MonthlyFAME!F417)</f>
        <v>10671</v>
      </c>
      <c r="F415" s="21">
        <f>IF(MonthlyFAME!G417=0,"",MonthlyFAME!G417)</f>
        <v>11675</v>
      </c>
      <c r="G415" s="21">
        <f>IF(MonthlyFAME!H417=0,"",MonthlyFAME!H417)</f>
        <v>9.9454171687814554</v>
      </c>
      <c r="H415" s="21">
        <f>IF(MonthlyFAME!I417=0,"",MonthlyFAME!I417)</f>
        <v>25408</v>
      </c>
      <c r="I415" s="21">
        <f>IF(MonthlyFAME!J417=0,"",MonthlyFAME!J417)</f>
        <v>837.1</v>
      </c>
      <c r="J415" s="24"/>
      <c r="K415" s="21">
        <f>IF(MonthlyFAME!L417=0,"",MonthlyFAME!L417)</f>
        <v>241.03294340915701</v>
      </c>
      <c r="L415" s="21">
        <f>IF(MonthlyFAME!M417=0,"",MonthlyFAME!M417)</f>
        <v>2712</v>
      </c>
      <c r="M415" s="21" t="str">
        <f>IF(MonthlyFAME!N417=0,"",MonthlyFAME!N417)</f>
        <v/>
      </c>
      <c r="N415" s="21" t="str">
        <f>IF(MonthlyFAME!O417=0,"",MonthlyFAME!O417)</f>
        <v/>
      </c>
      <c r="O415" s="21" t="str">
        <f>IF(MonthlyFAME!P417=0,"",MonthlyFAME!P417)</f>
        <v/>
      </c>
      <c r="P415" s="21" t="str">
        <f>IF(MonthlyFAME!Q417=0,"",MonthlyFAME!Q417)</f>
        <v/>
      </c>
      <c r="Q415" s="21" t="str">
        <f>IF(MonthlyFAME!R417=0,"",MonthlyFAME!R417)</f>
        <v/>
      </c>
      <c r="R415" s="21" t="str">
        <f>IF(MonthlyFAME!S417=0,"",MonthlyFAME!S417)</f>
        <v/>
      </c>
      <c r="S415" s="21" t="str">
        <f>IF(MonthlyFAME!T417=0,"",MonthlyFAME!T417)</f>
        <v/>
      </c>
      <c r="T415" s="21">
        <f>IF(MonthlyFAME!U417=0,"",MonthlyFAME!U417)</f>
        <v>13.892173913043477</v>
      </c>
    </row>
    <row r="416" spans="1:20" x14ac:dyDescent="0.2">
      <c r="A416" s="23">
        <f>IF(MonthlyFAME!A418=0,"",MonthlyFAME!A418)</f>
        <v>34454</v>
      </c>
      <c r="B416" s="21" t="str">
        <f>IF(MonthlyFAME!B418=0,"",MonthlyFAME!B418)</f>
        <v/>
      </c>
      <c r="C416" s="21">
        <f>IF(MonthlyFAME!C418=0,"",MonthlyFAME!C418)</f>
        <v>77.8</v>
      </c>
      <c r="D416" s="21"/>
      <c r="E416" s="21">
        <f>IF(MonthlyFAME!F418=0,"",MonthlyFAME!F418)</f>
        <v>10655</v>
      </c>
      <c r="F416" s="21">
        <f>IF(MonthlyFAME!G418=0,"",MonthlyFAME!G418)</f>
        <v>11465</v>
      </c>
      <c r="G416" s="21">
        <f>IF(MonthlyFAME!H418=0,"",MonthlyFAME!H418)</f>
        <v>9.8121899362154501</v>
      </c>
      <c r="H416" s="21">
        <f>IF(MonthlyFAME!I418=0,"",MonthlyFAME!I418)</f>
        <v>25451</v>
      </c>
      <c r="I416" s="21">
        <f>IF(MonthlyFAME!J418=0,"",MonthlyFAME!J418)</f>
        <v>842.1</v>
      </c>
      <c r="J416" s="24"/>
      <c r="K416" s="21">
        <f>IF(MonthlyFAME!L418=0,"",MonthlyFAME!L418)</f>
        <v>240.695827392984</v>
      </c>
      <c r="L416" s="21">
        <f>IF(MonthlyFAME!M418=0,"",MonthlyFAME!M418)</f>
        <v>2676.3</v>
      </c>
      <c r="M416" s="21" t="str">
        <f>IF(MonthlyFAME!N418=0,"",MonthlyFAME!N418)</f>
        <v/>
      </c>
      <c r="N416" s="21" t="str">
        <f>IF(MonthlyFAME!O418=0,"",MonthlyFAME!O418)</f>
        <v/>
      </c>
      <c r="O416" s="21" t="str">
        <f>IF(MonthlyFAME!P418=0,"",MonthlyFAME!P418)</f>
        <v/>
      </c>
      <c r="P416" s="21" t="str">
        <f>IF(MonthlyFAME!Q418=0,"",MonthlyFAME!Q418)</f>
        <v/>
      </c>
      <c r="Q416" s="21" t="str">
        <f>IF(MonthlyFAME!R418=0,"",MonthlyFAME!R418)</f>
        <v/>
      </c>
      <c r="R416" s="21" t="str">
        <f>IF(MonthlyFAME!S418=0,"",MonthlyFAME!S418)</f>
        <v/>
      </c>
      <c r="S416" s="21" t="str">
        <f>IF(MonthlyFAME!T418=0,"",MonthlyFAME!T418)</f>
        <v/>
      </c>
      <c r="T416" s="21">
        <f>IF(MonthlyFAME!U418=0,"",MonthlyFAME!U418)</f>
        <v>15.095238095238098</v>
      </c>
    </row>
    <row r="417" spans="1:20" x14ac:dyDescent="0.2">
      <c r="A417" s="23">
        <f>IF(MonthlyFAME!A419=0,"",MonthlyFAME!A419)</f>
        <v>34485</v>
      </c>
      <c r="B417" s="21" t="str">
        <f>IF(MonthlyFAME!B419=0,"",MonthlyFAME!B419)</f>
        <v/>
      </c>
      <c r="C417" s="21">
        <f>IF(MonthlyFAME!C419=0,"",MonthlyFAME!C419)</f>
        <v>78.8</v>
      </c>
      <c r="D417" s="21"/>
      <c r="E417" s="21">
        <f>IF(MonthlyFAME!F419=0,"",MonthlyFAME!F419)</f>
        <v>10468</v>
      </c>
      <c r="F417" s="21">
        <f>IF(MonthlyFAME!G419=0,"",MonthlyFAME!G419)</f>
        <v>11690</v>
      </c>
      <c r="G417" s="21">
        <f>IF(MonthlyFAME!H419=0,"",MonthlyFAME!H419)</f>
        <v>9.7500443183832655</v>
      </c>
      <c r="H417" s="21">
        <f>IF(MonthlyFAME!I419=0,"",MonthlyFAME!I419)</f>
        <v>25455</v>
      </c>
      <c r="I417" s="21">
        <f>IF(MonthlyFAME!J419=0,"",MonthlyFAME!J419)</f>
        <v>840.4</v>
      </c>
      <c r="J417" s="24"/>
      <c r="K417" s="21">
        <f>IF(MonthlyFAME!L419=0,"",MonthlyFAME!L419)</f>
        <v>243.259426270739</v>
      </c>
      <c r="L417" s="21">
        <f>IF(MonthlyFAME!M419=0,"",MonthlyFAME!M419)</f>
        <v>2652.6</v>
      </c>
      <c r="M417" s="21" t="str">
        <f>IF(MonthlyFAME!N419=0,"",MonthlyFAME!N419)</f>
        <v/>
      </c>
      <c r="N417" s="21" t="str">
        <f>IF(MonthlyFAME!O419=0,"",MonthlyFAME!O419)</f>
        <v/>
      </c>
      <c r="O417" s="21" t="str">
        <f>IF(MonthlyFAME!P419=0,"",MonthlyFAME!P419)</f>
        <v/>
      </c>
      <c r="P417" s="21" t="str">
        <f>IF(MonthlyFAME!Q419=0,"",MonthlyFAME!Q419)</f>
        <v/>
      </c>
      <c r="Q417" s="21" t="str">
        <f>IF(MonthlyFAME!R419=0,"",MonthlyFAME!R419)</f>
        <v/>
      </c>
      <c r="R417" s="21" t="str">
        <f>IF(MonthlyFAME!S419=0,"",MonthlyFAME!S419)</f>
        <v/>
      </c>
      <c r="S417" s="21" t="str">
        <f>IF(MonthlyFAME!T419=0,"",MonthlyFAME!T419)</f>
        <v/>
      </c>
      <c r="T417" s="21">
        <f>IF(MonthlyFAME!U419=0,"",MonthlyFAME!U419)</f>
        <v>16.204545454545453</v>
      </c>
    </row>
    <row r="418" spans="1:20" x14ac:dyDescent="0.2">
      <c r="A418" s="23">
        <f>IF(MonthlyFAME!A420=0,"",MonthlyFAME!A420)</f>
        <v>34515</v>
      </c>
      <c r="B418" s="21" t="str">
        <f>IF(MonthlyFAME!B420=0,"",MonthlyFAME!B420)</f>
        <v/>
      </c>
      <c r="C418" s="21">
        <f>IF(MonthlyFAME!C420=0,"",MonthlyFAME!C420)</f>
        <v>77.900000000000006</v>
      </c>
      <c r="D418" s="21"/>
      <c r="E418" s="21">
        <f>IF(MonthlyFAME!F420=0,"",MonthlyFAME!F420)</f>
        <v>11118</v>
      </c>
      <c r="F418" s="21">
        <f>IF(MonthlyFAME!G420=0,"",MonthlyFAME!G420)</f>
        <v>11560</v>
      </c>
      <c r="G418" s="21">
        <f>IF(MonthlyFAME!H420=0,"",MonthlyFAME!H420)</f>
        <v>9.7066023344094798</v>
      </c>
      <c r="H418" s="21">
        <f>IF(MonthlyFAME!I420=0,"",MonthlyFAME!I420)</f>
        <v>25451</v>
      </c>
      <c r="I418" s="21">
        <f>IF(MonthlyFAME!J420=0,"",MonthlyFAME!J420)</f>
        <v>839.2</v>
      </c>
      <c r="J418" s="24"/>
      <c r="K418" s="21">
        <f>IF(MonthlyFAME!L420=0,"",MonthlyFAME!L420)</f>
        <v>243.94549158915399</v>
      </c>
      <c r="L418" s="21">
        <f>IF(MonthlyFAME!M420=0,"",MonthlyFAME!M420)</f>
        <v>2624.9</v>
      </c>
      <c r="M418" s="21" t="str">
        <f>IF(MonthlyFAME!N420=0,"",MonthlyFAME!N420)</f>
        <v/>
      </c>
      <c r="N418" s="21" t="str">
        <f>IF(MonthlyFAME!O420=0,"",MonthlyFAME!O420)</f>
        <v/>
      </c>
      <c r="O418" s="21" t="str">
        <f>IF(MonthlyFAME!P420=0,"",MonthlyFAME!P420)</f>
        <v/>
      </c>
      <c r="P418" s="21" t="str">
        <f>IF(MonthlyFAME!Q420=0,"",MonthlyFAME!Q420)</f>
        <v/>
      </c>
      <c r="Q418" s="21" t="str">
        <f>IF(MonthlyFAME!R420=0,"",MonthlyFAME!R420)</f>
        <v/>
      </c>
      <c r="R418" s="21" t="str">
        <f>IF(MonthlyFAME!S420=0,"",MonthlyFAME!S420)</f>
        <v/>
      </c>
      <c r="S418" s="21" t="str">
        <f>IF(MonthlyFAME!T420=0,"",MonthlyFAME!T420)</f>
        <v/>
      </c>
      <c r="T418" s="21">
        <f>IF(MonthlyFAME!U420=0,"",MonthlyFAME!U420)</f>
        <v>16.782727272727271</v>
      </c>
    </row>
    <row r="419" spans="1:20" x14ac:dyDescent="0.2">
      <c r="A419" s="23">
        <f>IF(MonthlyFAME!A421=0,"",MonthlyFAME!A421)</f>
        <v>34546</v>
      </c>
      <c r="B419" s="21" t="str">
        <f>IF(MonthlyFAME!B421=0,"",MonthlyFAME!B421)</f>
        <v/>
      </c>
      <c r="C419" s="21">
        <f>IF(MonthlyFAME!C421=0,"",MonthlyFAME!C421)</f>
        <v>78.3</v>
      </c>
      <c r="D419" s="21"/>
      <c r="E419" s="21">
        <f>IF(MonthlyFAME!F421=0,"",MonthlyFAME!F421)</f>
        <v>10652</v>
      </c>
      <c r="F419" s="21">
        <f>IF(MonthlyFAME!G421=0,"",MonthlyFAME!G421)</f>
        <v>11514</v>
      </c>
      <c r="G419" s="21">
        <f>IF(MonthlyFAME!H421=0,"",MonthlyFAME!H421)</f>
        <v>9.5850607703483224</v>
      </c>
      <c r="H419" s="21">
        <f>IF(MonthlyFAME!I421=0,"",MonthlyFAME!I421)</f>
        <v>25516</v>
      </c>
      <c r="I419" s="21">
        <f>IF(MonthlyFAME!J421=0,"",MonthlyFAME!J421)</f>
        <v>841.1</v>
      </c>
      <c r="J419" s="24"/>
      <c r="K419" s="21">
        <f>IF(MonthlyFAME!L421=0,"",MonthlyFAME!L421)</f>
        <v>244.777392208381</v>
      </c>
      <c r="L419" s="21">
        <f>IF(MonthlyFAME!M421=0,"",MonthlyFAME!M421)</f>
        <v>2593.5</v>
      </c>
      <c r="M419" s="21" t="str">
        <f>IF(MonthlyFAME!N421=0,"",MonthlyFAME!N421)</f>
        <v/>
      </c>
      <c r="N419" s="21" t="str">
        <f>IF(MonthlyFAME!O421=0,"",MonthlyFAME!O421)</f>
        <v/>
      </c>
      <c r="O419" s="21" t="str">
        <f>IF(MonthlyFAME!P421=0,"",MonthlyFAME!P421)</f>
        <v/>
      </c>
      <c r="P419" s="21" t="str">
        <f>IF(MonthlyFAME!Q421=0,"",MonthlyFAME!Q421)</f>
        <v/>
      </c>
      <c r="Q419" s="21" t="str">
        <f>IF(MonthlyFAME!R421=0,"",MonthlyFAME!R421)</f>
        <v/>
      </c>
      <c r="R419" s="21" t="str">
        <f>IF(MonthlyFAME!S421=0,"",MonthlyFAME!S421)</f>
        <v/>
      </c>
      <c r="S419" s="21" t="str">
        <f>IF(MonthlyFAME!T421=0,"",MonthlyFAME!T421)</f>
        <v/>
      </c>
      <c r="T419" s="21">
        <f>IF(MonthlyFAME!U421=0,"",MonthlyFAME!U421)</f>
        <v>17.604761904761904</v>
      </c>
    </row>
    <row r="420" spans="1:20" x14ac:dyDescent="0.2">
      <c r="A420" s="23">
        <f>IF(MonthlyFAME!A422=0,"",MonthlyFAME!A422)</f>
        <v>34577</v>
      </c>
      <c r="B420" s="21" t="str">
        <f>IF(MonthlyFAME!B422=0,"",MonthlyFAME!B422)</f>
        <v/>
      </c>
      <c r="C420" s="21">
        <f>IF(MonthlyFAME!C422=0,"",MonthlyFAME!C422)</f>
        <v>78.599999999999994</v>
      </c>
      <c r="D420" s="21"/>
      <c r="E420" s="21">
        <f>IF(MonthlyFAME!F422=0,"",MonthlyFAME!F422)</f>
        <v>11152</v>
      </c>
      <c r="F420" s="21">
        <f>IF(MonthlyFAME!G422=0,"",MonthlyFAME!G422)</f>
        <v>11317</v>
      </c>
      <c r="G420" s="21">
        <f>IF(MonthlyFAME!H422=0,"",MonthlyFAME!H422)</f>
        <v>9.5398468519568915</v>
      </c>
      <c r="H420" s="21">
        <f>IF(MonthlyFAME!I422=0,"",MonthlyFAME!I422)</f>
        <v>25517</v>
      </c>
      <c r="I420" s="21">
        <f>IF(MonthlyFAME!J422=0,"",MonthlyFAME!J422)</f>
        <v>843.9</v>
      </c>
      <c r="J420" s="24"/>
      <c r="K420" s="21">
        <f>IF(MonthlyFAME!L422=0,"",MonthlyFAME!L422)</f>
        <v>245.570765656573</v>
      </c>
      <c r="L420" s="21">
        <f>IF(MonthlyFAME!M422=0,"",MonthlyFAME!M422)</f>
        <v>2553.1999999999998</v>
      </c>
      <c r="M420" s="21" t="str">
        <f>IF(MonthlyFAME!N422=0,"",MonthlyFAME!N422)</f>
        <v/>
      </c>
      <c r="N420" s="21" t="str">
        <f>IF(MonthlyFAME!O422=0,"",MonthlyFAME!O422)</f>
        <v/>
      </c>
      <c r="O420" s="21" t="str">
        <f>IF(MonthlyFAME!P422=0,"",MonthlyFAME!P422)</f>
        <v/>
      </c>
      <c r="P420" s="21" t="str">
        <f>IF(MonthlyFAME!Q422=0,"",MonthlyFAME!Q422)</f>
        <v/>
      </c>
      <c r="Q420" s="21" t="str">
        <f>IF(MonthlyFAME!R422=0,"",MonthlyFAME!R422)</f>
        <v/>
      </c>
      <c r="R420" s="21" t="str">
        <f>IF(MonthlyFAME!S422=0,"",MonthlyFAME!S422)</f>
        <v/>
      </c>
      <c r="S420" s="21" t="str">
        <f>IF(MonthlyFAME!T422=0,"",MonthlyFAME!T422)</f>
        <v/>
      </c>
      <c r="T420" s="21">
        <f>IF(MonthlyFAME!U422=0,"",MonthlyFAME!U422)</f>
        <v>16.727826086956519</v>
      </c>
    </row>
    <row r="421" spans="1:20" x14ac:dyDescent="0.2">
      <c r="A421" s="23">
        <f>IF(MonthlyFAME!A423=0,"",MonthlyFAME!A423)</f>
        <v>34607</v>
      </c>
      <c r="B421" s="21" t="str">
        <f>IF(MonthlyFAME!B423=0,"",MonthlyFAME!B423)</f>
        <v/>
      </c>
      <c r="C421" s="21">
        <f>IF(MonthlyFAME!C423=0,"",MonthlyFAME!C423)</f>
        <v>79.3</v>
      </c>
      <c r="D421" s="21"/>
      <c r="E421" s="21">
        <f>IF(MonthlyFAME!F423=0,"",MonthlyFAME!F423)</f>
        <v>11026</v>
      </c>
      <c r="F421" s="21">
        <f>IF(MonthlyFAME!G423=0,"",MonthlyFAME!G423)</f>
        <v>11575</v>
      </c>
      <c r="G421" s="21">
        <f>IF(MonthlyFAME!H423=0,"",MonthlyFAME!H423)</f>
        <v>9.3588197744520887</v>
      </c>
      <c r="H421" s="21">
        <f>IF(MonthlyFAME!I423=0,"",MonthlyFAME!I423)</f>
        <v>25559</v>
      </c>
      <c r="I421" s="21">
        <f>IF(MonthlyFAME!J423=0,"",MonthlyFAME!J423)</f>
        <v>846.3</v>
      </c>
      <c r="J421" s="24"/>
      <c r="K421" s="21">
        <f>IF(MonthlyFAME!L423=0,"",MonthlyFAME!L423)</f>
        <v>245.772980459038</v>
      </c>
      <c r="L421" s="21">
        <f>IF(MonthlyFAME!M423=0,"",MonthlyFAME!M423)</f>
        <v>2524.5</v>
      </c>
      <c r="M421" s="21" t="str">
        <f>IF(MonthlyFAME!N423=0,"",MonthlyFAME!N423)</f>
        <v/>
      </c>
      <c r="N421" s="21" t="str">
        <f>IF(MonthlyFAME!O423=0,"",MonthlyFAME!O423)</f>
        <v/>
      </c>
      <c r="O421" s="21" t="str">
        <f>IF(MonthlyFAME!P423=0,"",MonthlyFAME!P423)</f>
        <v/>
      </c>
      <c r="P421" s="21" t="str">
        <f>IF(MonthlyFAME!Q423=0,"",MonthlyFAME!Q423)</f>
        <v/>
      </c>
      <c r="Q421" s="21" t="str">
        <f>IF(MonthlyFAME!R423=0,"",MonthlyFAME!R423)</f>
        <v/>
      </c>
      <c r="R421" s="21" t="str">
        <f>IF(MonthlyFAME!S423=0,"",MonthlyFAME!S423)</f>
        <v/>
      </c>
      <c r="S421" s="21" t="str">
        <f>IF(MonthlyFAME!T423=0,"",MonthlyFAME!T423)</f>
        <v/>
      </c>
      <c r="T421" s="21">
        <f>IF(MonthlyFAME!U423=0,"",MonthlyFAME!U423)</f>
        <v>15.830000000000002</v>
      </c>
    </row>
    <row r="422" spans="1:20" x14ac:dyDescent="0.2">
      <c r="A422" s="23">
        <f>IF(MonthlyFAME!A424=0,"",MonthlyFAME!A424)</f>
        <v>34638</v>
      </c>
      <c r="B422" s="21" t="str">
        <f>IF(MonthlyFAME!B424=0,"",MonthlyFAME!B424)</f>
        <v/>
      </c>
      <c r="C422" s="21">
        <f>IF(MonthlyFAME!C424=0,"",MonthlyFAME!C424)</f>
        <v>79.5</v>
      </c>
      <c r="D422" s="21"/>
      <c r="E422" s="21">
        <f>IF(MonthlyFAME!F424=0,"",MonthlyFAME!F424)</f>
        <v>11143</v>
      </c>
      <c r="F422" s="21">
        <f>IF(MonthlyFAME!G424=0,"",MonthlyFAME!G424)</f>
        <v>11749</v>
      </c>
      <c r="G422" s="21">
        <f>IF(MonthlyFAME!H424=0,"",MonthlyFAME!H424)</f>
        <v>9.2584046292023139</v>
      </c>
      <c r="H422" s="21">
        <f>IF(MonthlyFAME!I424=0,"",MonthlyFAME!I424)</f>
        <v>25561</v>
      </c>
      <c r="I422" s="21">
        <f>IF(MonthlyFAME!J424=0,"",MonthlyFAME!J424)</f>
        <v>846.4</v>
      </c>
      <c r="J422" s="24"/>
      <c r="K422" s="21">
        <f>IF(MonthlyFAME!L424=0,"",MonthlyFAME!L424)</f>
        <v>247.28117655662501</v>
      </c>
      <c r="L422" s="21">
        <f>IF(MonthlyFAME!M424=0,"",MonthlyFAME!M424)</f>
        <v>2484.9</v>
      </c>
      <c r="M422" s="21" t="str">
        <f>IF(MonthlyFAME!N424=0,"",MonthlyFAME!N424)</f>
        <v/>
      </c>
      <c r="N422" s="21" t="str">
        <f>IF(MonthlyFAME!O424=0,"",MonthlyFAME!O424)</f>
        <v/>
      </c>
      <c r="O422" s="21" t="str">
        <f>IF(MonthlyFAME!P424=0,"",MonthlyFAME!P424)</f>
        <v/>
      </c>
      <c r="P422" s="21" t="str">
        <f>IF(MonthlyFAME!Q424=0,"",MonthlyFAME!Q424)</f>
        <v/>
      </c>
      <c r="Q422" s="21" t="str">
        <f>IF(MonthlyFAME!R424=0,"",MonthlyFAME!R424)</f>
        <v/>
      </c>
      <c r="R422" s="21" t="str">
        <f>IF(MonthlyFAME!S424=0,"",MonthlyFAME!S424)</f>
        <v/>
      </c>
      <c r="S422" s="21" t="str">
        <f>IF(MonthlyFAME!T424=0,"",MonthlyFAME!T424)</f>
        <v/>
      </c>
      <c r="T422" s="21">
        <f>IF(MonthlyFAME!U424=0,"",MonthlyFAME!U424)</f>
        <v>16.457142857142859</v>
      </c>
    </row>
    <row r="423" spans="1:20" x14ac:dyDescent="0.2">
      <c r="A423" s="23">
        <f>IF(MonthlyFAME!A425=0,"",MonthlyFAME!A425)</f>
        <v>34668</v>
      </c>
      <c r="B423" s="21" t="str">
        <f>IF(MonthlyFAME!B425=0,"",MonthlyFAME!B425)</f>
        <v/>
      </c>
      <c r="C423" s="21">
        <f>IF(MonthlyFAME!C425=0,"",MonthlyFAME!C425)</f>
        <v>79.400000000000006</v>
      </c>
      <c r="D423" s="21"/>
      <c r="E423" s="21">
        <f>IF(MonthlyFAME!F425=0,"",MonthlyFAME!F425)</f>
        <v>11788</v>
      </c>
      <c r="F423" s="21">
        <f>IF(MonthlyFAME!G425=0,"",MonthlyFAME!G425)</f>
        <v>12016</v>
      </c>
      <c r="G423" s="21">
        <f>IF(MonthlyFAME!H425=0,"",MonthlyFAME!H425)</f>
        <v>9.0799289520426285</v>
      </c>
      <c r="H423" s="21">
        <f>IF(MonthlyFAME!I425=0,"",MonthlyFAME!I425)</f>
        <v>25594</v>
      </c>
      <c r="I423" s="21">
        <f>IF(MonthlyFAME!J425=0,"",MonthlyFAME!J425)</f>
        <v>847.1</v>
      </c>
      <c r="J423" s="24"/>
      <c r="K423" s="21">
        <f>IF(MonthlyFAME!L425=0,"",MonthlyFAME!L425)</f>
        <v>247.67617544886599</v>
      </c>
      <c r="L423" s="21">
        <f>IF(MonthlyFAME!M425=0,"",MonthlyFAME!M425)</f>
        <v>2453.5</v>
      </c>
      <c r="M423" s="21" t="str">
        <f>IF(MonthlyFAME!N425=0,"",MonthlyFAME!N425)</f>
        <v/>
      </c>
      <c r="N423" s="21" t="str">
        <f>IF(MonthlyFAME!O425=0,"",MonthlyFAME!O425)</f>
        <v/>
      </c>
      <c r="O423" s="21" t="str">
        <f>IF(MonthlyFAME!P425=0,"",MonthlyFAME!P425)</f>
        <v/>
      </c>
      <c r="P423" s="21" t="str">
        <f>IF(MonthlyFAME!Q425=0,"",MonthlyFAME!Q425)</f>
        <v/>
      </c>
      <c r="Q423" s="21" t="str">
        <f>IF(MonthlyFAME!R425=0,"",MonthlyFAME!R425)</f>
        <v/>
      </c>
      <c r="R423" s="21" t="str">
        <f>IF(MonthlyFAME!S425=0,"",MonthlyFAME!S425)</f>
        <v/>
      </c>
      <c r="S423" s="21" t="str">
        <f>IF(MonthlyFAME!T425=0,"",MonthlyFAME!T425)</f>
        <v/>
      </c>
      <c r="T423" s="21">
        <f>IF(MonthlyFAME!U425=0,"",MonthlyFAME!U425)</f>
        <v>17.217272727272729</v>
      </c>
    </row>
    <row r="424" spans="1:20" x14ac:dyDescent="0.2">
      <c r="A424" s="23">
        <f>IF(MonthlyFAME!A426=0,"",MonthlyFAME!A426)</f>
        <v>34699</v>
      </c>
      <c r="B424" s="21" t="str">
        <f>IF(MonthlyFAME!B426=0,"",MonthlyFAME!B426)</f>
        <v/>
      </c>
      <c r="C424" s="21">
        <f>IF(MonthlyFAME!C426=0,"",MonthlyFAME!C426)</f>
        <v>80.2</v>
      </c>
      <c r="D424" s="21"/>
      <c r="E424" s="21">
        <f>IF(MonthlyFAME!F426=0,"",MonthlyFAME!F426)</f>
        <v>11272</v>
      </c>
      <c r="F424" s="21">
        <f>IF(MonthlyFAME!G426=0,"",MonthlyFAME!G426)</f>
        <v>12228</v>
      </c>
      <c r="G424" s="21">
        <f>IF(MonthlyFAME!H426=0,"",MonthlyFAME!H426)</f>
        <v>8.9648305536787447</v>
      </c>
      <c r="H424" s="21">
        <f>IF(MonthlyFAME!I426=0,"",MonthlyFAME!I426)</f>
        <v>25600</v>
      </c>
      <c r="I424" s="21">
        <f>IF(MonthlyFAME!J426=0,"",MonthlyFAME!J426)</f>
        <v>853</v>
      </c>
      <c r="J424" s="24"/>
      <c r="K424" s="21">
        <f>IF(MonthlyFAME!L426=0,"",MonthlyFAME!L426)</f>
        <v>249.18369826761901</v>
      </c>
      <c r="L424" s="21">
        <f>IF(MonthlyFAME!M426=0,"",MonthlyFAME!M426)</f>
        <v>2407.4</v>
      </c>
      <c r="M424" s="21" t="str">
        <f>IF(MonthlyFAME!N426=0,"",MonthlyFAME!N426)</f>
        <v/>
      </c>
      <c r="N424" s="21" t="str">
        <f>IF(MonthlyFAME!O426=0,"",MonthlyFAME!O426)</f>
        <v/>
      </c>
      <c r="O424" s="21" t="str">
        <f>IF(MonthlyFAME!P426=0,"",MonthlyFAME!P426)</f>
        <v/>
      </c>
      <c r="P424" s="21" t="str">
        <f>IF(MonthlyFAME!Q426=0,"",MonthlyFAME!Q426)</f>
        <v/>
      </c>
      <c r="Q424" s="21" t="str">
        <f>IF(MonthlyFAME!R426=0,"",MonthlyFAME!R426)</f>
        <v/>
      </c>
      <c r="R424" s="21" t="str">
        <f>IF(MonthlyFAME!S426=0,"",MonthlyFAME!S426)</f>
        <v/>
      </c>
      <c r="S424" s="21" t="str">
        <f>IF(MonthlyFAME!T426=0,"",MonthlyFAME!T426)</f>
        <v/>
      </c>
      <c r="T424" s="21">
        <f>IF(MonthlyFAME!U426=0,"",MonthlyFAME!U426)</f>
        <v>15.855454545454551</v>
      </c>
    </row>
    <row r="425" spans="1:20" x14ac:dyDescent="0.2">
      <c r="A425" s="23">
        <f>IF(MonthlyFAME!A427=0,"",MonthlyFAME!A427)</f>
        <v>34730</v>
      </c>
      <c r="B425" s="21" t="str">
        <f>IF(MonthlyFAME!B427=0,"",MonthlyFAME!B427)</f>
        <v/>
      </c>
      <c r="C425" s="21">
        <f>IF(MonthlyFAME!C427=0,"",MonthlyFAME!C427)</f>
        <v>78.8</v>
      </c>
      <c r="D425" s="22"/>
      <c r="E425" s="21">
        <f>IF(MonthlyFAME!F427=0,"",MonthlyFAME!F427)</f>
        <v>11589</v>
      </c>
      <c r="F425" s="21">
        <f>IF(MonthlyFAME!G427=0,"",MonthlyFAME!G427)</f>
        <v>11737</v>
      </c>
      <c r="G425" s="21">
        <f>IF(MonthlyFAME!H427=0,"",MonthlyFAME!H427)</f>
        <v>8.8924501424501425</v>
      </c>
      <c r="H425" s="21">
        <f>IF(MonthlyFAME!I427=0,"",MonthlyFAME!I427)</f>
        <v>25583</v>
      </c>
      <c r="I425" s="21">
        <f>IF(MonthlyFAME!J427=0,"",MonthlyFAME!J427)</f>
        <v>854.5</v>
      </c>
      <c r="J425" s="24"/>
      <c r="K425" s="21">
        <f>IF(MonthlyFAME!L427=0,"",MonthlyFAME!L427)</f>
        <v>249.23628848145</v>
      </c>
      <c r="L425" s="21">
        <f>IF(MonthlyFAME!M427=0,"",MonthlyFAME!M427)</f>
        <v>2387.3000000000002</v>
      </c>
      <c r="M425" s="21" t="str">
        <f>IF(MonthlyFAME!N427=0,"",MonthlyFAME!N427)</f>
        <v/>
      </c>
      <c r="N425" s="21" t="str">
        <f>IF(MonthlyFAME!O427=0,"",MonthlyFAME!O427)</f>
        <v/>
      </c>
      <c r="O425" s="21" t="str">
        <f>IF(MonthlyFAME!P427=0,"",MonthlyFAME!P427)</f>
        <v/>
      </c>
      <c r="P425" s="21" t="str">
        <f>IF(MonthlyFAME!Q427=0,"",MonthlyFAME!Q427)</f>
        <v/>
      </c>
      <c r="Q425" s="21" t="str">
        <f>IF(MonthlyFAME!R427=0,"",MonthlyFAME!R427)</f>
        <v/>
      </c>
      <c r="R425" s="21" t="str">
        <f>IF(MonthlyFAME!S427=0,"",MonthlyFAME!S427)</f>
        <v/>
      </c>
      <c r="S425" s="21" t="str">
        <f>IF(MonthlyFAME!T427=0,"",MonthlyFAME!T427)</f>
        <v/>
      </c>
      <c r="T425" s="21">
        <f>IF(MonthlyFAME!U427=0,"",MonthlyFAME!U427)</f>
        <v>16.569545454545459</v>
      </c>
    </row>
    <row r="426" spans="1:20" x14ac:dyDescent="0.2">
      <c r="A426" s="23">
        <f>IF(MonthlyFAME!A428=0,"",MonthlyFAME!A428)</f>
        <v>34758</v>
      </c>
      <c r="B426" s="21" t="str">
        <f>IF(MonthlyFAME!B428=0,"",MonthlyFAME!B428)</f>
        <v/>
      </c>
      <c r="C426" s="21">
        <f>IF(MonthlyFAME!C428=0,"",MonthlyFAME!C428)</f>
        <v>78.900000000000006</v>
      </c>
      <c r="D426" s="22"/>
      <c r="E426" s="21">
        <f>IF(MonthlyFAME!F428=0,"",MonthlyFAME!F428)</f>
        <v>11657</v>
      </c>
      <c r="F426" s="21">
        <f>IF(MonthlyFAME!G428=0,"",MonthlyFAME!G428)</f>
        <v>11794</v>
      </c>
      <c r="G426" s="21">
        <f>IF(MonthlyFAME!H428=0,"",MonthlyFAME!H428)</f>
        <v>8.8718276818084885</v>
      </c>
      <c r="H426" s="21">
        <f>IF(MonthlyFAME!I428=0,"",MonthlyFAME!I428)</f>
        <v>25638</v>
      </c>
      <c r="I426" s="21">
        <f>IF(MonthlyFAME!J428=0,"",MonthlyFAME!J428)</f>
        <v>853.5</v>
      </c>
      <c r="J426" s="24"/>
      <c r="K426" s="21">
        <f>IF(MonthlyFAME!L428=0,"",MonthlyFAME!L428)</f>
        <v>250.12922335209299</v>
      </c>
      <c r="L426" s="21">
        <f>IF(MonthlyFAME!M428=0,"",MonthlyFAME!M428)</f>
        <v>2358.6</v>
      </c>
      <c r="M426" s="21" t="str">
        <f>IF(MonthlyFAME!N428=0,"",MonthlyFAME!N428)</f>
        <v/>
      </c>
      <c r="N426" s="21" t="str">
        <f>IF(MonthlyFAME!O428=0,"",MonthlyFAME!O428)</f>
        <v/>
      </c>
      <c r="O426" s="21" t="str">
        <f>IF(MonthlyFAME!P428=0,"",MonthlyFAME!P428)</f>
        <v/>
      </c>
      <c r="P426" s="21" t="str">
        <f>IF(MonthlyFAME!Q428=0,"",MonthlyFAME!Q428)</f>
        <v/>
      </c>
      <c r="Q426" s="21" t="str">
        <f>IF(MonthlyFAME!R428=0,"",MonthlyFAME!R428)</f>
        <v/>
      </c>
      <c r="R426" s="21" t="str">
        <f>IF(MonthlyFAME!S428=0,"",MonthlyFAME!S428)</f>
        <v/>
      </c>
      <c r="S426" s="21" t="str">
        <f>IF(MonthlyFAME!T428=0,"",MonthlyFAME!T428)</f>
        <v/>
      </c>
      <c r="T426" s="21">
        <f>IF(MonthlyFAME!U428=0,"",MonthlyFAME!U428)</f>
        <v>17.102499999999996</v>
      </c>
    </row>
    <row r="427" spans="1:20" x14ac:dyDescent="0.2">
      <c r="A427" s="23">
        <f>IF(MonthlyFAME!A429=0,"",MonthlyFAME!A429)</f>
        <v>34789</v>
      </c>
      <c r="B427" s="21" t="str">
        <f>IF(MonthlyFAME!B429=0,"",MonthlyFAME!B429)</f>
        <v/>
      </c>
      <c r="C427" s="21">
        <f>IF(MonthlyFAME!C429=0,"",MonthlyFAME!C429)</f>
        <v>79.2</v>
      </c>
      <c r="D427" s="22"/>
      <c r="E427" s="21">
        <f>IF(MonthlyFAME!F429=0,"",MonthlyFAME!F429)</f>
        <v>12032</v>
      </c>
      <c r="F427" s="21">
        <f>IF(MonthlyFAME!G429=0,"",MonthlyFAME!G429)</f>
        <v>12036</v>
      </c>
      <c r="G427" s="21">
        <f>IF(MonthlyFAME!H429=0,"",MonthlyFAME!H429)</f>
        <v>8.8649838463450141</v>
      </c>
      <c r="H427" s="21">
        <f>IF(MonthlyFAME!I429=0,"",MonthlyFAME!I429)</f>
        <v>25670</v>
      </c>
      <c r="I427" s="21">
        <f>IF(MonthlyFAME!J429=0,"",MonthlyFAME!J429)</f>
        <v>852.4</v>
      </c>
      <c r="J427" s="24"/>
      <c r="K427" s="21">
        <f>IF(MonthlyFAME!L429=0,"",MonthlyFAME!L429)</f>
        <v>250.998269161195</v>
      </c>
      <c r="L427" s="21">
        <f>IF(MonthlyFAME!M429=0,"",MonthlyFAME!M429)</f>
        <v>2341.9</v>
      </c>
      <c r="M427" s="21" t="str">
        <f>IF(MonthlyFAME!N429=0,"",MonthlyFAME!N429)</f>
        <v/>
      </c>
      <c r="N427" s="21" t="str">
        <f>IF(MonthlyFAME!O429=0,"",MonthlyFAME!O429)</f>
        <v/>
      </c>
      <c r="O427" s="21" t="str">
        <f>IF(MonthlyFAME!P429=0,"",MonthlyFAME!P429)</f>
        <v/>
      </c>
      <c r="P427" s="21" t="str">
        <f>IF(MonthlyFAME!Q429=0,"",MonthlyFAME!Q429)</f>
        <v/>
      </c>
      <c r="Q427" s="21" t="str">
        <f>IF(MonthlyFAME!R429=0,"",MonthlyFAME!R429)</f>
        <v/>
      </c>
      <c r="R427" s="21" t="str">
        <f>IF(MonthlyFAME!S429=0,"",MonthlyFAME!S429)</f>
        <v/>
      </c>
      <c r="S427" s="21" t="str">
        <f>IF(MonthlyFAME!T429=0,"",MonthlyFAME!T429)</f>
        <v/>
      </c>
      <c r="T427" s="21">
        <f>IF(MonthlyFAME!U429=0,"",MonthlyFAME!U429)</f>
        <v>17.002608695652174</v>
      </c>
    </row>
    <row r="428" spans="1:20" x14ac:dyDescent="0.2">
      <c r="A428" s="23">
        <f>IF(MonthlyFAME!A430=0,"",MonthlyFAME!A430)</f>
        <v>34819</v>
      </c>
      <c r="B428" s="21" t="str">
        <f>IF(MonthlyFAME!B430=0,"",MonthlyFAME!B430)</f>
        <v/>
      </c>
      <c r="C428" s="21">
        <f>IF(MonthlyFAME!C430=0,"",MonthlyFAME!C430)</f>
        <v>79.8</v>
      </c>
      <c r="D428" s="22"/>
      <c r="E428" s="21">
        <f>IF(MonthlyFAME!F430=0,"",MonthlyFAME!F430)</f>
        <v>11431</v>
      </c>
      <c r="F428" s="21">
        <f>IF(MonthlyFAME!G430=0,"",MonthlyFAME!G430)</f>
        <v>12087</v>
      </c>
      <c r="G428" s="21">
        <f>IF(MonthlyFAME!H430=0,"",MonthlyFAME!H430)</f>
        <v>8.8313530767866641</v>
      </c>
      <c r="H428" s="21">
        <f>IF(MonthlyFAME!I430=0,"",MonthlyFAME!I430)</f>
        <v>25705</v>
      </c>
      <c r="I428" s="21">
        <f>IF(MonthlyFAME!J430=0,"",MonthlyFAME!J430)</f>
        <v>854.4</v>
      </c>
      <c r="J428" s="24"/>
      <c r="K428" s="21">
        <f>IF(MonthlyFAME!L430=0,"",MonthlyFAME!L430)</f>
        <v>250.654193095529</v>
      </c>
      <c r="L428" s="21">
        <f>IF(MonthlyFAME!M430=0,"",MonthlyFAME!M430)</f>
        <v>2319.6</v>
      </c>
      <c r="M428" s="21" t="str">
        <f>IF(MonthlyFAME!N430=0,"",MonthlyFAME!N430)</f>
        <v/>
      </c>
      <c r="N428" s="21" t="str">
        <f>IF(MonthlyFAME!O430=0,"",MonthlyFAME!O430)</f>
        <v/>
      </c>
      <c r="O428" s="21" t="str">
        <f>IF(MonthlyFAME!P430=0,"",MonthlyFAME!P430)</f>
        <v/>
      </c>
      <c r="P428" s="21" t="str">
        <f>IF(MonthlyFAME!Q430=0,"",MonthlyFAME!Q430)</f>
        <v/>
      </c>
      <c r="Q428" s="21" t="str">
        <f>IF(MonthlyFAME!R430=0,"",MonthlyFAME!R430)</f>
        <v/>
      </c>
      <c r="R428" s="21" t="str">
        <f>IF(MonthlyFAME!S430=0,"",MonthlyFAME!S430)</f>
        <v/>
      </c>
      <c r="S428" s="21" t="str">
        <f>IF(MonthlyFAME!T430=0,"",MonthlyFAME!T430)</f>
        <v/>
      </c>
      <c r="T428" s="21">
        <f>IF(MonthlyFAME!U430=0,"",MonthlyFAME!U430)</f>
        <v>18.61</v>
      </c>
    </row>
    <row r="429" spans="1:20" x14ac:dyDescent="0.2">
      <c r="A429" s="23">
        <f>IF(MonthlyFAME!A431=0,"",MonthlyFAME!A431)</f>
        <v>34850</v>
      </c>
      <c r="B429" s="21" t="str">
        <f>IF(MonthlyFAME!B431=0,"",MonthlyFAME!B431)</f>
        <v/>
      </c>
      <c r="C429" s="21">
        <f>IF(MonthlyFAME!C431=0,"",MonthlyFAME!C431)</f>
        <v>79.7</v>
      </c>
      <c r="D429" s="22"/>
      <c r="E429" s="21">
        <f>IF(MonthlyFAME!F431=0,"",MonthlyFAME!F431)</f>
        <v>11742</v>
      </c>
      <c r="F429" s="21">
        <f>IF(MonthlyFAME!G431=0,"",MonthlyFAME!G431)</f>
        <v>12310</v>
      </c>
      <c r="G429" s="21">
        <f>IF(MonthlyFAME!H431=0,"",MonthlyFAME!H431)</f>
        <v>8.7676380911862726</v>
      </c>
      <c r="H429" s="21">
        <f>IF(MonthlyFAME!I431=0,"",MonthlyFAME!I431)</f>
        <v>25733</v>
      </c>
      <c r="I429" s="21">
        <f>IF(MonthlyFAME!J431=0,"",MonthlyFAME!J431)</f>
        <v>855.9</v>
      </c>
      <c r="J429" s="24"/>
      <c r="K429" s="21">
        <f>IF(MonthlyFAME!L431=0,"",MonthlyFAME!L431)</f>
        <v>251.26440110431599</v>
      </c>
      <c r="L429" s="21">
        <f>IF(MonthlyFAME!M431=0,"",MonthlyFAME!M431)</f>
        <v>2307.1</v>
      </c>
      <c r="M429" s="21" t="str">
        <f>IF(MonthlyFAME!N431=0,"",MonthlyFAME!N431)</f>
        <v/>
      </c>
      <c r="N429" s="21" t="str">
        <f>IF(MonthlyFAME!O431=0,"",MonthlyFAME!O431)</f>
        <v/>
      </c>
      <c r="O429" s="21" t="str">
        <f>IF(MonthlyFAME!P431=0,"",MonthlyFAME!P431)</f>
        <v/>
      </c>
      <c r="P429" s="21" t="str">
        <f>IF(MonthlyFAME!Q431=0,"",MonthlyFAME!Q431)</f>
        <v/>
      </c>
      <c r="Q429" s="21" t="str">
        <f>IF(MonthlyFAME!R431=0,"",MonthlyFAME!R431)</f>
        <v/>
      </c>
      <c r="R429" s="21" t="str">
        <f>IF(MonthlyFAME!S431=0,"",MonthlyFAME!S431)</f>
        <v/>
      </c>
      <c r="S429" s="21" t="str">
        <f>IF(MonthlyFAME!T431=0,"",MonthlyFAME!T431)</f>
        <v/>
      </c>
      <c r="T429" s="21">
        <f>IF(MonthlyFAME!U431=0,"",MonthlyFAME!U431)</f>
        <v>18.315652173913044</v>
      </c>
    </row>
    <row r="430" spans="1:20" x14ac:dyDescent="0.2">
      <c r="A430" s="23">
        <f>IF(MonthlyFAME!A432=0,"",MonthlyFAME!A432)</f>
        <v>34880</v>
      </c>
      <c r="B430" s="21" t="str">
        <f>IF(MonthlyFAME!B432=0,"",MonthlyFAME!B432)</f>
        <v/>
      </c>
      <c r="C430" s="21">
        <f>IF(MonthlyFAME!C432=0,"",MonthlyFAME!C432)</f>
        <v>79.2</v>
      </c>
      <c r="D430" s="22"/>
      <c r="E430" s="21">
        <f>IF(MonthlyFAME!F432=0,"",MonthlyFAME!F432)</f>
        <v>11904</v>
      </c>
      <c r="F430" s="21">
        <f>IF(MonthlyFAME!G432=0,"",MonthlyFAME!G432)</f>
        <v>12372</v>
      </c>
      <c r="G430" s="21">
        <f>IF(MonthlyFAME!H432=0,"",MonthlyFAME!H432)</f>
        <v>8.6656034024455071</v>
      </c>
      <c r="H430" s="21">
        <f>IF(MonthlyFAME!I432=0,"",MonthlyFAME!I432)</f>
        <v>25770</v>
      </c>
      <c r="I430" s="21">
        <f>IF(MonthlyFAME!J432=0,"",MonthlyFAME!J432)</f>
        <v>854.2</v>
      </c>
      <c r="J430" s="24"/>
      <c r="K430" s="21">
        <f>IF(MonthlyFAME!L432=0,"",MonthlyFAME!L432)</f>
        <v>251.76532516916899</v>
      </c>
      <c r="L430" s="21">
        <f>IF(MonthlyFAME!M432=0,"",MonthlyFAME!M432)</f>
        <v>2294</v>
      </c>
      <c r="M430" s="21" t="str">
        <f>IF(MonthlyFAME!N432=0,"",MonthlyFAME!N432)</f>
        <v/>
      </c>
      <c r="N430" s="21" t="str">
        <f>IF(MonthlyFAME!O432=0,"",MonthlyFAME!O432)</f>
        <v/>
      </c>
      <c r="O430" s="21" t="str">
        <f>IF(MonthlyFAME!P432=0,"",MonthlyFAME!P432)</f>
        <v/>
      </c>
      <c r="P430" s="21" t="str">
        <f>IF(MonthlyFAME!Q432=0,"",MonthlyFAME!Q432)</f>
        <v/>
      </c>
      <c r="Q430" s="21" t="str">
        <f>IF(MonthlyFAME!R432=0,"",MonthlyFAME!R432)</f>
        <v/>
      </c>
      <c r="R430" s="21" t="str">
        <f>IF(MonthlyFAME!S432=0,"",MonthlyFAME!S432)</f>
        <v/>
      </c>
      <c r="S430" s="21" t="str">
        <f>IF(MonthlyFAME!T432=0,"",MonthlyFAME!T432)</f>
        <v/>
      </c>
      <c r="T430" s="21">
        <f>IF(MonthlyFAME!U432=0,"",MonthlyFAME!U432)</f>
        <v>17.332272727272727</v>
      </c>
    </row>
    <row r="431" spans="1:20" x14ac:dyDescent="0.2">
      <c r="A431" s="23">
        <f>IF(MonthlyFAME!A433=0,"",MonthlyFAME!A433)</f>
        <v>34911</v>
      </c>
      <c r="B431" s="21" t="str">
        <f>IF(MonthlyFAME!B433=0,"",MonthlyFAME!B433)</f>
        <v/>
      </c>
      <c r="C431" s="21">
        <f>IF(MonthlyFAME!C433=0,"",MonthlyFAME!C433)</f>
        <v>79.7</v>
      </c>
      <c r="D431" s="22"/>
      <c r="E431" s="21">
        <f>IF(MonthlyFAME!F433=0,"",MonthlyFAME!F433)</f>
        <v>11949</v>
      </c>
      <c r="F431" s="21">
        <f>IF(MonthlyFAME!G433=0,"",MonthlyFAME!G433)</f>
        <v>12276</v>
      </c>
      <c r="G431" s="21">
        <f>IF(MonthlyFAME!H433=0,"",MonthlyFAME!H433)</f>
        <v>8.6688622118346963</v>
      </c>
      <c r="H431" s="21">
        <f>IF(MonthlyFAME!I433=0,"",MonthlyFAME!I433)</f>
        <v>25791</v>
      </c>
      <c r="I431" s="21">
        <f>IF(MonthlyFAME!J433=0,"",MonthlyFAME!J433)</f>
        <v>855.1</v>
      </c>
      <c r="J431" s="24"/>
      <c r="K431" s="21">
        <f>IF(MonthlyFAME!L433=0,"",MonthlyFAME!L433)</f>
        <v>251.547032413881</v>
      </c>
      <c r="L431" s="21">
        <f>IF(MonthlyFAME!M433=0,"",MonthlyFAME!M433)</f>
        <v>2283.5</v>
      </c>
      <c r="M431" s="21" t="str">
        <f>IF(MonthlyFAME!N433=0,"",MonthlyFAME!N433)</f>
        <v/>
      </c>
      <c r="N431" s="21" t="str">
        <f>IF(MonthlyFAME!O433=0,"",MonthlyFAME!O433)</f>
        <v/>
      </c>
      <c r="O431" s="21" t="str">
        <f>IF(MonthlyFAME!P433=0,"",MonthlyFAME!P433)</f>
        <v/>
      </c>
      <c r="P431" s="21" t="str">
        <f>IF(MonthlyFAME!Q433=0,"",MonthlyFAME!Q433)</f>
        <v/>
      </c>
      <c r="Q431" s="21" t="str">
        <f>IF(MonthlyFAME!R433=0,"",MonthlyFAME!R433)</f>
        <v/>
      </c>
      <c r="R431" s="21" t="str">
        <f>IF(MonthlyFAME!S433=0,"",MonthlyFAME!S433)</f>
        <v/>
      </c>
      <c r="S431" s="21" t="str">
        <f>IF(MonthlyFAME!T433=0,"",MonthlyFAME!T433)</f>
        <v/>
      </c>
      <c r="T431" s="21">
        <f>IF(MonthlyFAME!U433=0,"",MonthlyFAME!U433)</f>
        <v>15.852380952380951</v>
      </c>
    </row>
    <row r="432" spans="1:20" x14ac:dyDescent="0.2">
      <c r="A432" s="23">
        <f>IF(MonthlyFAME!A434=0,"",MonthlyFAME!A434)</f>
        <v>34942</v>
      </c>
      <c r="B432" s="21" t="str">
        <f>IF(MonthlyFAME!B434=0,"",MonthlyFAME!B434)</f>
        <v/>
      </c>
      <c r="C432" s="21">
        <f>IF(MonthlyFAME!C434=0,"",MonthlyFAME!C434)</f>
        <v>79.8</v>
      </c>
      <c r="D432" s="22"/>
      <c r="E432" s="21">
        <f>IF(MonthlyFAME!F434=0,"",MonthlyFAME!F434)</f>
        <v>12198</v>
      </c>
      <c r="F432" s="21">
        <f>IF(MonthlyFAME!G434=0,"",MonthlyFAME!G434)</f>
        <v>12668</v>
      </c>
      <c r="G432" s="21">
        <f>IF(MonthlyFAME!H434=0,"",MonthlyFAME!H434)</f>
        <v>8.6253845881812072</v>
      </c>
      <c r="H432" s="21">
        <f>IF(MonthlyFAME!I434=0,"",MonthlyFAME!I434)</f>
        <v>25838</v>
      </c>
      <c r="I432" s="21">
        <f>IF(MonthlyFAME!J434=0,"",MonthlyFAME!J434)</f>
        <v>855.5</v>
      </c>
      <c r="J432" s="24"/>
      <c r="K432" s="21">
        <f>IF(MonthlyFAME!L434=0,"",MonthlyFAME!L434)</f>
        <v>252.171289040879</v>
      </c>
      <c r="L432" s="21">
        <f>IF(MonthlyFAME!M434=0,"",MonthlyFAME!M434)</f>
        <v>2260.6999999999998</v>
      </c>
      <c r="M432" s="21" t="str">
        <f>IF(MonthlyFAME!N434=0,"",MonthlyFAME!N434)</f>
        <v/>
      </c>
      <c r="N432" s="21" t="str">
        <f>IF(MonthlyFAME!O434=0,"",MonthlyFAME!O434)</f>
        <v/>
      </c>
      <c r="O432" s="21" t="str">
        <f>IF(MonthlyFAME!P434=0,"",MonthlyFAME!P434)</f>
        <v/>
      </c>
      <c r="P432" s="21" t="str">
        <f>IF(MonthlyFAME!Q434=0,"",MonthlyFAME!Q434)</f>
        <v/>
      </c>
      <c r="Q432" s="21" t="str">
        <f>IF(MonthlyFAME!R434=0,"",MonthlyFAME!R434)</f>
        <v/>
      </c>
      <c r="R432" s="21" t="str">
        <f>IF(MonthlyFAME!S434=0,"",MonthlyFAME!S434)</f>
        <v/>
      </c>
      <c r="S432" s="21" t="str">
        <f>IF(MonthlyFAME!T434=0,"",MonthlyFAME!T434)</f>
        <v/>
      </c>
      <c r="T432" s="21">
        <f>IF(MonthlyFAME!U434=0,"",MonthlyFAME!U434)</f>
        <v>16.077826086956524</v>
      </c>
    </row>
    <row r="433" spans="1:20" x14ac:dyDescent="0.2">
      <c r="A433" s="23">
        <f>IF(MonthlyFAME!A435=0,"",MonthlyFAME!A435)</f>
        <v>34972</v>
      </c>
      <c r="B433" s="21" t="str">
        <f>IF(MonthlyFAME!B435=0,"",MonthlyFAME!B435)</f>
        <v/>
      </c>
      <c r="C433" s="21">
        <f>IF(MonthlyFAME!C435=0,"",MonthlyFAME!C435)</f>
        <v>80.099999999999994</v>
      </c>
      <c r="D433" s="22"/>
      <c r="E433" s="21">
        <f>IF(MonthlyFAME!F435=0,"",MonthlyFAME!F435)</f>
        <v>12394</v>
      </c>
      <c r="F433" s="21">
        <f>IF(MonthlyFAME!G435=0,"",MonthlyFAME!G435)</f>
        <v>12742</v>
      </c>
      <c r="G433" s="21">
        <f>IF(MonthlyFAME!H435=0,"",MonthlyFAME!H435)</f>
        <v>8.6469486554295205</v>
      </c>
      <c r="H433" s="21">
        <f>IF(MonthlyFAME!I435=0,"",MonthlyFAME!I435)</f>
        <v>25852</v>
      </c>
      <c r="I433" s="21">
        <f>IF(MonthlyFAME!J435=0,"",MonthlyFAME!J435)</f>
        <v>854.9</v>
      </c>
      <c r="J433" s="24"/>
      <c r="K433" s="21">
        <f>IF(MonthlyFAME!L435=0,"",MonthlyFAME!L435)</f>
        <v>252.96808800708399</v>
      </c>
      <c r="L433" s="21">
        <f>IF(MonthlyFAME!M435=0,"",MonthlyFAME!M435)</f>
        <v>2233.9</v>
      </c>
      <c r="M433" s="21" t="str">
        <f>IF(MonthlyFAME!N435=0,"",MonthlyFAME!N435)</f>
        <v/>
      </c>
      <c r="N433" s="21" t="str">
        <f>IF(MonthlyFAME!O435=0,"",MonthlyFAME!O435)</f>
        <v/>
      </c>
      <c r="O433" s="21" t="str">
        <f>IF(MonthlyFAME!P435=0,"",MonthlyFAME!P435)</f>
        <v/>
      </c>
      <c r="P433" s="21" t="str">
        <f>IF(MonthlyFAME!Q435=0,"",MonthlyFAME!Q435)</f>
        <v/>
      </c>
      <c r="Q433" s="21" t="str">
        <f>IF(MonthlyFAME!R435=0,"",MonthlyFAME!R435)</f>
        <v/>
      </c>
      <c r="R433" s="21" t="str">
        <f>IF(MonthlyFAME!S435=0,"",MonthlyFAME!S435)</f>
        <v/>
      </c>
      <c r="S433" s="21" t="str">
        <f>IF(MonthlyFAME!T435=0,"",MonthlyFAME!T435)</f>
        <v/>
      </c>
      <c r="T433" s="21">
        <f>IF(MonthlyFAME!U435=0,"",MonthlyFAME!U435)</f>
        <v>16.70428571428571</v>
      </c>
    </row>
    <row r="434" spans="1:20" x14ac:dyDescent="0.2">
      <c r="A434" s="23">
        <f>IF(MonthlyFAME!A436=0,"",MonthlyFAME!A436)</f>
        <v>35003</v>
      </c>
      <c r="B434" s="21" t="str">
        <f>IF(MonthlyFAME!B436=0,"",MonthlyFAME!B436)</f>
        <v/>
      </c>
      <c r="C434" s="21">
        <f>IF(MonthlyFAME!C436=0,"",MonthlyFAME!C436)</f>
        <v>79.8</v>
      </c>
      <c r="D434" s="22"/>
      <c r="E434" s="21">
        <f>IF(MonthlyFAME!F436=0,"",MonthlyFAME!F436)</f>
        <v>11937</v>
      </c>
      <c r="F434" s="21">
        <f>IF(MonthlyFAME!G436=0,"",MonthlyFAME!G436)</f>
        <v>12859</v>
      </c>
      <c r="G434" s="21">
        <f>IF(MonthlyFAME!H436=0,"",MonthlyFAME!H436)</f>
        <v>8.6127106369449251</v>
      </c>
      <c r="H434" s="21">
        <f>IF(MonthlyFAME!I436=0,"",MonthlyFAME!I436)</f>
        <v>25869</v>
      </c>
      <c r="I434" s="21">
        <f>IF(MonthlyFAME!J436=0,"",MonthlyFAME!J436)</f>
        <v>854.1</v>
      </c>
      <c r="J434" s="24"/>
      <c r="K434" s="21">
        <f>IF(MonthlyFAME!L436=0,"",MonthlyFAME!L436)</f>
        <v>254.65983512924899</v>
      </c>
      <c r="L434" s="21">
        <f>IF(MonthlyFAME!M436=0,"",MonthlyFAME!M436)</f>
        <v>2238.6999999999998</v>
      </c>
      <c r="M434" s="21" t="str">
        <f>IF(MonthlyFAME!N436=0,"",MonthlyFAME!N436)</f>
        <v/>
      </c>
      <c r="N434" s="21" t="str">
        <f>IF(MonthlyFAME!O436=0,"",MonthlyFAME!O436)</f>
        <v/>
      </c>
      <c r="O434" s="21" t="str">
        <f>IF(MonthlyFAME!P436=0,"",MonthlyFAME!P436)</f>
        <v/>
      </c>
      <c r="P434" s="21" t="str">
        <f>IF(MonthlyFAME!Q436=0,"",MonthlyFAME!Q436)</f>
        <v/>
      </c>
      <c r="Q434" s="21" t="str">
        <f>IF(MonthlyFAME!R436=0,"",MonthlyFAME!R436)</f>
        <v/>
      </c>
      <c r="R434" s="21" t="str">
        <f>IF(MonthlyFAME!S436=0,"",MonthlyFAME!S436)</f>
        <v/>
      </c>
      <c r="S434" s="21" t="str">
        <f>IF(MonthlyFAME!T436=0,"",MonthlyFAME!T436)</f>
        <v/>
      </c>
      <c r="T434" s="21">
        <f>IF(MonthlyFAME!U436=0,"",MonthlyFAME!U436)</f>
        <v>16.13</v>
      </c>
    </row>
    <row r="435" spans="1:20" x14ac:dyDescent="0.2">
      <c r="A435" s="23">
        <f>IF(MonthlyFAME!A437=0,"",MonthlyFAME!A437)</f>
        <v>35033</v>
      </c>
      <c r="B435" s="21" t="str">
        <f>IF(MonthlyFAME!B437=0,"",MonthlyFAME!B437)</f>
        <v/>
      </c>
      <c r="C435" s="21">
        <f>IF(MonthlyFAME!C437=0,"",MonthlyFAME!C437)</f>
        <v>80.2</v>
      </c>
      <c r="D435" s="22"/>
      <c r="E435" s="21">
        <f>IF(MonthlyFAME!F437=0,"",MonthlyFAME!F437)</f>
        <v>12880</v>
      </c>
      <c r="F435" s="21">
        <f>IF(MonthlyFAME!G437=0,"",MonthlyFAME!G437)</f>
        <v>12750</v>
      </c>
      <c r="G435" s="21">
        <f>IF(MonthlyFAME!H437=0,"",MonthlyFAME!H437)</f>
        <v>8.5511443910709239</v>
      </c>
      <c r="H435" s="21">
        <f>IF(MonthlyFAME!I437=0,"",MonthlyFAME!I437)</f>
        <v>25891</v>
      </c>
      <c r="I435" s="21">
        <f>IF(MonthlyFAME!J437=0,"",MonthlyFAME!J437)</f>
        <v>854.7</v>
      </c>
      <c r="J435" s="24"/>
      <c r="K435" s="21">
        <f>IF(MonthlyFAME!L437=0,"",MonthlyFAME!L437)</f>
        <v>255.79473754704799</v>
      </c>
      <c r="L435" s="21">
        <f>IF(MonthlyFAME!M437=0,"",MonthlyFAME!M437)</f>
        <v>2228.8000000000002</v>
      </c>
      <c r="M435" s="21" t="str">
        <f>IF(MonthlyFAME!N437=0,"",MonthlyFAME!N437)</f>
        <v/>
      </c>
      <c r="N435" s="21" t="str">
        <f>IF(MonthlyFAME!O437=0,"",MonthlyFAME!O437)</f>
        <v/>
      </c>
      <c r="O435" s="21" t="str">
        <f>IF(MonthlyFAME!P437=0,"",MonthlyFAME!P437)</f>
        <v/>
      </c>
      <c r="P435" s="21" t="str">
        <f>IF(MonthlyFAME!Q437=0,"",MonthlyFAME!Q437)</f>
        <v/>
      </c>
      <c r="Q435" s="21" t="str">
        <f>IF(MonthlyFAME!R437=0,"",MonthlyFAME!R437)</f>
        <v/>
      </c>
      <c r="R435" s="21" t="str">
        <f>IF(MonthlyFAME!S437=0,"",MonthlyFAME!S437)</f>
        <v/>
      </c>
      <c r="S435" s="21" t="str">
        <f>IF(MonthlyFAME!T437=0,"",MonthlyFAME!T437)</f>
        <v/>
      </c>
      <c r="T435" s="21">
        <f>IF(MonthlyFAME!U437=0,"",MonthlyFAME!U437)</f>
        <v>16.85318181818182</v>
      </c>
    </row>
    <row r="436" spans="1:20" x14ac:dyDescent="0.2">
      <c r="A436" s="23">
        <f>IF(MonthlyFAME!A438=0,"",MonthlyFAME!A438)</f>
        <v>35064</v>
      </c>
      <c r="B436" s="21" t="str">
        <f>IF(MonthlyFAME!B438=0,"",MonthlyFAME!B438)</f>
        <v/>
      </c>
      <c r="C436" s="21">
        <f>IF(MonthlyFAME!C438=0,"",MonthlyFAME!C438)</f>
        <v>80.7</v>
      </c>
      <c r="D436" s="22"/>
      <c r="E436" s="21">
        <f>IF(MonthlyFAME!F438=0,"",MonthlyFAME!F438)</f>
        <v>12270</v>
      </c>
      <c r="F436" s="21">
        <f>IF(MonthlyFAME!G438=0,"",MonthlyFAME!G438)</f>
        <v>12585</v>
      </c>
      <c r="G436" s="21">
        <f>IF(MonthlyFAME!H438=0,"",MonthlyFAME!H438)</f>
        <v>8.3042173989765313</v>
      </c>
      <c r="H436" s="21">
        <f>IF(MonthlyFAME!I438=0,"",MonthlyFAME!I438)</f>
        <v>25982</v>
      </c>
      <c r="I436" s="21">
        <f>IF(MonthlyFAME!J438=0,"",MonthlyFAME!J438)</f>
        <v>859.7</v>
      </c>
      <c r="J436" s="24"/>
      <c r="K436" s="21">
        <f>IF(MonthlyFAME!L438=0,"",MonthlyFAME!L438)</f>
        <v>255.81255058674799</v>
      </c>
      <c r="L436" s="21">
        <f>IF(MonthlyFAME!M438=0,"",MonthlyFAME!M438)</f>
        <v>2221.8000000000002</v>
      </c>
      <c r="M436" s="21" t="str">
        <f>IF(MonthlyFAME!N438=0,"",MonthlyFAME!N438)</f>
        <v/>
      </c>
      <c r="N436" s="21" t="str">
        <f>IF(MonthlyFAME!O438=0,"",MonthlyFAME!O438)</f>
        <v/>
      </c>
      <c r="O436" s="21" t="str">
        <f>IF(MonthlyFAME!P438=0,"",MonthlyFAME!P438)</f>
        <v/>
      </c>
      <c r="P436" s="21" t="str">
        <f>IF(MonthlyFAME!Q438=0,"",MonthlyFAME!Q438)</f>
        <v/>
      </c>
      <c r="Q436" s="21" t="str">
        <f>IF(MonthlyFAME!R438=0,"",MonthlyFAME!R438)</f>
        <v/>
      </c>
      <c r="R436" s="21" t="str">
        <f>IF(MonthlyFAME!S438=0,"",MonthlyFAME!S438)</f>
        <v/>
      </c>
      <c r="S436" s="21" t="str">
        <f>IF(MonthlyFAME!T438=0,"",MonthlyFAME!T438)</f>
        <v/>
      </c>
      <c r="T436" s="21">
        <f>IF(MonthlyFAME!U438=0,"",MonthlyFAME!U438)</f>
        <v>18.017142857142858</v>
      </c>
    </row>
    <row r="437" spans="1:20" x14ac:dyDescent="0.2">
      <c r="A437" s="23">
        <f>IF(MonthlyFAME!A439=0,"",MonthlyFAME!A439)</f>
        <v>35095</v>
      </c>
      <c r="B437" s="21" t="str">
        <f>IF(MonthlyFAME!B439=0,"",MonthlyFAME!B439)</f>
        <v/>
      </c>
      <c r="C437" s="21">
        <f>IF(MonthlyFAME!C439=0,"",MonthlyFAME!C439)</f>
        <v>80.3</v>
      </c>
      <c r="D437" s="22"/>
      <c r="E437" s="21">
        <f>IF(MonthlyFAME!F439=0,"",MonthlyFAME!F439)</f>
        <v>12553</v>
      </c>
      <c r="F437" s="21">
        <f>IF(MonthlyFAME!G439=0,"",MonthlyFAME!G439)</f>
        <v>13067</v>
      </c>
      <c r="G437" s="21">
        <f>IF(MonthlyFAME!H439=0,"",MonthlyFAME!H439)</f>
        <v>8.3803412776759281</v>
      </c>
      <c r="H437" s="21">
        <f>IF(MonthlyFAME!I439=0,"",MonthlyFAME!I439)</f>
        <v>25987</v>
      </c>
      <c r="I437" s="21">
        <f>IF(MonthlyFAME!J439=0,"",MonthlyFAME!J439)</f>
        <v>861.8</v>
      </c>
      <c r="J437" s="24"/>
      <c r="K437" s="21">
        <f>IF(MonthlyFAME!L439=0,"",MonthlyFAME!L439)</f>
        <v>256.34391498247498</v>
      </c>
      <c r="L437" s="21">
        <f>IF(MonthlyFAME!M439=0,"",MonthlyFAME!M439)</f>
        <v>2198.4</v>
      </c>
      <c r="M437" s="21" t="str">
        <f>IF(MonthlyFAME!N439=0,"",MonthlyFAME!N439)</f>
        <v/>
      </c>
      <c r="N437" s="21" t="str">
        <f>IF(MonthlyFAME!O439=0,"",MonthlyFAME!O439)</f>
        <v/>
      </c>
      <c r="O437" s="21" t="str">
        <f>IF(MonthlyFAME!P439=0,"",MonthlyFAME!P439)</f>
        <v/>
      </c>
      <c r="P437" s="21" t="str">
        <f>IF(MonthlyFAME!Q439=0,"",MonthlyFAME!Q439)</f>
        <v/>
      </c>
      <c r="Q437" s="21" t="str">
        <f>IF(MonthlyFAME!R439=0,"",MonthlyFAME!R439)</f>
        <v/>
      </c>
      <c r="R437" s="21" t="str">
        <f>IF(MonthlyFAME!S439=0,"",MonthlyFAME!S439)</f>
        <v/>
      </c>
      <c r="S437" s="21" t="str">
        <f>IF(MonthlyFAME!T439=0,"",MonthlyFAME!T439)</f>
        <v/>
      </c>
      <c r="T437" s="21">
        <f>IF(MonthlyFAME!U439=0,"",MonthlyFAME!U439)</f>
        <v>17.926956521739129</v>
      </c>
    </row>
    <row r="438" spans="1:20" x14ac:dyDescent="0.2">
      <c r="A438" s="23">
        <f>IF(MonthlyFAME!A440=0,"",MonthlyFAME!A440)</f>
        <v>35124</v>
      </c>
      <c r="B438" s="21" t="str">
        <f>IF(MonthlyFAME!B440=0,"",MonthlyFAME!B440)</f>
        <v/>
      </c>
      <c r="C438" s="21">
        <f>IF(MonthlyFAME!C440=0,"",MonthlyFAME!C440)</f>
        <v>80.900000000000006</v>
      </c>
      <c r="D438" s="22"/>
      <c r="E438" s="21">
        <f>IF(MonthlyFAME!F440=0,"",MonthlyFAME!F440)</f>
        <v>12483</v>
      </c>
      <c r="F438" s="21">
        <f>IF(MonthlyFAME!G440=0,"",MonthlyFAME!G440)</f>
        <v>13337</v>
      </c>
      <c r="G438" s="21">
        <f>IF(MonthlyFAME!H440=0,"",MonthlyFAME!H440)</f>
        <v>8.3174535958783267</v>
      </c>
      <c r="H438" s="21">
        <f>IF(MonthlyFAME!I440=0,"",MonthlyFAME!I440)</f>
        <v>25981</v>
      </c>
      <c r="I438" s="21">
        <f>IF(MonthlyFAME!J440=0,"",MonthlyFAME!J440)</f>
        <v>859.9</v>
      </c>
      <c r="J438" s="24"/>
      <c r="K438" s="21">
        <f>IF(MonthlyFAME!L440=0,"",MonthlyFAME!L440)</f>
        <v>258.72309845122601</v>
      </c>
      <c r="L438" s="21">
        <f>IF(MonthlyFAME!M440=0,"",MonthlyFAME!M440)</f>
        <v>2205.1999999999998</v>
      </c>
      <c r="M438" s="21" t="str">
        <f>IF(MonthlyFAME!N440=0,"",MonthlyFAME!N440)</f>
        <v/>
      </c>
      <c r="N438" s="21" t="str">
        <f>IF(MonthlyFAME!O440=0,"",MonthlyFAME!O440)</f>
        <v/>
      </c>
      <c r="O438" s="21" t="str">
        <f>IF(MonthlyFAME!P440=0,"",MonthlyFAME!P440)</f>
        <v/>
      </c>
      <c r="P438" s="21" t="str">
        <f>IF(MonthlyFAME!Q440=0,"",MonthlyFAME!Q440)</f>
        <v/>
      </c>
      <c r="Q438" s="21" t="str">
        <f>IF(MonthlyFAME!R440=0,"",MonthlyFAME!R440)</f>
        <v/>
      </c>
      <c r="R438" s="21" t="str">
        <f>IF(MonthlyFAME!S440=0,"",MonthlyFAME!S440)</f>
        <v/>
      </c>
      <c r="S438" s="21" t="str">
        <f>IF(MonthlyFAME!T440=0,"",MonthlyFAME!T440)</f>
        <v/>
      </c>
      <c r="T438" s="21">
        <f>IF(MonthlyFAME!U440=0,"",MonthlyFAME!U440)</f>
        <v>17.979999999999997</v>
      </c>
    </row>
    <row r="439" spans="1:20" x14ac:dyDescent="0.2">
      <c r="A439" s="23">
        <f>IF(MonthlyFAME!A441=0,"",MonthlyFAME!A441)</f>
        <v>35155</v>
      </c>
      <c r="B439" s="21" t="str">
        <f>IF(MonthlyFAME!B441=0,"",MonthlyFAME!B441)</f>
        <v/>
      </c>
      <c r="C439" s="21">
        <f>IF(MonthlyFAME!C441=0,"",MonthlyFAME!C441)</f>
        <v>81</v>
      </c>
      <c r="D439" s="22"/>
      <c r="E439" s="21">
        <f>IF(MonthlyFAME!F441=0,"",MonthlyFAME!F441)</f>
        <v>12700</v>
      </c>
      <c r="F439" s="21">
        <f>IF(MonthlyFAME!G441=0,"",MonthlyFAME!G441)</f>
        <v>13389</v>
      </c>
      <c r="G439" s="21">
        <f>IF(MonthlyFAME!H441=0,"",MonthlyFAME!H441)</f>
        <v>8.2332155477031801</v>
      </c>
      <c r="H439" s="21">
        <f>IF(MonthlyFAME!I441=0,"",MonthlyFAME!I441)</f>
        <v>25970</v>
      </c>
      <c r="I439" s="21">
        <f>IF(MonthlyFAME!J441=0,"",MonthlyFAME!J441)</f>
        <v>859.9</v>
      </c>
      <c r="J439" s="24"/>
      <c r="K439" s="21">
        <f>IF(MonthlyFAME!L441=0,"",MonthlyFAME!L441)</f>
        <v>258.667746002402</v>
      </c>
      <c r="L439" s="21">
        <f>IF(MonthlyFAME!M441=0,"",MonthlyFAME!M441)</f>
        <v>2179.1</v>
      </c>
      <c r="M439" s="21" t="str">
        <f>IF(MonthlyFAME!N441=0,"",MonthlyFAME!N441)</f>
        <v/>
      </c>
      <c r="N439" s="21" t="str">
        <f>IF(MonthlyFAME!O441=0,"",MonthlyFAME!O441)</f>
        <v/>
      </c>
      <c r="O439" s="21" t="str">
        <f>IF(MonthlyFAME!P441=0,"",MonthlyFAME!P441)</f>
        <v/>
      </c>
      <c r="P439" s="21" t="str">
        <f>IF(MonthlyFAME!Q441=0,"",MonthlyFAME!Q441)</f>
        <v/>
      </c>
      <c r="Q439" s="21" t="str">
        <f>IF(MonthlyFAME!R441=0,"",MonthlyFAME!R441)</f>
        <v/>
      </c>
      <c r="R439" s="21" t="str">
        <f>IF(MonthlyFAME!S441=0,"",MonthlyFAME!S441)</f>
        <v/>
      </c>
      <c r="S439" s="21" t="str">
        <f>IF(MonthlyFAME!T441=0,"",MonthlyFAME!T441)</f>
        <v/>
      </c>
      <c r="T439" s="21">
        <f>IF(MonthlyFAME!U441=0,"",MonthlyFAME!U441)</f>
        <v>19.911904761904765</v>
      </c>
    </row>
    <row r="440" spans="1:20" x14ac:dyDescent="0.2">
      <c r="A440" s="23">
        <f>IF(MonthlyFAME!A442=0,"",MonthlyFAME!A442)</f>
        <v>35185</v>
      </c>
      <c r="B440" s="21" t="str">
        <f>IF(MonthlyFAME!B442=0,"",MonthlyFAME!B442)</f>
        <v/>
      </c>
      <c r="C440" s="21">
        <f>IF(MonthlyFAME!C442=0,"",MonthlyFAME!C442)</f>
        <v>80</v>
      </c>
      <c r="D440" s="22"/>
      <c r="E440" s="21">
        <f>IF(MonthlyFAME!F442=0,"",MonthlyFAME!F442)</f>
        <v>12741</v>
      </c>
      <c r="F440" s="21">
        <f>IF(MonthlyFAME!G442=0,"",MonthlyFAME!G442)</f>
        <v>13415</v>
      </c>
      <c r="G440" s="21">
        <f>IF(MonthlyFAME!H442=0,"",MonthlyFAME!H442)</f>
        <v>8.2959720408091222</v>
      </c>
      <c r="H440" s="21">
        <f>IF(MonthlyFAME!I442=0,"",MonthlyFAME!I442)</f>
        <v>25977</v>
      </c>
      <c r="I440" s="21">
        <f>IF(MonthlyFAME!J442=0,"",MonthlyFAME!J442)</f>
        <v>858.6</v>
      </c>
      <c r="J440" s="24"/>
      <c r="K440" s="21">
        <f>IF(MonthlyFAME!L442=0,"",MonthlyFAME!L442)</f>
        <v>259.29544574957998</v>
      </c>
      <c r="L440" s="21">
        <f>IF(MonthlyFAME!M442=0,"",MonthlyFAME!M442)</f>
        <v>2171.1</v>
      </c>
      <c r="M440" s="21" t="str">
        <f>IF(MonthlyFAME!N442=0,"",MonthlyFAME!N442)</f>
        <v/>
      </c>
      <c r="N440" s="21" t="str">
        <f>IF(MonthlyFAME!O442=0,"",MonthlyFAME!O442)</f>
        <v/>
      </c>
      <c r="O440" s="21" t="str">
        <f>IF(MonthlyFAME!P442=0,"",MonthlyFAME!P442)</f>
        <v/>
      </c>
      <c r="P440" s="21" t="str">
        <f>IF(MonthlyFAME!Q442=0,"",MonthlyFAME!Q442)</f>
        <v/>
      </c>
      <c r="Q440" s="21" t="str">
        <f>IF(MonthlyFAME!R442=0,"",MonthlyFAME!R442)</f>
        <v/>
      </c>
      <c r="R440" s="21" t="str">
        <f>IF(MonthlyFAME!S442=0,"",MonthlyFAME!S442)</f>
        <v/>
      </c>
      <c r="S440" s="21" t="str">
        <f>IF(MonthlyFAME!T442=0,"",MonthlyFAME!T442)</f>
        <v/>
      </c>
      <c r="T440" s="21">
        <f>IF(MonthlyFAME!U442=0,"",MonthlyFAME!U442)</f>
        <v>20.895454545454545</v>
      </c>
    </row>
    <row r="441" spans="1:20" x14ac:dyDescent="0.2">
      <c r="A441" s="23">
        <f>IF(MonthlyFAME!A443=0,"",MonthlyFAME!A443)</f>
        <v>35216</v>
      </c>
      <c r="B441" s="21" t="str">
        <f>IF(MonthlyFAME!B443=0,"",MonthlyFAME!B443)</f>
        <v/>
      </c>
      <c r="C441" s="21">
        <f>IF(MonthlyFAME!C443=0,"",MonthlyFAME!C443)</f>
        <v>80.599999999999994</v>
      </c>
      <c r="D441" s="22"/>
      <c r="E441" s="21">
        <f>IF(MonthlyFAME!F443=0,"",MonthlyFAME!F443)</f>
        <v>12999</v>
      </c>
      <c r="F441" s="21">
        <f>IF(MonthlyFAME!G443=0,"",MonthlyFAME!G443)</f>
        <v>13438</v>
      </c>
      <c r="G441" s="21">
        <f>IF(MonthlyFAME!H443=0,"",MonthlyFAME!H443)</f>
        <v>8.2789516385057667</v>
      </c>
      <c r="H441" s="21">
        <f>IF(MonthlyFAME!I443=0,"",MonthlyFAME!I443)</f>
        <v>26002</v>
      </c>
      <c r="I441" s="21">
        <f>IF(MonthlyFAME!J443=0,"",MonthlyFAME!J443)</f>
        <v>860.1</v>
      </c>
      <c r="J441" s="24"/>
      <c r="K441" s="21">
        <f>IF(MonthlyFAME!L443=0,"",MonthlyFAME!L443)</f>
        <v>258.96224855602497</v>
      </c>
      <c r="L441" s="21">
        <f>IF(MonthlyFAME!M443=0,"",MonthlyFAME!M443)</f>
        <v>2153</v>
      </c>
      <c r="M441" s="21" t="str">
        <f>IF(MonthlyFAME!N443=0,"",MonthlyFAME!N443)</f>
        <v/>
      </c>
      <c r="N441" s="21" t="str">
        <f>IF(MonthlyFAME!O443=0,"",MonthlyFAME!O443)</f>
        <v/>
      </c>
      <c r="O441" s="21" t="str">
        <f>IF(MonthlyFAME!P443=0,"",MonthlyFAME!P443)</f>
        <v/>
      </c>
      <c r="P441" s="21" t="str">
        <f>IF(MonthlyFAME!Q443=0,"",MonthlyFAME!Q443)</f>
        <v/>
      </c>
      <c r="Q441" s="21" t="str">
        <f>IF(MonthlyFAME!R443=0,"",MonthlyFAME!R443)</f>
        <v/>
      </c>
      <c r="R441" s="21" t="str">
        <f>IF(MonthlyFAME!S443=0,"",MonthlyFAME!S443)</f>
        <v/>
      </c>
      <c r="S441" s="21" t="str">
        <f>IF(MonthlyFAME!T443=0,"",MonthlyFAME!T443)</f>
        <v/>
      </c>
      <c r="T441" s="21">
        <f>IF(MonthlyFAME!U443=0,"",MonthlyFAME!U443)</f>
        <v>19.166956521739131</v>
      </c>
    </row>
    <row r="442" spans="1:20" x14ac:dyDescent="0.2">
      <c r="A442" s="23">
        <f>IF(MonthlyFAME!A444=0,"",MonthlyFAME!A444)</f>
        <v>35246</v>
      </c>
      <c r="B442" s="21" t="str">
        <f>IF(MonthlyFAME!B444=0,"",MonthlyFAME!B444)</f>
        <v/>
      </c>
      <c r="C442" s="21">
        <f>IF(MonthlyFAME!C444=0,"",MonthlyFAME!C444)</f>
        <v>80.099999999999994</v>
      </c>
      <c r="D442" s="22"/>
      <c r="E442" s="21">
        <f>IF(MonthlyFAME!F444=0,"",MonthlyFAME!F444)</f>
        <v>12606</v>
      </c>
      <c r="F442" s="21">
        <f>IF(MonthlyFAME!G444=0,"",MonthlyFAME!G444)</f>
        <v>13261</v>
      </c>
      <c r="G442" s="21">
        <f>IF(MonthlyFAME!H444=0,"",MonthlyFAME!H444)</f>
        <v>8.2542594095029802</v>
      </c>
      <c r="H442" s="21">
        <f>IF(MonthlyFAME!I444=0,"",MonthlyFAME!I444)</f>
        <v>26009</v>
      </c>
      <c r="I442" s="21">
        <f>IF(MonthlyFAME!J444=0,"",MonthlyFAME!J444)</f>
        <v>862.8</v>
      </c>
      <c r="J442" s="24"/>
      <c r="K442" s="21">
        <f>IF(MonthlyFAME!L444=0,"",MonthlyFAME!L444)</f>
        <v>260.38338886241399</v>
      </c>
      <c r="L442" s="21">
        <f>IF(MonthlyFAME!M444=0,"",MonthlyFAME!M444)</f>
        <v>2134.5</v>
      </c>
      <c r="M442" s="21" t="str">
        <f>IF(MonthlyFAME!N444=0,"",MonthlyFAME!N444)</f>
        <v/>
      </c>
      <c r="N442" s="21" t="str">
        <f>IF(MonthlyFAME!O444=0,"",MonthlyFAME!O444)</f>
        <v/>
      </c>
      <c r="O442" s="21" t="str">
        <f>IF(MonthlyFAME!P444=0,"",MonthlyFAME!P444)</f>
        <v/>
      </c>
      <c r="P442" s="21" t="str">
        <f>IF(MonthlyFAME!Q444=0,"",MonthlyFAME!Q444)</f>
        <v/>
      </c>
      <c r="Q442" s="21" t="str">
        <f>IF(MonthlyFAME!R444=0,"",MonthlyFAME!R444)</f>
        <v/>
      </c>
      <c r="R442" s="21" t="str">
        <f>IF(MonthlyFAME!S444=0,"",MonthlyFAME!S444)</f>
        <v/>
      </c>
      <c r="S442" s="21" t="str">
        <f>IF(MonthlyFAME!T444=0,"",MonthlyFAME!T444)</f>
        <v/>
      </c>
      <c r="T442" s="21">
        <f>IF(MonthlyFAME!U444=0,"",MonthlyFAME!U444)</f>
        <v>18.444499999999998</v>
      </c>
    </row>
    <row r="443" spans="1:20" x14ac:dyDescent="0.2">
      <c r="A443" s="23">
        <f>IF(MonthlyFAME!A445=0,"",MonthlyFAME!A445)</f>
        <v>35277</v>
      </c>
      <c r="B443" s="21" t="str">
        <f>IF(MonthlyFAME!B445=0,"",MonthlyFAME!B445)</f>
        <v/>
      </c>
      <c r="C443" s="21">
        <f>IF(MonthlyFAME!C445=0,"",MonthlyFAME!C445)</f>
        <v>80</v>
      </c>
      <c r="D443" s="22"/>
      <c r="E443" s="21">
        <f>IF(MonthlyFAME!F445=0,"",MonthlyFAME!F445)</f>
        <v>13158</v>
      </c>
      <c r="F443" s="21">
        <f>IF(MonthlyFAME!G445=0,"",MonthlyFAME!G445)</f>
        <v>13746</v>
      </c>
      <c r="G443" s="21">
        <f>IF(MonthlyFAME!H445=0,"",MonthlyFAME!H445)</f>
        <v>8.1709039548022595</v>
      </c>
      <c r="H443" s="21">
        <f>IF(MonthlyFAME!I445=0,"",MonthlyFAME!I445)</f>
        <v>26006</v>
      </c>
      <c r="I443" s="21">
        <f>IF(MonthlyFAME!J445=0,"",MonthlyFAME!J445)</f>
        <v>862.3</v>
      </c>
      <c r="J443" s="24"/>
      <c r="K443" s="21">
        <f>IF(MonthlyFAME!L445=0,"",MonthlyFAME!L445)</f>
        <v>261.60500730691098</v>
      </c>
      <c r="L443" s="21">
        <f>IF(MonthlyFAME!M445=0,"",MonthlyFAME!M445)</f>
        <v>2103.4</v>
      </c>
      <c r="M443" s="21" t="str">
        <f>IF(MonthlyFAME!N445=0,"",MonthlyFAME!N445)</f>
        <v/>
      </c>
      <c r="N443" s="21" t="str">
        <f>IF(MonthlyFAME!O445=0,"",MonthlyFAME!O445)</f>
        <v/>
      </c>
      <c r="O443" s="21" t="str">
        <f>IF(MonthlyFAME!P445=0,"",MonthlyFAME!P445)</f>
        <v/>
      </c>
      <c r="P443" s="21" t="str">
        <f>IF(MonthlyFAME!Q445=0,"",MonthlyFAME!Q445)</f>
        <v/>
      </c>
      <c r="Q443" s="21" t="str">
        <f>IF(MonthlyFAME!R445=0,"",MonthlyFAME!R445)</f>
        <v/>
      </c>
      <c r="R443" s="21" t="str">
        <f>IF(MonthlyFAME!S445=0,"",MonthlyFAME!S445)</f>
        <v/>
      </c>
      <c r="S443" s="21" t="str">
        <f>IF(MonthlyFAME!T445=0,"",MonthlyFAME!T445)</f>
        <v/>
      </c>
      <c r="T443" s="21">
        <f>IF(MonthlyFAME!U445=0,"",MonthlyFAME!U445)</f>
        <v>19.625652173913046</v>
      </c>
    </row>
    <row r="444" spans="1:20" x14ac:dyDescent="0.2">
      <c r="A444" s="23">
        <f>IF(MonthlyFAME!A446=0,"",MonthlyFAME!A446)</f>
        <v>35308</v>
      </c>
      <c r="B444" s="21" t="str">
        <f>IF(MonthlyFAME!B446=0,"",MonthlyFAME!B446)</f>
        <v/>
      </c>
      <c r="C444" s="21">
        <f>IF(MonthlyFAME!C446=0,"",MonthlyFAME!C446)</f>
        <v>80.599999999999994</v>
      </c>
      <c r="D444" s="22"/>
      <c r="E444" s="21">
        <f>IF(MonthlyFAME!F446=0,"",MonthlyFAME!F446)</f>
        <v>12958</v>
      </c>
      <c r="F444" s="21">
        <f>IF(MonthlyFAME!G446=0,"",MonthlyFAME!G446)</f>
        <v>13451</v>
      </c>
      <c r="G444" s="21">
        <f>IF(MonthlyFAME!H446=0,"",MonthlyFAME!H446)</f>
        <v>8.0605333709609148</v>
      </c>
      <c r="H444" s="21">
        <f>IF(MonthlyFAME!I446=0,"",MonthlyFAME!I446)</f>
        <v>26063</v>
      </c>
      <c r="I444" s="21">
        <f>IF(MonthlyFAME!J446=0,"",MonthlyFAME!J446)</f>
        <v>863.5</v>
      </c>
      <c r="J444" s="24"/>
      <c r="K444" s="21">
        <f>IF(MonthlyFAME!L446=0,"",MonthlyFAME!L446)</f>
        <v>261.68733670497897</v>
      </c>
      <c r="L444" s="21">
        <f>IF(MonthlyFAME!M446=0,"",MonthlyFAME!M446)</f>
        <v>2083</v>
      </c>
      <c r="M444" s="21" t="str">
        <f>IF(MonthlyFAME!N446=0,"",MonthlyFAME!N446)</f>
        <v/>
      </c>
      <c r="N444" s="21" t="str">
        <f>IF(MonthlyFAME!O446=0,"",MonthlyFAME!O446)</f>
        <v/>
      </c>
      <c r="O444" s="21" t="str">
        <f>IF(MonthlyFAME!P446=0,"",MonthlyFAME!P446)</f>
        <v/>
      </c>
      <c r="P444" s="21" t="str">
        <f>IF(MonthlyFAME!Q446=0,"",MonthlyFAME!Q446)</f>
        <v/>
      </c>
      <c r="Q444" s="21" t="str">
        <f>IF(MonthlyFAME!R446=0,"",MonthlyFAME!R446)</f>
        <v/>
      </c>
      <c r="R444" s="21" t="str">
        <f>IF(MonthlyFAME!S446=0,"",MonthlyFAME!S446)</f>
        <v/>
      </c>
      <c r="S444" s="21" t="str">
        <f>IF(MonthlyFAME!T446=0,"",MonthlyFAME!T446)</f>
        <v/>
      </c>
      <c r="T444" s="21">
        <f>IF(MonthlyFAME!U446=0,"",MonthlyFAME!U446)</f>
        <v>20.543636363636367</v>
      </c>
    </row>
    <row r="445" spans="1:20" x14ac:dyDescent="0.2">
      <c r="A445" s="23">
        <f>IF(MonthlyFAME!A447=0,"",MonthlyFAME!A447)</f>
        <v>35338</v>
      </c>
      <c r="B445" s="21" t="str">
        <f>IF(MonthlyFAME!B447=0,"",MonthlyFAME!B447)</f>
        <v/>
      </c>
      <c r="C445" s="21">
        <f>IF(MonthlyFAME!C447=0,"",MonthlyFAME!C447)</f>
        <v>81.099999999999994</v>
      </c>
      <c r="D445" s="22"/>
      <c r="E445" s="21">
        <f>IF(MonthlyFAME!F447=0,"",MonthlyFAME!F447)</f>
        <v>13026</v>
      </c>
      <c r="F445" s="21">
        <f>IF(MonthlyFAME!G447=0,"",MonthlyFAME!G447)</f>
        <v>13813</v>
      </c>
      <c r="G445" s="21">
        <f>IF(MonthlyFAME!H447=0,"",MonthlyFAME!H447)</f>
        <v>8.0608177232158607</v>
      </c>
      <c r="H445" s="21">
        <f>IF(MonthlyFAME!I447=0,"",MonthlyFAME!I447)</f>
        <v>26062</v>
      </c>
      <c r="I445" s="21">
        <f>IF(MonthlyFAME!J447=0,"",MonthlyFAME!J447)</f>
        <v>863.3</v>
      </c>
      <c r="J445" s="24"/>
      <c r="K445" s="21">
        <f>IF(MonthlyFAME!L447=0,"",MonthlyFAME!L447)</f>
        <v>264.04687416115797</v>
      </c>
      <c r="L445" s="21">
        <f>IF(MonthlyFAME!M447=0,"",MonthlyFAME!M447)</f>
        <v>2043.8</v>
      </c>
      <c r="M445" s="21" t="str">
        <f>IF(MonthlyFAME!N447=0,"",MonthlyFAME!N447)</f>
        <v/>
      </c>
      <c r="N445" s="21" t="str">
        <f>IF(MonthlyFAME!O447=0,"",MonthlyFAME!O447)</f>
        <v/>
      </c>
      <c r="O445" s="21" t="str">
        <f>IF(MonthlyFAME!P447=0,"",MonthlyFAME!P447)</f>
        <v/>
      </c>
      <c r="P445" s="21" t="str">
        <f>IF(MonthlyFAME!Q447=0,"",MonthlyFAME!Q447)</f>
        <v/>
      </c>
      <c r="Q445" s="21" t="str">
        <f>IF(MonthlyFAME!R447=0,"",MonthlyFAME!R447)</f>
        <v/>
      </c>
      <c r="R445" s="21" t="str">
        <f>IF(MonthlyFAME!S447=0,"",MonthlyFAME!S447)</f>
        <v/>
      </c>
      <c r="S445" s="21" t="str">
        <f>IF(MonthlyFAME!T447=0,"",MonthlyFAME!T447)</f>
        <v/>
      </c>
      <c r="T445" s="21">
        <f>IF(MonthlyFAME!U447=0,"",MonthlyFAME!U447)</f>
        <v>22.646666666666665</v>
      </c>
    </row>
    <row r="446" spans="1:20" x14ac:dyDescent="0.2">
      <c r="A446" s="23">
        <f>IF(MonthlyFAME!A448=0,"",MonthlyFAME!A448)</f>
        <v>35369</v>
      </c>
      <c r="B446" s="21" t="str">
        <f>IF(MonthlyFAME!B448=0,"",MonthlyFAME!B448)</f>
        <v/>
      </c>
      <c r="C446" s="21">
        <f>IF(MonthlyFAME!C448=0,"",MonthlyFAME!C448)</f>
        <v>81</v>
      </c>
      <c r="D446" s="22"/>
      <c r="E446" s="21">
        <f>IF(MonthlyFAME!F448=0,"",MonthlyFAME!F448)</f>
        <v>13477</v>
      </c>
      <c r="F446" s="21">
        <f>IF(MonthlyFAME!G448=0,"",MonthlyFAME!G448)</f>
        <v>13742</v>
      </c>
      <c r="G446" s="21">
        <f>IF(MonthlyFAME!H448=0,"",MonthlyFAME!H448)</f>
        <v>8.050832541275037</v>
      </c>
      <c r="H446" s="21">
        <f>IF(MonthlyFAME!I448=0,"",MonthlyFAME!I448)</f>
        <v>26120</v>
      </c>
      <c r="I446" s="21">
        <f>IF(MonthlyFAME!J448=0,"",MonthlyFAME!J448)</f>
        <v>865.8</v>
      </c>
      <c r="J446" s="24"/>
      <c r="K446" s="21">
        <f>IF(MonthlyFAME!L448=0,"",MonthlyFAME!L448)</f>
        <v>264.49030998756098</v>
      </c>
      <c r="L446" s="21">
        <f>IF(MonthlyFAME!M448=0,"",MonthlyFAME!M448)</f>
        <v>2002.4</v>
      </c>
      <c r="M446" s="21" t="str">
        <f>IF(MonthlyFAME!N448=0,"",MonthlyFAME!N448)</f>
        <v/>
      </c>
      <c r="N446" s="21" t="str">
        <f>IF(MonthlyFAME!O448=0,"",MonthlyFAME!O448)</f>
        <v/>
      </c>
      <c r="O446" s="21" t="str">
        <f>IF(MonthlyFAME!P448=0,"",MonthlyFAME!P448)</f>
        <v/>
      </c>
      <c r="P446" s="21" t="str">
        <f>IF(MonthlyFAME!Q448=0,"",MonthlyFAME!Q448)</f>
        <v/>
      </c>
      <c r="Q446" s="21" t="str">
        <f>IF(MonthlyFAME!R448=0,"",MonthlyFAME!R448)</f>
        <v/>
      </c>
      <c r="R446" s="21" t="str">
        <f>IF(MonthlyFAME!S448=0,"",MonthlyFAME!S448)</f>
        <v/>
      </c>
      <c r="S446" s="21" t="str">
        <f>IF(MonthlyFAME!T448=0,"",MonthlyFAME!T448)</f>
        <v/>
      </c>
      <c r="T446" s="21">
        <f>IF(MonthlyFAME!U448=0,"",MonthlyFAME!U448)</f>
        <v>24.114782608695652</v>
      </c>
    </row>
    <row r="447" spans="1:20" x14ac:dyDescent="0.2">
      <c r="A447" s="23">
        <f>IF(MonthlyFAME!A449=0,"",MonthlyFAME!A449)</f>
        <v>35399</v>
      </c>
      <c r="B447" s="21" t="str">
        <f>IF(MonthlyFAME!B449=0,"",MonthlyFAME!B449)</f>
        <v/>
      </c>
      <c r="C447" s="21">
        <f>IF(MonthlyFAME!C449=0,"",MonthlyFAME!C449)</f>
        <v>81.5</v>
      </c>
      <c r="D447" s="22"/>
      <c r="E447" s="21">
        <f>IF(MonthlyFAME!F449=0,"",MonthlyFAME!F449)</f>
        <v>13316</v>
      </c>
      <c r="F447" s="21">
        <f>IF(MonthlyFAME!G449=0,"",MonthlyFAME!G449)</f>
        <v>13821</v>
      </c>
      <c r="G447" s="21">
        <f>IF(MonthlyFAME!H449=0,"",MonthlyFAME!H449)</f>
        <v>7.9538661696965436</v>
      </c>
      <c r="H447" s="21">
        <f>IF(MonthlyFAME!I449=0,"",MonthlyFAME!I449)</f>
        <v>26177</v>
      </c>
      <c r="I447" s="21">
        <f>IF(MonthlyFAME!J449=0,"",MonthlyFAME!J449)</f>
        <v>869.2</v>
      </c>
      <c r="J447" s="24"/>
      <c r="K447" s="21">
        <f>IF(MonthlyFAME!L449=0,"",MonthlyFAME!L449)</f>
        <v>265.54620667163101</v>
      </c>
      <c r="L447" s="21">
        <f>IF(MonthlyFAME!M449=0,"",MonthlyFAME!M449)</f>
        <v>1903.9</v>
      </c>
      <c r="M447" s="21" t="str">
        <f>IF(MonthlyFAME!N449=0,"",MonthlyFAME!N449)</f>
        <v/>
      </c>
      <c r="N447" s="21" t="str">
        <f>IF(MonthlyFAME!O449=0,"",MonthlyFAME!O449)</f>
        <v/>
      </c>
      <c r="O447" s="21" t="str">
        <f>IF(MonthlyFAME!P449=0,"",MonthlyFAME!P449)</f>
        <v/>
      </c>
      <c r="P447" s="21" t="str">
        <f>IF(MonthlyFAME!Q449=0,"",MonthlyFAME!Q449)</f>
        <v/>
      </c>
      <c r="Q447" s="21" t="str">
        <f>IF(MonthlyFAME!R449=0,"",MonthlyFAME!R449)</f>
        <v/>
      </c>
      <c r="R447" s="21" t="str">
        <f>IF(MonthlyFAME!S449=0,"",MonthlyFAME!S449)</f>
        <v/>
      </c>
      <c r="S447" s="21" t="str">
        <f>IF(MonthlyFAME!T449=0,"",MonthlyFAME!T449)</f>
        <v/>
      </c>
      <c r="T447" s="21">
        <f>IF(MonthlyFAME!U449=0,"",MonthlyFAME!U449)</f>
        <v>22.696190476190473</v>
      </c>
    </row>
    <row r="448" spans="1:20" x14ac:dyDescent="0.2">
      <c r="A448" s="23">
        <f>IF(MonthlyFAME!A450=0,"",MonthlyFAME!A450)</f>
        <v>35430</v>
      </c>
      <c r="B448" s="21" t="str">
        <f>IF(MonthlyFAME!B450=0,"",MonthlyFAME!B450)</f>
        <v/>
      </c>
      <c r="C448" s="21">
        <f>IF(MonthlyFAME!C450=0,"",MonthlyFAME!C450)</f>
        <v>81.8</v>
      </c>
      <c r="D448" s="22"/>
      <c r="E448" s="21">
        <f>IF(MonthlyFAME!F450=0,"",MonthlyFAME!F450)</f>
        <v>12970</v>
      </c>
      <c r="F448" s="21">
        <f>IF(MonthlyFAME!G450=0,"",MonthlyFAME!G450)</f>
        <v>13792</v>
      </c>
      <c r="G448" s="21">
        <f>IF(MonthlyFAME!H450=0,"",MonthlyFAME!H450)</f>
        <v>7.841136947268442</v>
      </c>
      <c r="H448" s="21">
        <f>IF(MonthlyFAME!I450=0,"",MonthlyFAME!I450)</f>
        <v>26198</v>
      </c>
      <c r="I448" s="21">
        <f>IF(MonthlyFAME!J450=0,"",MonthlyFAME!J450)</f>
        <v>866.1</v>
      </c>
      <c r="J448" s="24"/>
      <c r="K448" s="21">
        <f>IF(MonthlyFAME!L450=0,"",MonthlyFAME!L450)</f>
        <v>267.10556972134901</v>
      </c>
      <c r="L448" s="21">
        <f>IF(MonthlyFAME!M450=0,"",MonthlyFAME!M450)</f>
        <v>1872.1</v>
      </c>
      <c r="M448" s="21" t="str">
        <f>IF(MonthlyFAME!N450=0,"",MonthlyFAME!N450)</f>
        <v/>
      </c>
      <c r="N448" s="21" t="str">
        <f>IF(MonthlyFAME!O450=0,"",MonthlyFAME!O450)</f>
        <v/>
      </c>
      <c r="O448" s="21" t="str">
        <f>IF(MonthlyFAME!P450=0,"",MonthlyFAME!P450)</f>
        <v/>
      </c>
      <c r="P448" s="21" t="str">
        <f>IF(MonthlyFAME!Q450=0,"",MonthlyFAME!Q450)</f>
        <v/>
      </c>
      <c r="Q448" s="21" t="str">
        <f>IF(MonthlyFAME!R450=0,"",MonthlyFAME!R450)</f>
        <v/>
      </c>
      <c r="R448" s="21" t="str">
        <f>IF(MonthlyFAME!S450=0,"",MonthlyFAME!S450)</f>
        <v/>
      </c>
      <c r="S448" s="21" t="str">
        <f>IF(MonthlyFAME!T450=0,"",MonthlyFAME!T450)</f>
        <v/>
      </c>
      <c r="T448" s="21">
        <f>IF(MonthlyFAME!U450=0,"",MonthlyFAME!U450)</f>
        <v>23.823181818181819</v>
      </c>
    </row>
    <row r="449" spans="1:20" x14ac:dyDescent="0.2">
      <c r="A449" s="23">
        <f>IF(MonthlyFAME!A451=0,"",MonthlyFAME!A451)</f>
        <v>35461</v>
      </c>
      <c r="B449" s="21">
        <f>IF(MonthlyFAME!B451=0,"",MonthlyFAME!B451)</f>
        <v>63.3</v>
      </c>
      <c r="C449" s="21">
        <f>IF(MonthlyFAME!C451=0,"",MonthlyFAME!C451)</f>
        <v>81.8</v>
      </c>
      <c r="D449" s="21">
        <f>IF(MonthlyFAME!D451=0,"",MonthlyFAME!D451)</f>
        <v>58.969799999999999</v>
      </c>
      <c r="E449" s="21">
        <f>IF(MonthlyFAME!F451=0,"",MonthlyFAME!F451)</f>
        <v>19558</v>
      </c>
      <c r="F449" s="21">
        <f>IF(MonthlyFAME!G451=0,"",MonthlyFAME!G451)</f>
        <v>17288</v>
      </c>
      <c r="G449" s="21">
        <f>IF(MonthlyFAME!H451=0,"",MonthlyFAME!H451)</f>
        <v>7.669046028341362</v>
      </c>
      <c r="H449" s="21">
        <f>IF(MonthlyFAME!I451=0,"",MonthlyFAME!I451)</f>
        <v>26258</v>
      </c>
      <c r="I449" s="21">
        <f>IF(MonthlyFAME!J451=0,"",MonthlyFAME!J451)</f>
        <v>867.8</v>
      </c>
      <c r="J449" s="26">
        <v>466.63636363636363</v>
      </c>
      <c r="K449" s="21">
        <f>IF(MonthlyFAME!L451=0,"",MonthlyFAME!L451)</f>
        <v>267.57220546282502</v>
      </c>
      <c r="L449" s="21">
        <f>IF(MonthlyFAME!M451=0,"",MonthlyFAME!M451)</f>
        <v>1818.4</v>
      </c>
      <c r="M449" s="21" t="str">
        <f>IF(MonthlyFAME!N451=0,"",MonthlyFAME!N451)</f>
        <v/>
      </c>
      <c r="N449" s="21" t="str">
        <f>IF(MonthlyFAME!O451=0,"",MonthlyFAME!O451)</f>
        <v/>
      </c>
      <c r="O449" s="21" t="str">
        <f>IF(MonthlyFAME!P451=0,"",MonthlyFAME!P451)</f>
        <v/>
      </c>
      <c r="P449" s="21" t="str">
        <f>IF(MonthlyFAME!Q451=0,"",MonthlyFAME!Q451)</f>
        <v/>
      </c>
      <c r="Q449" s="21" t="str">
        <f>IF(MonthlyFAME!R451=0,"",MonthlyFAME!R451)</f>
        <v/>
      </c>
      <c r="R449" s="21" t="str">
        <f>IF(MonthlyFAME!S451=0,"",MonthlyFAME!S451)</f>
        <v/>
      </c>
      <c r="S449" s="21" t="str">
        <f>IF(MonthlyFAME!T451=0,"",MonthlyFAME!T451)</f>
        <v/>
      </c>
      <c r="T449" s="21">
        <f>IF(MonthlyFAME!U451=0,"",MonthlyFAME!U451)</f>
        <v>23.47260869565217</v>
      </c>
    </row>
    <row r="450" spans="1:20" x14ac:dyDescent="0.2">
      <c r="A450" s="23">
        <f>IF(MonthlyFAME!A452=0,"",MonthlyFAME!A452)</f>
        <v>35489</v>
      </c>
      <c r="B450" s="21">
        <f>IF(MonthlyFAME!B452=0,"",MonthlyFAME!B452)</f>
        <v>64</v>
      </c>
      <c r="C450" s="21">
        <f>IF(MonthlyFAME!C452=0,"",MonthlyFAME!C452)</f>
        <v>82.1</v>
      </c>
      <c r="D450" s="21">
        <f>IF(MonthlyFAME!D452=0,"",MonthlyFAME!D452)</f>
        <v>59.718200000000003</v>
      </c>
      <c r="E450" s="21">
        <f>IF(MonthlyFAME!F452=0,"",MonthlyFAME!F452)</f>
        <v>19053</v>
      </c>
      <c r="F450" s="21">
        <f>IF(MonthlyFAME!G452=0,"",MonthlyFAME!G452)</f>
        <v>17107</v>
      </c>
      <c r="G450" s="21">
        <f>IF(MonthlyFAME!H452=0,"",MonthlyFAME!H452)</f>
        <v>7.4890177473203305</v>
      </c>
      <c r="H450" s="21">
        <f>IF(MonthlyFAME!I452=0,"",MonthlyFAME!I452)</f>
        <v>26324</v>
      </c>
      <c r="I450" s="21">
        <f>IF(MonthlyFAME!J452=0,"",MonthlyFAME!J452)</f>
        <v>870.2</v>
      </c>
      <c r="J450" s="26">
        <v>479.11515151515158</v>
      </c>
      <c r="K450" s="21">
        <f>IF(MonthlyFAME!L452=0,"",MonthlyFAME!L452)</f>
        <v>267.76415163385502</v>
      </c>
      <c r="L450" s="21">
        <f>IF(MonthlyFAME!M452=0,"",MonthlyFAME!M452)</f>
        <v>1752.8</v>
      </c>
      <c r="M450" s="21" t="str">
        <f>IF(MonthlyFAME!N452=0,"",MonthlyFAME!N452)</f>
        <v/>
      </c>
      <c r="N450" s="21" t="str">
        <f>IF(MonthlyFAME!O452=0,"",MonthlyFAME!O452)</f>
        <v/>
      </c>
      <c r="O450" s="21" t="str">
        <f>IF(MonthlyFAME!P452=0,"",MonthlyFAME!P452)</f>
        <v/>
      </c>
      <c r="P450" s="21" t="str">
        <f>IF(MonthlyFAME!Q452=0,"",MonthlyFAME!Q452)</f>
        <v/>
      </c>
      <c r="Q450" s="21" t="str">
        <f>IF(MonthlyFAME!R452=0,"",MonthlyFAME!R452)</f>
        <v/>
      </c>
      <c r="R450" s="21" t="str">
        <f>IF(MonthlyFAME!S452=0,"",MonthlyFAME!S452)</f>
        <v/>
      </c>
      <c r="S450" s="21" t="str">
        <f>IF(MonthlyFAME!T452=0,"",MonthlyFAME!T452)</f>
        <v/>
      </c>
      <c r="T450" s="21">
        <f>IF(MonthlyFAME!U452=0,"",MonthlyFAME!U452)</f>
        <v>20.827000000000005</v>
      </c>
    </row>
    <row r="451" spans="1:20" x14ac:dyDescent="0.2">
      <c r="A451" s="23">
        <f>IF(MonthlyFAME!A453=0,"",MonthlyFAME!A453)</f>
        <v>35520</v>
      </c>
      <c r="B451" s="21">
        <f>IF(MonthlyFAME!B453=0,"",MonthlyFAME!B453)</f>
        <v>64</v>
      </c>
      <c r="C451" s="21">
        <f>IF(MonthlyFAME!C453=0,"",MonthlyFAME!C453)</f>
        <v>80.900000000000006</v>
      </c>
      <c r="D451" s="21">
        <f>IF(MonthlyFAME!D453=0,"",MonthlyFAME!D453)</f>
        <v>59.97</v>
      </c>
      <c r="E451" s="21">
        <f>IF(MonthlyFAME!F453=0,"",MonthlyFAME!F453)</f>
        <v>18509</v>
      </c>
      <c r="F451" s="21">
        <f>IF(MonthlyFAME!G453=0,"",MonthlyFAME!G453)</f>
        <v>17733</v>
      </c>
      <c r="G451" s="21">
        <f>IF(MonthlyFAME!H453=0,"",MonthlyFAME!H453)</f>
        <v>7.3245275064989812</v>
      </c>
      <c r="H451" s="21">
        <f>IF(MonthlyFAME!I453=0,"",MonthlyFAME!I453)</f>
        <v>26381</v>
      </c>
      <c r="I451" s="21">
        <f>IF(MonthlyFAME!J453=0,"",MonthlyFAME!J453)</f>
        <v>873.7</v>
      </c>
      <c r="J451" s="26">
        <v>490.71515151515155</v>
      </c>
      <c r="K451" s="21">
        <f>IF(MonthlyFAME!L453=0,"",MonthlyFAME!L453)</f>
        <v>271.21284986716699</v>
      </c>
      <c r="L451" s="21">
        <f>IF(MonthlyFAME!M453=0,"",MonthlyFAME!M453)</f>
        <v>1704.3</v>
      </c>
      <c r="M451" s="21" t="str">
        <f>IF(MonthlyFAME!N453=0,"",MonthlyFAME!N453)</f>
        <v/>
      </c>
      <c r="N451" s="21" t="str">
        <f>IF(MonthlyFAME!O453=0,"",MonthlyFAME!O453)</f>
        <v/>
      </c>
      <c r="O451" s="21" t="str">
        <f>IF(MonthlyFAME!P453=0,"",MonthlyFAME!P453)</f>
        <v/>
      </c>
      <c r="P451" s="21" t="str">
        <f>IF(MonthlyFAME!Q453=0,"",MonthlyFAME!Q453)</f>
        <v/>
      </c>
      <c r="Q451" s="21" t="str">
        <f>IF(MonthlyFAME!R453=0,"",MonthlyFAME!R453)</f>
        <v/>
      </c>
      <c r="R451" s="21" t="str">
        <f>IF(MonthlyFAME!S453=0,"",MonthlyFAME!S453)</f>
        <v/>
      </c>
      <c r="S451" s="21" t="str">
        <f>IF(MonthlyFAME!T453=0,"",MonthlyFAME!T453)</f>
        <v/>
      </c>
      <c r="T451" s="21">
        <f>IF(MonthlyFAME!U453=0,"",MonthlyFAME!U453)</f>
        <v>19.055238095238092</v>
      </c>
    </row>
    <row r="452" spans="1:20" x14ac:dyDescent="0.2">
      <c r="A452" s="23">
        <f>IF(MonthlyFAME!A454=0,"",MonthlyFAME!A454)</f>
        <v>35550</v>
      </c>
      <c r="B452" s="21">
        <f>IF(MonthlyFAME!B454=0,"",MonthlyFAME!B454)</f>
        <v>64.599999999999994</v>
      </c>
      <c r="C452" s="21">
        <f>IF(MonthlyFAME!C454=0,"",MonthlyFAME!C454)</f>
        <v>82.9</v>
      </c>
      <c r="D452" s="21">
        <f>IF(MonthlyFAME!D454=0,"",MonthlyFAME!D454)</f>
        <v>60.1678</v>
      </c>
      <c r="E452" s="21">
        <f>IF(MonthlyFAME!F454=0,"",MonthlyFAME!F454)</f>
        <v>19942</v>
      </c>
      <c r="F452" s="21">
        <f>IF(MonthlyFAME!G454=0,"",MonthlyFAME!G454)</f>
        <v>18571</v>
      </c>
      <c r="G452" s="21">
        <f>IF(MonthlyFAME!H454=0,"",MonthlyFAME!H454)</f>
        <v>7.2050561797752808</v>
      </c>
      <c r="H452" s="21">
        <f>IF(MonthlyFAME!I454=0,"",MonthlyFAME!I454)</f>
        <v>26428</v>
      </c>
      <c r="I452" s="21">
        <f>IF(MonthlyFAME!J454=0,"",MonthlyFAME!J454)</f>
        <v>877.5</v>
      </c>
      <c r="J452" s="26">
        <v>491.41818181818195</v>
      </c>
      <c r="K452" s="21">
        <f>IF(MonthlyFAME!L454=0,"",MonthlyFAME!L454)</f>
        <v>269.59258016929601</v>
      </c>
      <c r="L452" s="21">
        <f>IF(MonthlyFAME!M454=0,"",MonthlyFAME!M454)</f>
        <v>1662.6</v>
      </c>
      <c r="M452" s="21" t="str">
        <f>IF(MonthlyFAME!N454=0,"",MonthlyFAME!N454)</f>
        <v/>
      </c>
      <c r="N452" s="21" t="str">
        <f>IF(MonthlyFAME!O454=0,"",MonthlyFAME!O454)</f>
        <v/>
      </c>
      <c r="O452" s="21" t="str">
        <f>IF(MonthlyFAME!P454=0,"",MonthlyFAME!P454)</f>
        <v/>
      </c>
      <c r="P452" s="21" t="str">
        <f>IF(MonthlyFAME!Q454=0,"",MonthlyFAME!Q454)</f>
        <v/>
      </c>
      <c r="Q452" s="21" t="str">
        <f>IF(MonthlyFAME!R454=0,"",MonthlyFAME!R454)</f>
        <v/>
      </c>
      <c r="R452" s="21" t="str">
        <f>IF(MonthlyFAME!S454=0,"",MonthlyFAME!S454)</f>
        <v/>
      </c>
      <c r="S452" s="21" t="str">
        <f>IF(MonthlyFAME!T454=0,"",MonthlyFAME!T454)</f>
        <v/>
      </c>
      <c r="T452" s="21">
        <f>IF(MonthlyFAME!U454=0,"",MonthlyFAME!U454)</f>
        <v>17.481818181818181</v>
      </c>
    </row>
    <row r="453" spans="1:20" x14ac:dyDescent="0.2">
      <c r="A453" s="23">
        <f>IF(MonthlyFAME!A455=0,"",MonthlyFAME!A455)</f>
        <v>35581</v>
      </c>
      <c r="B453" s="21">
        <f>IF(MonthlyFAME!B455=0,"",MonthlyFAME!B455)</f>
        <v>64.099999999999994</v>
      </c>
      <c r="C453" s="21">
        <f>IF(MonthlyFAME!C455=0,"",MonthlyFAME!C455)</f>
        <v>82.6</v>
      </c>
      <c r="D453" s="21">
        <f>IF(MonthlyFAME!D455=0,"",MonthlyFAME!D455)</f>
        <v>59.586300000000001</v>
      </c>
      <c r="E453" s="21">
        <f>IF(MonthlyFAME!F455=0,"",MonthlyFAME!F455)</f>
        <v>19180</v>
      </c>
      <c r="F453" s="21">
        <f>IF(MonthlyFAME!G455=0,"",MonthlyFAME!G455)</f>
        <v>17946</v>
      </c>
      <c r="G453" s="21">
        <f>IF(MonthlyFAME!H455=0,"",MonthlyFAME!H455)</f>
        <v>7.183212267958031</v>
      </c>
      <c r="H453" s="21">
        <f>IF(MonthlyFAME!I455=0,"",MonthlyFAME!I455)</f>
        <v>26450</v>
      </c>
      <c r="I453" s="21">
        <f>IF(MonthlyFAME!J455=0,"",MonthlyFAME!J455)</f>
        <v>878.1</v>
      </c>
      <c r="J453" s="26">
        <v>491.06666666666672</v>
      </c>
      <c r="K453" s="21">
        <f>IF(MonthlyFAME!L455=0,"",MonthlyFAME!L455)</f>
        <v>270.53525054925501</v>
      </c>
      <c r="L453" s="21">
        <f>IF(MonthlyFAME!M455=0,"",MonthlyFAME!M455)</f>
        <v>1619.6</v>
      </c>
      <c r="M453" s="21" t="str">
        <f>IF(MonthlyFAME!N455=0,"",MonthlyFAME!N455)</f>
        <v/>
      </c>
      <c r="N453" s="21" t="str">
        <f>IF(MonthlyFAME!O455=0,"",MonthlyFAME!O455)</f>
        <v/>
      </c>
      <c r="O453" s="21" t="str">
        <f>IF(MonthlyFAME!P455=0,"",MonthlyFAME!P455)</f>
        <v/>
      </c>
      <c r="P453" s="21" t="str">
        <f>IF(MonthlyFAME!Q455=0,"",MonthlyFAME!Q455)</f>
        <v/>
      </c>
      <c r="Q453" s="21" t="str">
        <f>IF(MonthlyFAME!R455=0,"",MonthlyFAME!R455)</f>
        <v/>
      </c>
      <c r="R453" s="21" t="str">
        <f>IF(MonthlyFAME!S455=0,"",MonthlyFAME!S455)</f>
        <v/>
      </c>
      <c r="S453" s="21" t="str">
        <f>IF(MonthlyFAME!T455=0,"",MonthlyFAME!T455)</f>
        <v/>
      </c>
      <c r="T453" s="21">
        <f>IF(MonthlyFAME!U455=0,"",MonthlyFAME!U455)</f>
        <v>19.127272727272729</v>
      </c>
    </row>
    <row r="454" spans="1:20" x14ac:dyDescent="0.2">
      <c r="A454" s="23">
        <f>IF(MonthlyFAME!A456=0,"",MonthlyFAME!A456)</f>
        <v>35611</v>
      </c>
      <c r="B454" s="21">
        <f>IF(MonthlyFAME!B456=0,"",MonthlyFAME!B456)</f>
        <v>64.5</v>
      </c>
      <c r="C454" s="21">
        <f>IF(MonthlyFAME!C456=0,"",MonthlyFAME!C456)</f>
        <v>82.8</v>
      </c>
      <c r="D454" s="21">
        <f>IF(MonthlyFAME!D456=0,"",MonthlyFAME!D456)</f>
        <v>59.9621</v>
      </c>
      <c r="E454" s="21">
        <f>IF(MonthlyFAME!F456=0,"",MonthlyFAME!F456)</f>
        <v>18731</v>
      </c>
      <c r="F454" s="21">
        <f>IF(MonthlyFAME!G456=0,"",MonthlyFAME!G456)</f>
        <v>18573</v>
      </c>
      <c r="G454" s="21">
        <f>IF(MonthlyFAME!H456=0,"",MonthlyFAME!H456)</f>
        <v>7.1801155259933482</v>
      </c>
      <c r="H454" s="21">
        <f>IF(MonthlyFAME!I456=0,"",MonthlyFAME!I456)</f>
        <v>26514</v>
      </c>
      <c r="I454" s="21">
        <f>IF(MonthlyFAME!J456=0,"",MonthlyFAME!J456)</f>
        <v>878.3</v>
      </c>
      <c r="J454" s="26">
        <v>487.37575757575769</v>
      </c>
      <c r="K454" s="21">
        <f>IF(MonthlyFAME!L456=0,"",MonthlyFAME!L456)</f>
        <v>270.91307299421101</v>
      </c>
      <c r="L454" s="21">
        <f>IF(MonthlyFAME!M456=0,"",MonthlyFAME!M456)</f>
        <v>1571.5</v>
      </c>
      <c r="M454" s="21" t="str">
        <f>IF(MonthlyFAME!N456=0,"",MonthlyFAME!N456)</f>
        <v/>
      </c>
      <c r="N454" s="21" t="str">
        <f>IF(MonthlyFAME!O456=0,"",MonthlyFAME!O456)</f>
        <v/>
      </c>
      <c r="O454" s="21" t="str">
        <f>IF(MonthlyFAME!P456=0,"",MonthlyFAME!P456)</f>
        <v/>
      </c>
      <c r="P454" s="21" t="str">
        <f>IF(MonthlyFAME!Q456=0,"",MonthlyFAME!Q456)</f>
        <v/>
      </c>
      <c r="Q454" s="21" t="str">
        <f>IF(MonthlyFAME!R456=0,"",MonthlyFAME!R456)</f>
        <v/>
      </c>
      <c r="R454" s="21" t="str">
        <f>IF(MonthlyFAME!S456=0,"",MonthlyFAME!S456)</f>
        <v/>
      </c>
      <c r="S454" s="21" t="str">
        <f>IF(MonthlyFAME!T456=0,"",MonthlyFAME!T456)</f>
        <v/>
      </c>
      <c r="T454" s="21">
        <f>IF(MonthlyFAME!U456=0,"",MonthlyFAME!U456)</f>
        <v>17.589523809523808</v>
      </c>
    </row>
    <row r="455" spans="1:20" x14ac:dyDescent="0.2">
      <c r="A455" s="23">
        <f>IF(MonthlyFAME!A457=0,"",MonthlyFAME!A457)</f>
        <v>35642</v>
      </c>
      <c r="B455" s="21">
        <f>IF(MonthlyFAME!B457=0,"",MonthlyFAME!B457)</f>
        <v>64.8</v>
      </c>
      <c r="C455" s="21">
        <f>IF(MonthlyFAME!C457=0,"",MonthlyFAME!C457)</f>
        <v>84.5</v>
      </c>
      <c r="D455" s="21">
        <f>IF(MonthlyFAME!D457=0,"",MonthlyFAME!D457)</f>
        <v>60.022799999999997</v>
      </c>
      <c r="E455" s="21">
        <f>IF(MonthlyFAME!F457=0,"",MonthlyFAME!F457)</f>
        <v>19197</v>
      </c>
      <c r="F455" s="21">
        <f>IF(MonthlyFAME!G457=0,"",MonthlyFAME!G457)</f>
        <v>18464</v>
      </c>
      <c r="G455" s="21">
        <f>IF(MonthlyFAME!H457=0,"",MonthlyFAME!H457)</f>
        <v>7.2893337066069428</v>
      </c>
      <c r="H455" s="21">
        <f>IF(MonthlyFAME!I457=0,"",MonthlyFAME!I457)</f>
        <v>26493</v>
      </c>
      <c r="I455" s="21">
        <f>IF(MonthlyFAME!J457=0,"",MonthlyFAME!J457)</f>
        <v>877</v>
      </c>
      <c r="J455" s="26">
        <v>498.9757575757576</v>
      </c>
      <c r="K455" s="21">
        <f>IF(MonthlyFAME!L457=0,"",MonthlyFAME!L457)</f>
        <v>272.78630676840402</v>
      </c>
      <c r="L455" s="21">
        <f>IF(MonthlyFAME!M457=0,"",MonthlyFAME!M457)</f>
        <v>1554.1</v>
      </c>
      <c r="M455" s="21" t="str">
        <f>IF(MonthlyFAME!N457=0,"",MonthlyFAME!N457)</f>
        <v/>
      </c>
      <c r="N455" s="21" t="str">
        <f>IF(MonthlyFAME!O457=0,"",MonthlyFAME!O457)</f>
        <v/>
      </c>
      <c r="O455" s="21" t="str">
        <f>IF(MonthlyFAME!P457=0,"",MonthlyFAME!P457)</f>
        <v/>
      </c>
      <c r="P455" s="21" t="str">
        <f>IF(MonthlyFAME!Q457=0,"",MonthlyFAME!Q457)</f>
        <v/>
      </c>
      <c r="Q455" s="21" t="str">
        <f>IF(MonthlyFAME!R457=0,"",MonthlyFAME!R457)</f>
        <v/>
      </c>
      <c r="R455" s="21" t="str">
        <f>IF(MonthlyFAME!S457=0,"",MonthlyFAME!S457)</f>
        <v/>
      </c>
      <c r="S455" s="21" t="str">
        <f>IF(MonthlyFAME!T457=0,"",MonthlyFAME!T457)</f>
        <v/>
      </c>
      <c r="T455" s="21">
        <f>IF(MonthlyFAME!U457=0,"",MonthlyFAME!U457)</f>
        <v>18.50391304347826</v>
      </c>
    </row>
    <row r="456" spans="1:20" x14ac:dyDescent="0.2">
      <c r="A456" s="23">
        <f>IF(MonthlyFAME!A458=0,"",MonthlyFAME!A458)</f>
        <v>35673</v>
      </c>
      <c r="B456" s="21">
        <f>IF(MonthlyFAME!B458=0,"",MonthlyFAME!B458)</f>
        <v>64.900000000000006</v>
      </c>
      <c r="C456" s="21">
        <f>IF(MonthlyFAME!C458=0,"",MonthlyFAME!C458)</f>
        <v>83.5</v>
      </c>
      <c r="D456" s="21">
        <f>IF(MonthlyFAME!D458=0,"",MonthlyFAME!D458)</f>
        <v>60.340200000000003</v>
      </c>
      <c r="E456" s="21">
        <f>IF(MonthlyFAME!F458=0,"",MonthlyFAME!F458)</f>
        <v>18364</v>
      </c>
      <c r="F456" s="21">
        <f>IF(MonthlyFAME!G458=0,"",MonthlyFAME!G458)</f>
        <v>17051</v>
      </c>
      <c r="G456" s="21">
        <f>IF(MonthlyFAME!H458=0,"",MonthlyFAME!H458)</f>
        <v>7.0870281448249273</v>
      </c>
      <c r="H456" s="21">
        <f>IF(MonthlyFAME!I458=0,"",MonthlyFAME!I458)</f>
        <v>26509</v>
      </c>
      <c r="I456" s="21">
        <f>IF(MonthlyFAME!J458=0,"",MonthlyFAME!J458)</f>
        <v>877.9</v>
      </c>
      <c r="J456" s="26">
        <v>506.18181818181824</v>
      </c>
      <c r="K456" s="21">
        <f>IF(MonthlyFAME!L458=0,"",MonthlyFAME!L458)</f>
        <v>274.44991627121902</v>
      </c>
      <c r="L456" s="21">
        <f>IF(MonthlyFAME!M458=0,"",MonthlyFAME!M458)</f>
        <v>1526.5</v>
      </c>
      <c r="M456" s="21" t="str">
        <f>IF(MonthlyFAME!N458=0,"",MonthlyFAME!N458)</f>
        <v/>
      </c>
      <c r="N456" s="21" t="str">
        <f>IF(MonthlyFAME!O458=0,"",MonthlyFAME!O458)</f>
        <v/>
      </c>
      <c r="O456" s="21" t="str">
        <f>IF(MonthlyFAME!P458=0,"",MonthlyFAME!P458)</f>
        <v/>
      </c>
      <c r="P456" s="21" t="str">
        <f>IF(MonthlyFAME!Q458=0,"",MonthlyFAME!Q458)</f>
        <v/>
      </c>
      <c r="Q456" s="21" t="str">
        <f>IF(MonthlyFAME!R458=0,"",MonthlyFAME!R458)</f>
        <v/>
      </c>
      <c r="R456" s="21" t="str">
        <f>IF(MonthlyFAME!S458=0,"",MonthlyFAME!S458)</f>
        <v/>
      </c>
      <c r="S456" s="21" t="str">
        <f>IF(MonthlyFAME!T458=0,"",MonthlyFAME!T458)</f>
        <v/>
      </c>
      <c r="T456" s="21">
        <f>IF(MonthlyFAME!U458=0,"",MonthlyFAME!U458)</f>
        <v>18.63904761904762</v>
      </c>
    </row>
    <row r="457" spans="1:20" x14ac:dyDescent="0.2">
      <c r="A457" s="23">
        <f>IF(MonthlyFAME!A459=0,"",MonthlyFAME!A459)</f>
        <v>35703</v>
      </c>
      <c r="B457" s="21">
        <f>IF(MonthlyFAME!B459=0,"",MonthlyFAME!B459)</f>
        <v>65</v>
      </c>
      <c r="C457" s="21">
        <f>IF(MonthlyFAME!C459=0,"",MonthlyFAME!C459)</f>
        <v>84</v>
      </c>
      <c r="D457" s="21">
        <f>IF(MonthlyFAME!D459=0,"",MonthlyFAME!D459)</f>
        <v>60.382599999999996</v>
      </c>
      <c r="E457" s="21">
        <f>IF(MonthlyFAME!F459=0,"",MonthlyFAME!F459)</f>
        <v>19128</v>
      </c>
      <c r="F457" s="21">
        <f>IF(MonthlyFAME!G459=0,"",MonthlyFAME!G459)</f>
        <v>17769</v>
      </c>
      <c r="G457" s="21">
        <f>IF(MonthlyFAME!H459=0,"",MonthlyFAME!H459)</f>
        <v>6.8400939592609475</v>
      </c>
      <c r="H457" s="21">
        <f>IF(MonthlyFAME!I459=0,"",MonthlyFAME!I459)</f>
        <v>26572</v>
      </c>
      <c r="I457" s="21">
        <f>IF(MonthlyFAME!J459=0,"",MonthlyFAME!J459)</f>
        <v>880.2</v>
      </c>
      <c r="J457" s="26">
        <v>518.83636363636367</v>
      </c>
      <c r="K457" s="21">
        <f>IF(MonthlyFAME!L459=0,"",MonthlyFAME!L459)</f>
        <v>275.77947759640602</v>
      </c>
      <c r="L457" s="21">
        <f>IF(MonthlyFAME!M459=0,"",MonthlyFAME!M459)</f>
        <v>1497.8</v>
      </c>
      <c r="M457" s="21" t="str">
        <f>IF(MonthlyFAME!N459=0,"",MonthlyFAME!N459)</f>
        <v/>
      </c>
      <c r="N457" s="21" t="str">
        <f>IF(MonthlyFAME!O459=0,"",MonthlyFAME!O459)</f>
        <v/>
      </c>
      <c r="O457" s="21" t="str">
        <f>IF(MonthlyFAME!P459=0,"",MonthlyFAME!P459)</f>
        <v/>
      </c>
      <c r="P457" s="21" t="str">
        <f>IF(MonthlyFAME!Q459=0,"",MonthlyFAME!Q459)</f>
        <v/>
      </c>
      <c r="Q457" s="21" t="str">
        <f>IF(MonthlyFAME!R459=0,"",MonthlyFAME!R459)</f>
        <v/>
      </c>
      <c r="R457" s="21" t="str">
        <f>IF(MonthlyFAME!S459=0,"",MonthlyFAME!S459)</f>
        <v/>
      </c>
      <c r="S457" s="21" t="str">
        <f>IF(MonthlyFAME!T459=0,"",MonthlyFAME!T459)</f>
        <v/>
      </c>
      <c r="T457" s="21">
        <f>IF(MonthlyFAME!U459=0,"",MonthlyFAME!U459)</f>
        <v>18.476818181818182</v>
      </c>
    </row>
    <row r="458" spans="1:20" x14ac:dyDescent="0.2">
      <c r="A458" s="23">
        <f>IF(MonthlyFAME!A460=0,"",MonthlyFAME!A460)</f>
        <v>35734</v>
      </c>
      <c r="B458" s="21">
        <f>IF(MonthlyFAME!B460=0,"",MonthlyFAME!B460)</f>
        <v>65.400000000000006</v>
      </c>
      <c r="C458" s="21">
        <f>IF(MonthlyFAME!C460=0,"",MonthlyFAME!C460)</f>
        <v>85</v>
      </c>
      <c r="D458" s="21">
        <f>IF(MonthlyFAME!D460=0,"",MonthlyFAME!D460)</f>
        <v>60.638599999999997</v>
      </c>
      <c r="E458" s="21">
        <f>IF(MonthlyFAME!F460=0,"",MonthlyFAME!F460)</f>
        <v>19429</v>
      </c>
      <c r="F458" s="21">
        <f>IF(MonthlyFAME!G460=0,"",MonthlyFAME!G460)</f>
        <v>18478</v>
      </c>
      <c r="G458" s="21">
        <f>IF(MonthlyFAME!H460=0,"",MonthlyFAME!H460)</f>
        <v>6.6954264870931537</v>
      </c>
      <c r="H458" s="21">
        <f>IF(MonthlyFAME!I460=0,"",MonthlyFAME!I460)</f>
        <v>26603</v>
      </c>
      <c r="I458" s="21">
        <f>IF(MonthlyFAME!J460=0,"",MonthlyFAME!J460)</f>
        <v>882.9</v>
      </c>
      <c r="J458" s="26">
        <v>522.35151515151517</v>
      </c>
      <c r="K458" s="21">
        <f>IF(MonthlyFAME!L460=0,"",MonthlyFAME!L460)</f>
        <v>276.634507610821</v>
      </c>
      <c r="L458" s="21">
        <f>IF(MonthlyFAME!M460=0,"",MonthlyFAME!M460)</f>
        <v>1464.1</v>
      </c>
      <c r="M458" s="21" t="str">
        <f>IF(MonthlyFAME!N460=0,"",MonthlyFAME!N460)</f>
        <v/>
      </c>
      <c r="N458" s="21" t="str">
        <f>IF(MonthlyFAME!O460=0,"",MonthlyFAME!O460)</f>
        <v/>
      </c>
      <c r="O458" s="21" t="str">
        <f>IF(MonthlyFAME!P460=0,"",MonthlyFAME!P460)</f>
        <v/>
      </c>
      <c r="P458" s="21" t="str">
        <f>IF(MonthlyFAME!Q460=0,"",MonthlyFAME!Q460)</f>
        <v/>
      </c>
      <c r="Q458" s="21" t="str">
        <f>IF(MonthlyFAME!R460=0,"",MonthlyFAME!R460)</f>
        <v/>
      </c>
      <c r="R458" s="21" t="str">
        <f>IF(MonthlyFAME!S460=0,"",MonthlyFAME!S460)</f>
        <v/>
      </c>
      <c r="S458" s="21" t="str">
        <f>IF(MonthlyFAME!T460=0,"",MonthlyFAME!T460)</f>
        <v/>
      </c>
      <c r="T458" s="21">
        <f>IF(MonthlyFAME!U460=0,"",MonthlyFAME!U460)</f>
        <v>19.906956521739129</v>
      </c>
    </row>
    <row r="459" spans="1:20" x14ac:dyDescent="0.2">
      <c r="A459" s="23">
        <f>IF(MonthlyFAME!A461=0,"",MonthlyFAME!A461)</f>
        <v>35764</v>
      </c>
      <c r="B459" s="21">
        <f>IF(MonthlyFAME!B461=0,"",MonthlyFAME!B461)</f>
        <v>65.7</v>
      </c>
      <c r="C459" s="21">
        <f>IF(MonthlyFAME!C461=0,"",MonthlyFAME!C461)</f>
        <v>85.1</v>
      </c>
      <c r="D459" s="21">
        <f>IF(MonthlyFAME!D461=0,"",MonthlyFAME!D461)</f>
        <v>60.882800000000003</v>
      </c>
      <c r="E459" s="21">
        <f>IF(MonthlyFAME!F461=0,"",MonthlyFAME!F461)</f>
        <v>18977</v>
      </c>
      <c r="F459" s="21">
        <f>IF(MonthlyFAME!G461=0,"",MonthlyFAME!G461)</f>
        <v>18202</v>
      </c>
      <c r="G459" s="21">
        <f>IF(MonthlyFAME!H461=0,"",MonthlyFAME!H461)</f>
        <v>6.6189624329159216</v>
      </c>
      <c r="H459" s="21">
        <f>IF(MonthlyFAME!I461=0,"",MonthlyFAME!I461)</f>
        <v>26622</v>
      </c>
      <c r="I459" s="21">
        <f>IF(MonthlyFAME!J461=0,"",MonthlyFAME!J461)</f>
        <v>884.5</v>
      </c>
      <c r="J459" s="26">
        <v>516.20000000000005</v>
      </c>
      <c r="K459" s="21">
        <f>IF(MonthlyFAME!L461=0,"",MonthlyFAME!L461)</f>
        <v>278.17034162290503</v>
      </c>
      <c r="L459" s="21">
        <f>IF(MonthlyFAME!M461=0,"",MonthlyFAME!M461)</f>
        <v>1431.7</v>
      </c>
      <c r="M459" s="21" t="str">
        <f>IF(MonthlyFAME!N461=0,"",MonthlyFAME!N461)</f>
        <v/>
      </c>
      <c r="N459" s="21" t="str">
        <f>IF(MonthlyFAME!O461=0,"",MonthlyFAME!O461)</f>
        <v/>
      </c>
      <c r="O459" s="21" t="str">
        <f>IF(MonthlyFAME!P461=0,"",MonthlyFAME!P461)</f>
        <v/>
      </c>
      <c r="P459" s="21" t="str">
        <f>IF(MonthlyFAME!Q461=0,"",MonthlyFAME!Q461)</f>
        <v/>
      </c>
      <c r="Q459" s="21" t="str">
        <f>IF(MonthlyFAME!R461=0,"",MonthlyFAME!R461)</f>
        <v/>
      </c>
      <c r="R459" s="21" t="str">
        <f>IF(MonthlyFAME!S461=0,"",MonthlyFAME!S461)</f>
        <v/>
      </c>
      <c r="S459" s="21" t="str">
        <f>IF(MonthlyFAME!T461=0,"",MonthlyFAME!T461)</f>
        <v/>
      </c>
      <c r="T459" s="21">
        <f>IF(MonthlyFAME!U461=0,"",MonthlyFAME!U461)</f>
        <v>19.149499999999996</v>
      </c>
    </row>
    <row r="460" spans="1:20" x14ac:dyDescent="0.2">
      <c r="A460" s="23">
        <f>IF(MonthlyFAME!A462=0,"",MonthlyFAME!A462)</f>
        <v>35795</v>
      </c>
      <c r="B460" s="21">
        <f>IF(MonthlyFAME!B462=0,"",MonthlyFAME!B462)</f>
        <v>66.2</v>
      </c>
      <c r="C460" s="21">
        <f>IF(MonthlyFAME!C462=0,"",MonthlyFAME!C462)</f>
        <v>85.3</v>
      </c>
      <c r="D460" s="21">
        <f>IF(MonthlyFAME!D462=0,"",MonthlyFAME!D462)</f>
        <v>61.445300000000003</v>
      </c>
      <c r="E460" s="21">
        <f>IF(MonthlyFAME!F462=0,"",MonthlyFAME!F462)</f>
        <v>20445</v>
      </c>
      <c r="F460" s="21">
        <f>IF(MonthlyFAME!G462=0,"",MonthlyFAME!G462)</f>
        <v>18889</v>
      </c>
      <c r="G460" s="21">
        <f>IF(MonthlyFAME!H462=0,"",MonthlyFAME!H462)</f>
        <v>6.5403508771929824</v>
      </c>
      <c r="H460" s="21">
        <f>IF(MonthlyFAME!I462=0,"",MonthlyFAME!I462)</f>
        <v>26636</v>
      </c>
      <c r="I460" s="21">
        <f>IF(MonthlyFAME!J462=0,"",MonthlyFAME!J462)</f>
        <v>879.8</v>
      </c>
      <c r="J460" s="26">
        <v>483.6848484848486</v>
      </c>
      <c r="K460" s="21">
        <f>IF(MonthlyFAME!L462=0,"",MonthlyFAME!L462)</f>
        <v>279.89422553291399</v>
      </c>
      <c r="L460" s="21">
        <f>IF(MonthlyFAME!M462=0,"",MonthlyFAME!M462)</f>
        <v>1410.5</v>
      </c>
      <c r="M460" s="21" t="str">
        <f>IF(MonthlyFAME!N462=0,"",MonthlyFAME!N462)</f>
        <v/>
      </c>
      <c r="N460" s="21" t="str">
        <f>IF(MonthlyFAME!O462=0,"",MonthlyFAME!O462)</f>
        <v/>
      </c>
      <c r="O460" s="21" t="str">
        <f>IF(MonthlyFAME!P462=0,"",MonthlyFAME!P462)</f>
        <v/>
      </c>
      <c r="P460" s="21" t="str">
        <f>IF(MonthlyFAME!Q462=0,"",MonthlyFAME!Q462)</f>
        <v/>
      </c>
      <c r="Q460" s="21" t="str">
        <f>IF(MonthlyFAME!R462=0,"",MonthlyFAME!R462)</f>
        <v/>
      </c>
      <c r="R460" s="21" t="str">
        <f>IF(MonthlyFAME!S462=0,"",MonthlyFAME!S462)</f>
        <v/>
      </c>
      <c r="S460" s="21" t="str">
        <f>IF(MonthlyFAME!T462=0,"",MonthlyFAME!T462)</f>
        <v/>
      </c>
      <c r="T460" s="21">
        <f>IF(MonthlyFAME!U462=0,"",MonthlyFAME!U462)</f>
        <v>17.094347826086949</v>
      </c>
    </row>
    <row r="461" spans="1:20" x14ac:dyDescent="0.2">
      <c r="A461" s="23">
        <f>IF(MonthlyFAME!A463=0,"",MonthlyFAME!A463)</f>
        <v>35826</v>
      </c>
      <c r="B461" s="21">
        <f>IF(MonthlyFAME!B463=0,"",MonthlyFAME!B463)</f>
        <v>66</v>
      </c>
      <c r="C461" s="21">
        <f>IF(MonthlyFAME!C463=0,"",MonthlyFAME!C463)</f>
        <v>85.3</v>
      </c>
      <c r="D461" s="21">
        <f>IF(MonthlyFAME!D463=0,"",MonthlyFAME!D463)</f>
        <v>61.107700000000001</v>
      </c>
      <c r="E461" s="21">
        <f>IF(MonthlyFAME!F463=0,"",MonthlyFAME!F463)</f>
        <v>19329</v>
      </c>
      <c r="F461" s="21">
        <f>IF(MonthlyFAME!G463=0,"",MonthlyFAME!G463)</f>
        <v>17908</v>
      </c>
      <c r="G461" s="21">
        <f>IF(MonthlyFAME!H463=0,"",MonthlyFAME!H463)</f>
        <v>6.400028116543071</v>
      </c>
      <c r="H461" s="21">
        <f>IF(MonthlyFAME!I463=0,"",MonthlyFAME!I463)</f>
        <v>26632</v>
      </c>
      <c r="I461" s="21">
        <f>IF(MonthlyFAME!J463=0,"",MonthlyFAME!J463)</f>
        <v>881.1</v>
      </c>
      <c r="J461" s="26">
        <v>488.95757575757591</v>
      </c>
      <c r="K461" s="21">
        <f>IF(MonthlyFAME!L463=0,"",MonthlyFAME!L463)</f>
        <v>281.52333079999499</v>
      </c>
      <c r="L461" s="21">
        <f>IF(MonthlyFAME!M463=0,"",MonthlyFAME!M463)</f>
        <v>1400.5</v>
      </c>
      <c r="M461" s="21" t="str">
        <f>IF(MonthlyFAME!N463=0,"",MonthlyFAME!N463)</f>
        <v/>
      </c>
      <c r="N461" s="21" t="str">
        <f>IF(MonthlyFAME!O463=0,"",MonthlyFAME!O463)</f>
        <v/>
      </c>
      <c r="O461" s="21" t="str">
        <f>IF(MonthlyFAME!P463=0,"",MonthlyFAME!P463)</f>
        <v/>
      </c>
      <c r="P461" s="21" t="str">
        <f>IF(MonthlyFAME!Q463=0,"",MonthlyFAME!Q463)</f>
        <v/>
      </c>
      <c r="Q461" s="21" t="str">
        <f>IF(MonthlyFAME!R463=0,"",MonthlyFAME!R463)</f>
        <v/>
      </c>
      <c r="R461" s="21" t="str">
        <f>IF(MonthlyFAME!S463=0,"",MonthlyFAME!S463)</f>
        <v/>
      </c>
      <c r="S461" s="21" t="str">
        <f>IF(MonthlyFAME!T463=0,"",MonthlyFAME!T463)</f>
        <v/>
      </c>
      <c r="T461" s="21">
        <f>IF(MonthlyFAME!U463=0,"",MonthlyFAME!U463)</f>
        <v>15.14818181818182</v>
      </c>
    </row>
    <row r="462" spans="1:20" x14ac:dyDescent="0.2">
      <c r="A462" s="23">
        <f>IF(MonthlyFAME!A464=0,"",MonthlyFAME!A464)</f>
        <v>35854</v>
      </c>
      <c r="B462" s="21">
        <f>IF(MonthlyFAME!B464=0,"",MonthlyFAME!B464)</f>
        <v>66.599999999999994</v>
      </c>
      <c r="C462" s="21">
        <f>IF(MonthlyFAME!C464=0,"",MonthlyFAME!C464)</f>
        <v>86.1</v>
      </c>
      <c r="D462" s="21">
        <f>IF(MonthlyFAME!D464=0,"",MonthlyFAME!D464)</f>
        <v>61.627400000000002</v>
      </c>
      <c r="E462" s="21">
        <f>IF(MonthlyFAME!F464=0,"",MonthlyFAME!F464)</f>
        <v>19492</v>
      </c>
      <c r="F462" s="21">
        <f>IF(MonthlyFAME!G464=0,"",MonthlyFAME!G464)</f>
        <v>19024</v>
      </c>
      <c r="G462" s="21">
        <f>IF(MonthlyFAME!H464=0,"",MonthlyFAME!H464)</f>
        <v>6.3777481210929272</v>
      </c>
      <c r="H462" s="21">
        <f>IF(MonthlyFAME!I464=0,"",MonthlyFAME!I464)</f>
        <v>26658</v>
      </c>
      <c r="I462" s="21">
        <f>IF(MonthlyFAME!J464=0,"",MonthlyFAME!J464)</f>
        <v>880.4</v>
      </c>
      <c r="J462" s="26">
        <v>483.33333333333354</v>
      </c>
      <c r="K462" s="21">
        <f>IF(MonthlyFAME!L464=0,"",MonthlyFAME!L464)</f>
        <v>283.007789703311</v>
      </c>
      <c r="L462" s="21">
        <f>IF(MonthlyFAME!M464=0,"",MonthlyFAME!M464)</f>
        <v>1380.7</v>
      </c>
      <c r="M462" s="21" t="str">
        <f>IF(MonthlyFAME!N464=0,"",MonthlyFAME!N464)</f>
        <v/>
      </c>
      <c r="N462" s="21" t="str">
        <f>IF(MonthlyFAME!O464=0,"",MonthlyFAME!O464)</f>
        <v/>
      </c>
      <c r="O462" s="21" t="str">
        <f>IF(MonthlyFAME!P464=0,"",MonthlyFAME!P464)</f>
        <v/>
      </c>
      <c r="P462" s="21" t="str">
        <f>IF(MonthlyFAME!Q464=0,"",MonthlyFAME!Q464)</f>
        <v/>
      </c>
      <c r="Q462" s="21" t="str">
        <f>IF(MonthlyFAME!R464=0,"",MonthlyFAME!R464)</f>
        <v/>
      </c>
      <c r="R462" s="21" t="str">
        <f>IF(MonthlyFAME!S464=0,"",MonthlyFAME!S464)</f>
        <v/>
      </c>
      <c r="S462" s="21" t="str">
        <f>IF(MonthlyFAME!T464=0,"",MonthlyFAME!T464)</f>
        <v/>
      </c>
      <c r="T462" s="21">
        <f>IF(MonthlyFAME!U464=0,"",MonthlyFAME!U464)</f>
        <v>14.014999999999997</v>
      </c>
    </row>
    <row r="463" spans="1:20" x14ac:dyDescent="0.2">
      <c r="A463" s="23">
        <f>IF(MonthlyFAME!A465=0,"",MonthlyFAME!A465)</f>
        <v>35885</v>
      </c>
      <c r="B463" s="21">
        <f>IF(MonthlyFAME!B465=0,"",MonthlyFAME!B465)</f>
        <v>66.400000000000006</v>
      </c>
      <c r="C463" s="21">
        <f>IF(MonthlyFAME!C465=0,"",MonthlyFAME!C465)</f>
        <v>86.7</v>
      </c>
      <c r="D463" s="21">
        <f>IF(MonthlyFAME!D465=0,"",MonthlyFAME!D465)</f>
        <v>61.294600000000003</v>
      </c>
      <c r="E463" s="21">
        <f>IF(MonthlyFAME!F465=0,"",MonthlyFAME!F465)</f>
        <v>19861</v>
      </c>
      <c r="F463" s="21">
        <f>IF(MonthlyFAME!G465=0,"",MonthlyFAME!G465)</f>
        <v>19887</v>
      </c>
      <c r="G463" s="21">
        <f>IF(MonthlyFAME!H465=0,"",MonthlyFAME!H465)</f>
        <v>6.3636363636363633</v>
      </c>
      <c r="H463" s="21">
        <f>IF(MonthlyFAME!I465=0,"",MonthlyFAME!I465)</f>
        <v>26677</v>
      </c>
      <c r="I463" s="21">
        <f>IF(MonthlyFAME!J465=0,"",MonthlyFAME!J465)</f>
        <v>884.1</v>
      </c>
      <c r="J463" s="26">
        <v>500.90909090909111</v>
      </c>
      <c r="K463" s="21">
        <f>IF(MonthlyFAME!L465=0,"",MonthlyFAME!L465)</f>
        <v>286.32633216413899</v>
      </c>
      <c r="L463" s="21">
        <f>IF(MonthlyFAME!M465=0,"",MonthlyFAME!M465)</f>
        <v>1364.9</v>
      </c>
      <c r="M463" s="21" t="str">
        <f>IF(MonthlyFAME!N465=0,"",MonthlyFAME!N465)</f>
        <v/>
      </c>
      <c r="N463" s="21" t="str">
        <f>IF(MonthlyFAME!O465=0,"",MonthlyFAME!O465)</f>
        <v/>
      </c>
      <c r="O463" s="21" t="str">
        <f>IF(MonthlyFAME!P465=0,"",MonthlyFAME!P465)</f>
        <v/>
      </c>
      <c r="P463" s="21" t="str">
        <f>IF(MonthlyFAME!Q465=0,"",MonthlyFAME!Q465)</f>
        <v/>
      </c>
      <c r="Q463" s="21" t="str">
        <f>IF(MonthlyFAME!R465=0,"",MonthlyFAME!R465)</f>
        <v/>
      </c>
      <c r="R463" s="21" t="str">
        <f>IF(MonthlyFAME!S465=0,"",MonthlyFAME!S465)</f>
        <v/>
      </c>
      <c r="S463" s="21" t="str">
        <f>IF(MonthlyFAME!T465=0,"",MonthlyFAME!T465)</f>
        <v/>
      </c>
      <c r="T463" s="21">
        <f>IF(MonthlyFAME!U465=0,"",MonthlyFAME!U465)</f>
        <v>13.128181818181817</v>
      </c>
    </row>
    <row r="464" spans="1:20" x14ac:dyDescent="0.2">
      <c r="A464" s="23">
        <f>IF(MonthlyFAME!A466=0,"",MonthlyFAME!A466)</f>
        <v>35915</v>
      </c>
      <c r="B464" s="21">
        <f>IF(MonthlyFAME!B466=0,"",MonthlyFAME!B466)</f>
        <v>66.900000000000006</v>
      </c>
      <c r="C464" s="21">
        <f>IF(MonthlyFAME!C466=0,"",MonthlyFAME!C466)</f>
        <v>87.1</v>
      </c>
      <c r="D464" s="21">
        <f>IF(MonthlyFAME!D466=0,"",MonthlyFAME!D466)</f>
        <v>61.927300000000002</v>
      </c>
      <c r="E464" s="21">
        <f>IF(MonthlyFAME!F466=0,"",MonthlyFAME!F466)</f>
        <v>19382</v>
      </c>
      <c r="F464" s="21">
        <f>IF(MonthlyFAME!G466=0,"",MonthlyFAME!G466)</f>
        <v>18967</v>
      </c>
      <c r="G464" s="21">
        <f>IF(MonthlyFAME!H466=0,"",MonthlyFAME!H466)</f>
        <v>6.3109520802638039</v>
      </c>
      <c r="H464" s="21">
        <f>IF(MonthlyFAME!I466=0,"",MonthlyFAME!I466)</f>
        <v>26707</v>
      </c>
      <c r="I464" s="21">
        <f>IF(MonthlyFAME!J466=0,"",MonthlyFAME!J466)</f>
        <v>885.9</v>
      </c>
      <c r="J464" s="26">
        <v>503.19393939393967</v>
      </c>
      <c r="K464" s="21">
        <f>IF(MonthlyFAME!L466=0,"",MonthlyFAME!L466)</f>
        <v>285.70380474544697</v>
      </c>
      <c r="L464" s="21">
        <f>IF(MonthlyFAME!M466=0,"",MonthlyFAME!M466)</f>
        <v>1359.4</v>
      </c>
      <c r="M464" s="21" t="str">
        <f>IF(MonthlyFAME!N466=0,"",MonthlyFAME!N466)</f>
        <v/>
      </c>
      <c r="N464" s="21" t="str">
        <f>IF(MonthlyFAME!O466=0,"",MonthlyFAME!O466)</f>
        <v/>
      </c>
      <c r="O464" s="21" t="str">
        <f>IF(MonthlyFAME!P466=0,"",MonthlyFAME!P466)</f>
        <v/>
      </c>
      <c r="P464" s="21" t="str">
        <f>IF(MonthlyFAME!Q466=0,"",MonthlyFAME!Q466)</f>
        <v/>
      </c>
      <c r="Q464" s="21" t="str">
        <f>IF(MonthlyFAME!R466=0,"",MonthlyFAME!R466)</f>
        <v/>
      </c>
      <c r="R464" s="21" t="str">
        <f>IF(MonthlyFAME!S466=0,"",MonthlyFAME!S466)</f>
        <v/>
      </c>
      <c r="S464" s="21" t="str">
        <f>IF(MonthlyFAME!T466=0,"",MonthlyFAME!T466)</f>
        <v/>
      </c>
      <c r="T464" s="21">
        <f>IF(MonthlyFAME!U466=0,"",MonthlyFAME!U466)</f>
        <v>13.509090909090908</v>
      </c>
    </row>
    <row r="465" spans="1:20" x14ac:dyDescent="0.2">
      <c r="A465" s="23">
        <f>IF(MonthlyFAME!A467=0,"",MonthlyFAME!A467)</f>
        <v>35946</v>
      </c>
      <c r="B465" s="21">
        <f>IF(MonthlyFAME!B467=0,"",MonthlyFAME!B467)</f>
        <v>66.7</v>
      </c>
      <c r="C465" s="21">
        <f>IF(MonthlyFAME!C467=0,"",MonthlyFAME!C467)</f>
        <v>86.4</v>
      </c>
      <c r="D465" s="21">
        <f>IF(MonthlyFAME!D467=0,"",MonthlyFAME!D467)</f>
        <v>61.8187</v>
      </c>
      <c r="E465" s="21">
        <f>IF(MonthlyFAME!F467=0,"",MonthlyFAME!F467)</f>
        <v>19210</v>
      </c>
      <c r="F465" s="21">
        <f>IF(MonthlyFAME!G467=0,"",MonthlyFAME!G467)</f>
        <v>19210</v>
      </c>
      <c r="G465" s="21">
        <f>IF(MonthlyFAME!H467=0,"",MonthlyFAME!H467)</f>
        <v>6.2712756623969117</v>
      </c>
      <c r="H465" s="21">
        <f>IF(MonthlyFAME!I467=0,"",MonthlyFAME!I467)</f>
        <v>26708</v>
      </c>
      <c r="I465" s="21">
        <f>IF(MonthlyFAME!J467=0,"",MonthlyFAME!J467)</f>
        <v>885.1</v>
      </c>
      <c r="J465" s="26">
        <v>506.53333333333359</v>
      </c>
      <c r="K465" s="21">
        <f>IF(MonthlyFAME!L467=0,"",MonthlyFAME!L467)</f>
        <v>286.77974673929202</v>
      </c>
      <c r="L465" s="21">
        <f>IF(MonthlyFAME!M467=0,"",MonthlyFAME!M467)</f>
        <v>1350</v>
      </c>
      <c r="M465" s="21" t="str">
        <f>IF(MonthlyFAME!N467=0,"",MonthlyFAME!N467)</f>
        <v/>
      </c>
      <c r="N465" s="21" t="str">
        <f>IF(MonthlyFAME!O467=0,"",MonthlyFAME!O467)</f>
        <v/>
      </c>
      <c r="O465" s="21" t="str">
        <f>IF(MonthlyFAME!P467=0,"",MonthlyFAME!P467)</f>
        <v/>
      </c>
      <c r="P465" s="21" t="str">
        <f>IF(MonthlyFAME!Q467=0,"",MonthlyFAME!Q467)</f>
        <v/>
      </c>
      <c r="Q465" s="21" t="str">
        <f>IF(MonthlyFAME!R467=0,"",MonthlyFAME!R467)</f>
        <v/>
      </c>
      <c r="R465" s="21" t="str">
        <f>IF(MonthlyFAME!S467=0,"",MonthlyFAME!S467)</f>
        <v/>
      </c>
      <c r="S465" s="21" t="str">
        <f>IF(MonthlyFAME!T467=0,"",MonthlyFAME!T467)</f>
        <v/>
      </c>
      <c r="T465" s="21">
        <f>IF(MonthlyFAME!U467=0,"",MonthlyFAME!U467)</f>
        <v>14.402380952380952</v>
      </c>
    </row>
    <row r="466" spans="1:20" x14ac:dyDescent="0.2">
      <c r="A466" s="23">
        <f>IF(MonthlyFAME!A468=0,"",MonthlyFAME!A468)</f>
        <v>35976</v>
      </c>
      <c r="B466" s="21">
        <f>IF(MonthlyFAME!B468=0,"",MonthlyFAME!B468)</f>
        <v>66.8</v>
      </c>
      <c r="C466" s="21">
        <f>IF(MonthlyFAME!C468=0,"",MonthlyFAME!C468)</f>
        <v>86.7</v>
      </c>
      <c r="D466" s="21">
        <f>IF(MonthlyFAME!D468=0,"",MonthlyFAME!D468)</f>
        <v>61.836500000000001</v>
      </c>
      <c r="E466" s="21">
        <f>IF(MonthlyFAME!F468=0,"",MonthlyFAME!F468)</f>
        <v>19479</v>
      </c>
      <c r="F466" s="21">
        <f>IF(MonthlyFAME!G468=0,"",MonthlyFAME!G468)</f>
        <v>20098</v>
      </c>
      <c r="G466" s="21">
        <f>IF(MonthlyFAME!H468=0,"",MonthlyFAME!H468)</f>
        <v>6.2831082266269078</v>
      </c>
      <c r="H466" s="21">
        <f>IF(MonthlyFAME!I468=0,"",MonthlyFAME!I468)</f>
        <v>26714</v>
      </c>
      <c r="I466" s="21">
        <f>IF(MonthlyFAME!J468=0,"",MonthlyFAME!J468)</f>
        <v>884.1</v>
      </c>
      <c r="J466" s="26">
        <v>523.93333333333362</v>
      </c>
      <c r="K466" s="21">
        <f>IF(MonthlyFAME!L468=0,"",MonthlyFAME!L468)</f>
        <v>285.22905315588798</v>
      </c>
      <c r="L466" s="21">
        <f>IF(MonthlyFAME!M468=0,"",MonthlyFAME!M468)</f>
        <v>1344.2</v>
      </c>
      <c r="M466" s="21" t="str">
        <f>IF(MonthlyFAME!N468=0,"",MonthlyFAME!N468)</f>
        <v/>
      </c>
      <c r="N466" s="21" t="str">
        <f>IF(MonthlyFAME!O468=0,"",MonthlyFAME!O468)</f>
        <v/>
      </c>
      <c r="O466" s="21" t="str">
        <f>IF(MonthlyFAME!P468=0,"",MonthlyFAME!P468)</f>
        <v/>
      </c>
      <c r="P466" s="21" t="str">
        <f>IF(MonthlyFAME!Q468=0,"",MonthlyFAME!Q468)</f>
        <v/>
      </c>
      <c r="Q466" s="21" t="str">
        <f>IF(MonthlyFAME!R468=0,"",MonthlyFAME!R468)</f>
        <v/>
      </c>
      <c r="R466" s="21" t="str">
        <f>IF(MonthlyFAME!S468=0,"",MonthlyFAME!S468)</f>
        <v/>
      </c>
      <c r="S466" s="21" t="str">
        <f>IF(MonthlyFAME!T468=0,"",MonthlyFAME!T468)</f>
        <v/>
      </c>
      <c r="T466" s="21">
        <f>IF(MonthlyFAME!U468=0,"",MonthlyFAME!U468)</f>
        <v>12.154090909090909</v>
      </c>
    </row>
    <row r="467" spans="1:20" x14ac:dyDescent="0.2">
      <c r="A467" s="23">
        <f>IF(MonthlyFAME!A469=0,"",MonthlyFAME!A469)</f>
        <v>36007</v>
      </c>
      <c r="B467" s="21">
        <f>IF(MonthlyFAME!B469=0,"",MonthlyFAME!B469)</f>
        <v>66.900000000000006</v>
      </c>
      <c r="C467" s="21">
        <f>IF(MonthlyFAME!C469=0,"",MonthlyFAME!C469)</f>
        <v>86.4</v>
      </c>
      <c r="D467" s="21">
        <f>IF(MonthlyFAME!D469=0,"",MonthlyFAME!D469)</f>
        <v>62.071100000000001</v>
      </c>
      <c r="E467" s="21">
        <f>IF(MonthlyFAME!F469=0,"",MonthlyFAME!F469)</f>
        <v>19371</v>
      </c>
      <c r="F467" s="21">
        <f>IF(MonthlyFAME!G469=0,"",MonthlyFAME!G469)</f>
        <v>19602</v>
      </c>
      <c r="G467" s="21">
        <f>IF(MonthlyFAME!H469=0,"",MonthlyFAME!H469)</f>
        <v>6.3003150157507877</v>
      </c>
      <c r="H467" s="21">
        <f>IF(MonthlyFAME!I469=0,"",MonthlyFAME!I469)</f>
        <v>26770</v>
      </c>
      <c r="I467" s="21">
        <f>IF(MonthlyFAME!J469=0,"",MonthlyFAME!J469)</f>
        <v>884.6</v>
      </c>
      <c r="J467" s="26">
        <v>527.44848484848512</v>
      </c>
      <c r="K467" s="21">
        <f>IF(MonthlyFAME!L469=0,"",MonthlyFAME!L469)</f>
        <v>287.96869674432997</v>
      </c>
      <c r="L467" s="21">
        <f>IF(MonthlyFAME!M469=0,"",MonthlyFAME!M469)</f>
        <v>1344</v>
      </c>
      <c r="M467" s="21" t="str">
        <f>IF(MonthlyFAME!N469=0,"",MonthlyFAME!N469)</f>
        <v/>
      </c>
      <c r="N467" s="21" t="str">
        <f>IF(MonthlyFAME!O469=0,"",MonthlyFAME!O469)</f>
        <v/>
      </c>
      <c r="O467" s="21" t="str">
        <f>IF(MonthlyFAME!P469=0,"",MonthlyFAME!P469)</f>
        <v/>
      </c>
      <c r="P467" s="21" t="str">
        <f>IF(MonthlyFAME!Q469=0,"",MonthlyFAME!Q469)</f>
        <v/>
      </c>
      <c r="Q467" s="21" t="str">
        <f>IF(MonthlyFAME!R469=0,"",MonthlyFAME!R469)</f>
        <v/>
      </c>
      <c r="R467" s="21" t="str">
        <f>IF(MonthlyFAME!S469=0,"",MonthlyFAME!S469)</f>
        <v/>
      </c>
      <c r="S467" s="21" t="str">
        <f>IF(MonthlyFAME!T469=0,"",MonthlyFAME!T469)</f>
        <v/>
      </c>
      <c r="T467" s="21">
        <f>IF(MonthlyFAME!U469=0,"",MonthlyFAME!U469)</f>
        <v>12.09</v>
      </c>
    </row>
    <row r="468" spans="1:20" x14ac:dyDescent="0.2">
      <c r="A468" s="23">
        <f>IF(MonthlyFAME!A470=0,"",MonthlyFAME!A470)</f>
        <v>36038</v>
      </c>
      <c r="B468" s="21">
        <f>IF(MonthlyFAME!B470=0,"",MonthlyFAME!B470)</f>
        <v>67.099999999999994</v>
      </c>
      <c r="C468" s="21">
        <f>IF(MonthlyFAME!C470=0,"",MonthlyFAME!C470)</f>
        <v>86.9</v>
      </c>
      <c r="D468" s="21">
        <f>IF(MonthlyFAME!D470=0,"",MonthlyFAME!D470)</f>
        <v>62.187100000000001</v>
      </c>
      <c r="E468" s="21">
        <f>IF(MonthlyFAME!F470=0,"",MonthlyFAME!F470)</f>
        <v>18828</v>
      </c>
      <c r="F468" s="21">
        <f>IF(MonthlyFAME!G470=0,"",MonthlyFAME!G470)</f>
        <v>18981</v>
      </c>
      <c r="G468" s="21">
        <f>IF(MonthlyFAME!H470=0,"",MonthlyFAME!H470)</f>
        <v>6.311340854318745</v>
      </c>
      <c r="H468" s="21">
        <f>IF(MonthlyFAME!I470=0,"",MonthlyFAME!I470)</f>
        <v>26824</v>
      </c>
      <c r="I468" s="21">
        <f>IF(MonthlyFAME!J470=0,"",MonthlyFAME!J470)</f>
        <v>885.4</v>
      </c>
      <c r="J468" s="26">
        <v>532.19393939393967</v>
      </c>
      <c r="K468" s="21">
        <f>IF(MonthlyFAME!L470=0,"",MonthlyFAME!L470)</f>
        <v>287.96172269469599</v>
      </c>
      <c r="L468" s="21">
        <f>IF(MonthlyFAME!M470=0,"",MonthlyFAME!M470)</f>
        <v>1340.7</v>
      </c>
      <c r="M468" s="21" t="str">
        <f>IF(MonthlyFAME!N470=0,"",MonthlyFAME!N470)</f>
        <v/>
      </c>
      <c r="N468" s="21" t="str">
        <f>IF(MonthlyFAME!O470=0,"",MonthlyFAME!O470)</f>
        <v/>
      </c>
      <c r="O468" s="21" t="str">
        <f>IF(MonthlyFAME!P470=0,"",MonthlyFAME!P470)</f>
        <v/>
      </c>
      <c r="P468" s="21" t="str">
        <f>IF(MonthlyFAME!Q470=0,"",MonthlyFAME!Q470)</f>
        <v/>
      </c>
      <c r="Q468" s="21" t="str">
        <f>IF(MonthlyFAME!R470=0,"",MonthlyFAME!R470)</f>
        <v/>
      </c>
      <c r="R468" s="21" t="str">
        <f>IF(MonthlyFAME!S470=0,"",MonthlyFAME!S470)</f>
        <v/>
      </c>
      <c r="S468" s="21" t="str">
        <f>IF(MonthlyFAME!T470=0,"",MonthlyFAME!T470)</f>
        <v/>
      </c>
      <c r="T468" s="21">
        <f>IF(MonthlyFAME!U470=0,"",MonthlyFAME!U470)</f>
        <v>11.96380952380952</v>
      </c>
    </row>
    <row r="469" spans="1:20" x14ac:dyDescent="0.2">
      <c r="A469" s="23">
        <f>IF(MonthlyFAME!A471=0,"",MonthlyFAME!A471)</f>
        <v>36068</v>
      </c>
      <c r="B469" s="21">
        <f>IF(MonthlyFAME!B471=0,"",MonthlyFAME!B471)</f>
        <v>67.099999999999994</v>
      </c>
      <c r="C469" s="21">
        <f>IF(MonthlyFAME!C471=0,"",MonthlyFAME!C471)</f>
        <v>87.2</v>
      </c>
      <c r="D469" s="21">
        <f>IF(MonthlyFAME!D471=0,"",MonthlyFAME!D471)</f>
        <v>62.114800000000002</v>
      </c>
      <c r="E469" s="21">
        <f>IF(MonthlyFAME!F471=0,"",MonthlyFAME!F471)</f>
        <v>18972</v>
      </c>
      <c r="F469" s="21">
        <f>IF(MonthlyFAME!G471=0,"",MonthlyFAME!G471)</f>
        <v>19916</v>
      </c>
      <c r="G469" s="21">
        <f>IF(MonthlyFAME!H471=0,"",MonthlyFAME!H471)</f>
        <v>6.2403913347309574</v>
      </c>
      <c r="H469" s="21">
        <f>IF(MonthlyFAME!I471=0,"",MonthlyFAME!I471)</f>
        <v>26834</v>
      </c>
      <c r="I469" s="21">
        <f>IF(MonthlyFAME!J471=0,"",MonthlyFAME!J471)</f>
        <v>887.6</v>
      </c>
      <c r="J469" s="26">
        <v>532.01818181818203</v>
      </c>
      <c r="K469" s="21">
        <f>IF(MonthlyFAME!L471=0,"",MonthlyFAME!L471)</f>
        <v>289.43109239673498</v>
      </c>
      <c r="L469" s="21">
        <f>IF(MonthlyFAME!M471=0,"",MonthlyFAME!M471)</f>
        <v>1327.2</v>
      </c>
      <c r="M469" s="21" t="str">
        <f>IF(MonthlyFAME!N471=0,"",MonthlyFAME!N471)</f>
        <v/>
      </c>
      <c r="N469" s="21" t="str">
        <f>IF(MonthlyFAME!O471=0,"",MonthlyFAME!O471)</f>
        <v/>
      </c>
      <c r="O469" s="21" t="str">
        <f>IF(MonthlyFAME!P471=0,"",MonthlyFAME!P471)</f>
        <v/>
      </c>
      <c r="P469" s="21" t="str">
        <f>IF(MonthlyFAME!Q471=0,"",MonthlyFAME!Q471)</f>
        <v/>
      </c>
      <c r="Q469" s="21" t="str">
        <f>IF(MonthlyFAME!R471=0,"",MonthlyFAME!R471)</f>
        <v/>
      </c>
      <c r="R469" s="21" t="str">
        <f>IF(MonthlyFAME!S471=0,"",MonthlyFAME!S471)</f>
        <v/>
      </c>
      <c r="S469" s="21" t="str">
        <f>IF(MonthlyFAME!T471=0,"",MonthlyFAME!T471)</f>
        <v/>
      </c>
      <c r="T469" s="21">
        <f>IF(MonthlyFAME!U471=0,"",MonthlyFAME!U471)</f>
        <v>13.408181818181816</v>
      </c>
    </row>
    <row r="470" spans="1:20" x14ac:dyDescent="0.2">
      <c r="A470" s="23">
        <f>IF(MonthlyFAME!A472=0,"",MonthlyFAME!A472)</f>
        <v>36099</v>
      </c>
      <c r="B470" s="21">
        <f>IF(MonthlyFAME!B472=0,"",MonthlyFAME!B472)</f>
        <v>67.3</v>
      </c>
      <c r="C470" s="21">
        <f>IF(MonthlyFAME!C472=0,"",MonthlyFAME!C472)</f>
        <v>87.2</v>
      </c>
      <c r="D470" s="21">
        <f>IF(MonthlyFAME!D472=0,"",MonthlyFAME!D472)</f>
        <v>62.310099999999998</v>
      </c>
      <c r="E470" s="21">
        <f>IF(MonthlyFAME!F472=0,"",MonthlyFAME!F472)</f>
        <v>19010</v>
      </c>
      <c r="F470" s="21">
        <f>IF(MonthlyFAME!G472=0,"",MonthlyFAME!G472)</f>
        <v>19396</v>
      </c>
      <c r="G470" s="21">
        <f>IF(MonthlyFAME!H472=0,"",MonthlyFAME!H472)</f>
        <v>6.2177250523377525</v>
      </c>
      <c r="H470" s="21">
        <f>IF(MonthlyFAME!I472=0,"",MonthlyFAME!I472)</f>
        <v>26878</v>
      </c>
      <c r="I470" s="21">
        <f>IF(MonthlyFAME!J472=0,"",MonthlyFAME!J472)</f>
        <v>888.2</v>
      </c>
      <c r="J470" s="26">
        <v>529.90909090909111</v>
      </c>
      <c r="K470" s="21">
        <f>IF(MonthlyFAME!L472=0,"",MonthlyFAME!L472)</f>
        <v>289.58378726166399</v>
      </c>
      <c r="L470" s="21">
        <f>IF(MonthlyFAME!M472=0,"",MonthlyFAME!M472)</f>
        <v>1321.9</v>
      </c>
      <c r="M470" s="21" t="str">
        <f>IF(MonthlyFAME!N472=0,"",MonthlyFAME!N472)</f>
        <v/>
      </c>
      <c r="N470" s="21" t="str">
        <f>IF(MonthlyFAME!O472=0,"",MonthlyFAME!O472)</f>
        <v/>
      </c>
      <c r="O470" s="21" t="str">
        <f>IF(MonthlyFAME!P472=0,"",MonthlyFAME!P472)</f>
        <v/>
      </c>
      <c r="P470" s="21" t="str">
        <f>IF(MonthlyFAME!Q472=0,"",MonthlyFAME!Q472)</f>
        <v/>
      </c>
      <c r="Q470" s="21" t="str">
        <f>IF(MonthlyFAME!R472=0,"",MonthlyFAME!R472)</f>
        <v/>
      </c>
      <c r="R470" s="21" t="str">
        <f>IF(MonthlyFAME!S472=0,"",MonthlyFAME!S472)</f>
        <v/>
      </c>
      <c r="S470" s="21" t="str">
        <f>IF(MonthlyFAME!T472=0,"",MonthlyFAME!T472)</f>
        <v/>
      </c>
      <c r="T470" s="21">
        <f>IF(MonthlyFAME!U472=0,"",MonthlyFAME!U472)</f>
        <v>12.620909090909093</v>
      </c>
    </row>
    <row r="471" spans="1:20" x14ac:dyDescent="0.2">
      <c r="A471" s="23">
        <f>IF(MonthlyFAME!A473=0,"",MonthlyFAME!A473)</f>
        <v>36129</v>
      </c>
      <c r="B471" s="21">
        <f>IF(MonthlyFAME!B473=0,"",MonthlyFAME!B473)</f>
        <v>67.7</v>
      </c>
      <c r="C471" s="21">
        <f>IF(MonthlyFAME!C473=0,"",MonthlyFAME!C473)</f>
        <v>87.4</v>
      </c>
      <c r="D471" s="21">
        <f>IF(MonthlyFAME!D473=0,"",MonthlyFAME!D473)</f>
        <v>62.669499999999999</v>
      </c>
      <c r="E471" s="21">
        <f>IF(MonthlyFAME!F473=0,"",MonthlyFAME!F473)</f>
        <v>19037</v>
      </c>
      <c r="F471" s="21">
        <f>IF(MonthlyFAME!G473=0,"",MonthlyFAME!G473)</f>
        <v>19654</v>
      </c>
      <c r="G471" s="21">
        <f>IF(MonthlyFAME!H473=0,"",MonthlyFAME!H473)</f>
        <v>6.1587766050092316</v>
      </c>
      <c r="H471" s="21">
        <f>IF(MonthlyFAME!I473=0,"",MonthlyFAME!I473)</f>
        <v>26939</v>
      </c>
      <c r="I471" s="21">
        <f>IF(MonthlyFAME!J473=0,"",MonthlyFAME!J473)</f>
        <v>888.5</v>
      </c>
      <c r="J471" s="26">
        <v>532.36969696969709</v>
      </c>
      <c r="K471" s="21">
        <f>IF(MonthlyFAME!L473=0,"",MonthlyFAME!L473)</f>
        <v>290.657293743369</v>
      </c>
      <c r="L471" s="21">
        <f>IF(MonthlyFAME!M473=0,"",MonthlyFAME!M473)</f>
        <v>1325.3</v>
      </c>
      <c r="M471" s="21" t="str">
        <f>IF(MonthlyFAME!N473=0,"",MonthlyFAME!N473)</f>
        <v/>
      </c>
      <c r="N471" s="21" t="str">
        <f>IF(MonthlyFAME!O473=0,"",MonthlyFAME!O473)</f>
        <v/>
      </c>
      <c r="O471" s="21" t="str">
        <f>IF(MonthlyFAME!P473=0,"",MonthlyFAME!P473)</f>
        <v/>
      </c>
      <c r="P471" s="21" t="str">
        <f>IF(MonthlyFAME!Q473=0,"",MonthlyFAME!Q473)</f>
        <v/>
      </c>
      <c r="Q471" s="21" t="str">
        <f>IF(MonthlyFAME!R473=0,"",MonthlyFAME!R473)</f>
        <v/>
      </c>
      <c r="R471" s="21" t="str">
        <f>IF(MonthlyFAME!S473=0,"",MonthlyFAME!S473)</f>
        <v/>
      </c>
      <c r="S471" s="21" t="str">
        <f>IF(MonthlyFAME!T473=0,"",MonthlyFAME!T473)</f>
        <v/>
      </c>
      <c r="T471" s="21">
        <f>IF(MonthlyFAME!U473=0,"",MonthlyFAME!U473)</f>
        <v>10.987619047619045</v>
      </c>
    </row>
    <row r="472" spans="1:20" x14ac:dyDescent="0.2">
      <c r="A472" s="23">
        <f>IF(MonthlyFAME!A474=0,"",MonthlyFAME!A474)</f>
        <v>36160</v>
      </c>
      <c r="B472" s="21">
        <f>IF(MonthlyFAME!B474=0,"",MonthlyFAME!B474)</f>
        <v>67.8</v>
      </c>
      <c r="C472" s="21">
        <f>IF(MonthlyFAME!C474=0,"",MonthlyFAME!C474)</f>
        <v>87.7</v>
      </c>
      <c r="D472" s="21">
        <f>IF(MonthlyFAME!D474=0,"",MonthlyFAME!D474)</f>
        <v>62.709699999999998</v>
      </c>
      <c r="E472" s="21">
        <f>IF(MonthlyFAME!F474=0,"",MonthlyFAME!F474)</f>
        <v>19318</v>
      </c>
      <c r="F472" s="21">
        <f>IF(MonthlyFAME!G474=0,"",MonthlyFAME!G474)</f>
        <v>19562</v>
      </c>
      <c r="G472" s="21">
        <f>IF(MonthlyFAME!H474=0,"",MonthlyFAME!H474)</f>
        <v>6.1422751488561582</v>
      </c>
      <c r="H472" s="21">
        <f>IF(MonthlyFAME!I474=0,"",MonthlyFAME!I474)</f>
        <v>26955</v>
      </c>
      <c r="I472" s="21">
        <f>IF(MonthlyFAME!J474=0,"",MonthlyFAME!J474)</f>
        <v>883.2</v>
      </c>
      <c r="J472" s="26">
        <v>535.00606060606071</v>
      </c>
      <c r="K472" s="21">
        <f>IF(MonthlyFAME!L474=0,"",MonthlyFAME!L474)</f>
        <v>291.59474736481098</v>
      </c>
      <c r="L472" s="21">
        <f>IF(MonthlyFAME!M474=0,"",MonthlyFAME!M474)</f>
        <v>1314.3</v>
      </c>
      <c r="M472" s="21" t="str">
        <f>IF(MonthlyFAME!N474=0,"",MonthlyFAME!N474)</f>
        <v/>
      </c>
      <c r="N472" s="21" t="str">
        <f>IF(MonthlyFAME!O474=0,"",MonthlyFAME!O474)</f>
        <v/>
      </c>
      <c r="O472" s="21" t="str">
        <f>IF(MonthlyFAME!P474=0,"",MonthlyFAME!P474)</f>
        <v/>
      </c>
      <c r="P472" s="21" t="str">
        <f>IF(MonthlyFAME!Q474=0,"",MonthlyFAME!Q474)</f>
        <v/>
      </c>
      <c r="Q472" s="21" t="str">
        <f>IF(MonthlyFAME!R474=0,"",MonthlyFAME!R474)</f>
        <v/>
      </c>
      <c r="R472" s="21" t="str">
        <f>IF(MonthlyFAME!S474=0,"",MonthlyFAME!S474)</f>
        <v/>
      </c>
      <c r="S472" s="21" t="str">
        <f>IF(MonthlyFAME!T474=0,"",MonthlyFAME!T474)</f>
        <v/>
      </c>
      <c r="T472" s="21">
        <f>IF(MonthlyFAME!U474=0,"",MonthlyFAME!U474)</f>
        <v>9.8791304347826117</v>
      </c>
    </row>
    <row r="473" spans="1:20" x14ac:dyDescent="0.2">
      <c r="A473" s="23">
        <f>IF(MonthlyFAME!A475=0,"",MonthlyFAME!A475)</f>
        <v>36191</v>
      </c>
      <c r="B473" s="21">
        <f>IF(MonthlyFAME!B475=0,"",MonthlyFAME!B475)</f>
        <v>67.900000000000006</v>
      </c>
      <c r="C473" s="21">
        <f>IF(MonthlyFAME!C475=0,"",MonthlyFAME!C475)</f>
        <v>89</v>
      </c>
      <c r="D473" s="21">
        <f>IF(MonthlyFAME!D475=0,"",MonthlyFAME!D475)</f>
        <v>62.460099999999997</v>
      </c>
      <c r="E473" s="21">
        <f>IF(MonthlyFAME!F475=0,"",MonthlyFAME!F475)</f>
        <v>18332</v>
      </c>
      <c r="F473" s="21">
        <f>IF(MonthlyFAME!G475=0,"",MonthlyFAME!G475)</f>
        <v>19612</v>
      </c>
      <c r="G473" s="21">
        <f>IF(MonthlyFAME!H475=0,"",MonthlyFAME!H475)</f>
        <v>6.2174366099340048</v>
      </c>
      <c r="H473" s="21">
        <f>IF(MonthlyFAME!I475=0,"",MonthlyFAME!I475)</f>
        <v>27000</v>
      </c>
      <c r="I473" s="21">
        <f>IF(MonthlyFAME!J475=0,"",MonthlyFAME!J475)</f>
        <v>887.2</v>
      </c>
      <c r="J473" s="26">
        <v>532.8969696969699</v>
      </c>
      <c r="K473" s="21">
        <f>IF(MonthlyFAME!L475=0,"",MonthlyFAME!L475)</f>
        <v>293.45149966055402</v>
      </c>
      <c r="L473" s="21">
        <f>IF(MonthlyFAME!M475=0,"",MonthlyFAME!M475)</f>
        <v>1309.7</v>
      </c>
      <c r="M473" s="21" t="str">
        <f>IF(MonthlyFAME!N475=0,"",MonthlyFAME!N475)</f>
        <v/>
      </c>
      <c r="N473" s="21" t="str">
        <f>IF(MonthlyFAME!O475=0,"",MonthlyFAME!O475)</f>
        <v/>
      </c>
      <c r="O473" s="21" t="str">
        <f>IF(MonthlyFAME!P475=0,"",MonthlyFAME!P475)</f>
        <v/>
      </c>
      <c r="P473" s="21" t="str">
        <f>IF(MonthlyFAME!Q475=0,"",MonthlyFAME!Q475)</f>
        <v/>
      </c>
      <c r="Q473" s="21" t="str">
        <f>IF(MonthlyFAME!R475=0,"",MonthlyFAME!R475)</f>
        <v/>
      </c>
      <c r="R473" s="21" t="str">
        <f>IF(MonthlyFAME!S475=0,"",MonthlyFAME!S475)</f>
        <v/>
      </c>
      <c r="S473" s="21" t="str">
        <f>IF(MonthlyFAME!T475=0,"",MonthlyFAME!T475)</f>
        <v/>
      </c>
      <c r="T473" s="21">
        <f>IF(MonthlyFAME!U475=0,"",MonthlyFAME!U475)</f>
        <v>11.045714285714288</v>
      </c>
    </row>
    <row r="474" spans="1:20" x14ac:dyDescent="0.2">
      <c r="A474" s="23">
        <f>IF(MonthlyFAME!A476=0,"",MonthlyFAME!A476)</f>
        <v>36219</v>
      </c>
      <c r="B474" s="21">
        <f>IF(MonthlyFAME!B476=0,"",MonthlyFAME!B476)</f>
        <v>68.099999999999994</v>
      </c>
      <c r="C474" s="21">
        <f>IF(MonthlyFAME!C476=0,"",MonthlyFAME!C476)</f>
        <v>89.1</v>
      </c>
      <c r="D474" s="21">
        <f>IF(MonthlyFAME!D476=0,"",MonthlyFAME!D476)</f>
        <v>62.7376</v>
      </c>
      <c r="E474" s="21">
        <f>IF(MonthlyFAME!F476=0,"",MonthlyFAME!F476)</f>
        <v>18637</v>
      </c>
      <c r="F474" s="21">
        <f>IF(MonthlyFAME!G476=0,"",MonthlyFAME!G476)</f>
        <v>19671</v>
      </c>
      <c r="G474" s="21">
        <f>IF(MonthlyFAME!H476=0,"",MonthlyFAME!H476)</f>
        <v>6.226572261557684</v>
      </c>
      <c r="H474" s="21">
        <f>IF(MonthlyFAME!I476=0,"",MonthlyFAME!I476)</f>
        <v>27018</v>
      </c>
      <c r="I474" s="21">
        <f>IF(MonthlyFAME!J476=0,"",MonthlyFAME!J476)</f>
        <v>888</v>
      </c>
      <c r="J474" s="26">
        <v>536.58787878787905</v>
      </c>
      <c r="K474" s="21">
        <f>IF(MonthlyFAME!L476=0,"",MonthlyFAME!L476)</f>
        <v>296.70613032445698</v>
      </c>
      <c r="L474" s="21">
        <f>IF(MonthlyFAME!M476=0,"",MonthlyFAME!M476)</f>
        <v>1304.5</v>
      </c>
      <c r="M474" s="21" t="str">
        <f>IF(MonthlyFAME!N476=0,"",MonthlyFAME!N476)</f>
        <v/>
      </c>
      <c r="N474" s="21" t="str">
        <f>IF(MonthlyFAME!O476=0,"",MonthlyFAME!O476)</f>
        <v/>
      </c>
      <c r="O474" s="21" t="str">
        <f>IF(MonthlyFAME!P476=0,"",MonthlyFAME!P476)</f>
        <v/>
      </c>
      <c r="P474" s="21" t="str">
        <f>IF(MonthlyFAME!Q476=0,"",MonthlyFAME!Q476)</f>
        <v/>
      </c>
      <c r="Q474" s="21" t="str">
        <f>IF(MonthlyFAME!R476=0,"",MonthlyFAME!R476)</f>
        <v/>
      </c>
      <c r="R474" s="21" t="str">
        <f>IF(MonthlyFAME!S476=0,"",MonthlyFAME!S476)</f>
        <v/>
      </c>
      <c r="S474" s="21" t="str">
        <f>IF(MonthlyFAME!T476=0,"",MonthlyFAME!T476)</f>
        <v/>
      </c>
      <c r="T474" s="21">
        <f>IF(MonthlyFAME!U476=0,"",MonthlyFAME!U476)</f>
        <v>10.236000000000001</v>
      </c>
    </row>
    <row r="475" spans="1:20" x14ac:dyDescent="0.2">
      <c r="A475" s="23">
        <f>IF(MonthlyFAME!A477=0,"",MonthlyFAME!A477)</f>
        <v>36250</v>
      </c>
      <c r="B475" s="21">
        <f>IF(MonthlyFAME!B477=0,"",MonthlyFAME!B477)</f>
        <v>68.099999999999994</v>
      </c>
      <c r="C475" s="21">
        <f>IF(MonthlyFAME!C477=0,"",MonthlyFAME!C477)</f>
        <v>90</v>
      </c>
      <c r="D475" s="21">
        <f>IF(MonthlyFAME!D477=0,"",MonthlyFAME!D477)</f>
        <v>62.551099999999998</v>
      </c>
      <c r="E475" s="21">
        <f>IF(MonthlyFAME!F477=0,"",MonthlyFAME!F477)</f>
        <v>19592</v>
      </c>
      <c r="F475" s="21">
        <f>IF(MonthlyFAME!G477=0,"",MonthlyFAME!G477)</f>
        <v>20632</v>
      </c>
      <c r="G475" s="21">
        <f>IF(MonthlyFAME!H477=0,"",MonthlyFAME!H477)</f>
        <v>6.1771238200999443</v>
      </c>
      <c r="H475" s="21">
        <f>IF(MonthlyFAME!I477=0,"",MonthlyFAME!I477)</f>
        <v>27036</v>
      </c>
      <c r="I475" s="21">
        <f>IF(MonthlyFAME!J477=0,"",MonthlyFAME!J477)</f>
        <v>888.3</v>
      </c>
      <c r="J475" s="26">
        <v>528.67878787878817</v>
      </c>
      <c r="K475" s="21">
        <f>IF(MonthlyFAME!L477=0,"",MonthlyFAME!L477)</f>
        <v>299.69781791261101</v>
      </c>
      <c r="L475" s="21">
        <f>IF(MonthlyFAME!M477=0,"",MonthlyFAME!M477)</f>
        <v>1297.5</v>
      </c>
      <c r="M475" s="21" t="str">
        <f>IF(MonthlyFAME!N477=0,"",MonthlyFAME!N477)</f>
        <v/>
      </c>
      <c r="N475" s="21" t="str">
        <f>IF(MonthlyFAME!O477=0,"",MonthlyFAME!O477)</f>
        <v/>
      </c>
      <c r="O475" s="21" t="str">
        <f>IF(MonthlyFAME!P477=0,"",MonthlyFAME!P477)</f>
        <v/>
      </c>
      <c r="P475" s="21" t="str">
        <f>IF(MonthlyFAME!Q477=0,"",MonthlyFAME!Q477)</f>
        <v/>
      </c>
      <c r="Q475" s="21" t="str">
        <f>IF(MonthlyFAME!R477=0,"",MonthlyFAME!R477)</f>
        <v/>
      </c>
      <c r="R475" s="21" t="str">
        <f>IF(MonthlyFAME!S477=0,"",MonthlyFAME!S477)</f>
        <v/>
      </c>
      <c r="S475" s="21" t="str">
        <f>IF(MonthlyFAME!T477=0,"",MonthlyFAME!T477)</f>
        <v/>
      </c>
      <c r="T475" s="21">
        <f>IF(MonthlyFAME!U477=0,"",MonthlyFAME!U477)</f>
        <v>12.534782608695652</v>
      </c>
    </row>
    <row r="476" spans="1:20" x14ac:dyDescent="0.2">
      <c r="A476" s="23">
        <f>IF(MonthlyFAME!A478=0,"",MonthlyFAME!A478)</f>
        <v>36280</v>
      </c>
      <c r="B476" s="21">
        <f>IF(MonthlyFAME!B478=0,"",MonthlyFAME!B478)</f>
        <v>67.8</v>
      </c>
      <c r="C476" s="21">
        <f>IF(MonthlyFAME!C478=0,"",MonthlyFAME!C478)</f>
        <v>89.8</v>
      </c>
      <c r="D476" s="21">
        <f>IF(MonthlyFAME!D478=0,"",MonthlyFAME!D478)</f>
        <v>62.199300000000001</v>
      </c>
      <c r="E476" s="21">
        <f>IF(MonthlyFAME!F478=0,"",MonthlyFAME!F478)</f>
        <v>18972</v>
      </c>
      <c r="F476" s="21">
        <f>IF(MonthlyFAME!G478=0,"",MonthlyFAME!G478)</f>
        <v>19796</v>
      </c>
      <c r="G476" s="21">
        <f>IF(MonthlyFAME!H478=0,"",MonthlyFAME!H478)</f>
        <v>6.1530452889120246</v>
      </c>
      <c r="H476" s="21">
        <f>IF(MonthlyFAME!I478=0,"",MonthlyFAME!I478)</f>
        <v>27042</v>
      </c>
      <c r="I476" s="21">
        <f>IF(MonthlyFAME!J478=0,"",MonthlyFAME!J478)</f>
        <v>886.2</v>
      </c>
      <c r="J476" s="26">
        <v>524.63636363636397</v>
      </c>
      <c r="K476" s="21">
        <f>IF(MonthlyFAME!L478=0,"",MonthlyFAME!L478)</f>
        <v>295.75035916348901</v>
      </c>
      <c r="L476" s="21">
        <f>IF(MonthlyFAME!M478=0,"",MonthlyFAME!M478)</f>
        <v>1288.0999999999999</v>
      </c>
      <c r="M476" s="21" t="str">
        <f>IF(MonthlyFAME!N478=0,"",MonthlyFAME!N478)</f>
        <v/>
      </c>
      <c r="N476" s="21" t="str">
        <f>IF(MonthlyFAME!O478=0,"",MonthlyFAME!O478)</f>
        <v/>
      </c>
      <c r="O476" s="21" t="str">
        <f>IF(MonthlyFAME!P478=0,"",MonthlyFAME!P478)</f>
        <v/>
      </c>
      <c r="P476" s="21" t="str">
        <f>IF(MonthlyFAME!Q478=0,"",MonthlyFAME!Q478)</f>
        <v/>
      </c>
      <c r="Q476" s="21" t="str">
        <f>IF(MonthlyFAME!R478=0,"",MonthlyFAME!R478)</f>
        <v/>
      </c>
      <c r="R476" s="21" t="str">
        <f>IF(MonthlyFAME!S478=0,"",MonthlyFAME!S478)</f>
        <v/>
      </c>
      <c r="S476" s="21" t="str">
        <f>IF(MonthlyFAME!T478=0,"",MonthlyFAME!T478)</f>
        <v/>
      </c>
      <c r="T476" s="21">
        <f>IF(MonthlyFAME!U478=0,"",MonthlyFAME!U478)</f>
        <v>15.25272727272727</v>
      </c>
    </row>
    <row r="477" spans="1:20" x14ac:dyDescent="0.2">
      <c r="A477" s="23">
        <f>IF(MonthlyFAME!A479=0,"",MonthlyFAME!A479)</f>
        <v>36311</v>
      </c>
      <c r="B477" s="21">
        <f>IF(MonthlyFAME!B479=0,"",MonthlyFAME!B479)</f>
        <v>68.599999999999994</v>
      </c>
      <c r="C477" s="21">
        <f>IF(MonthlyFAME!C479=0,"",MonthlyFAME!C479)</f>
        <v>90.7</v>
      </c>
      <c r="D477" s="21">
        <f>IF(MonthlyFAME!D479=0,"",MonthlyFAME!D479)</f>
        <v>62.893700000000003</v>
      </c>
      <c r="E477" s="21">
        <f>IF(MonthlyFAME!F479=0,"",MonthlyFAME!F479)</f>
        <v>19443</v>
      </c>
      <c r="F477" s="21">
        <f>IF(MonthlyFAME!G479=0,"",MonthlyFAME!G479)</f>
        <v>19702</v>
      </c>
      <c r="G477" s="21">
        <f>IF(MonthlyFAME!H479=0,"",MonthlyFAME!H479)</f>
        <v>6.1072940523284061</v>
      </c>
      <c r="H477" s="21">
        <f>IF(MonthlyFAME!I479=0,"",MonthlyFAME!I479)</f>
        <v>27058</v>
      </c>
      <c r="I477" s="21">
        <f>IF(MonthlyFAME!J479=0,"",MonthlyFAME!J479)</f>
        <v>887.3</v>
      </c>
      <c r="J477" s="26">
        <v>519.71515151515177</v>
      </c>
      <c r="K477" s="21">
        <f>IF(MonthlyFAME!L479=0,"",MonthlyFAME!L479)</f>
        <v>297.87986351082498</v>
      </c>
      <c r="L477" s="21">
        <f>IF(MonthlyFAME!M479=0,"",MonthlyFAME!M479)</f>
        <v>1273.0999999999999</v>
      </c>
      <c r="M477" s="21" t="str">
        <f>IF(MonthlyFAME!N479=0,"",MonthlyFAME!N479)</f>
        <v/>
      </c>
      <c r="N477" s="21" t="str">
        <f>IF(MonthlyFAME!O479=0,"",MonthlyFAME!O479)</f>
        <v/>
      </c>
      <c r="O477" s="21" t="str">
        <f>IF(MonthlyFAME!P479=0,"",MonthlyFAME!P479)</f>
        <v/>
      </c>
      <c r="P477" s="21" t="str">
        <f>IF(MonthlyFAME!Q479=0,"",MonthlyFAME!Q479)</f>
        <v/>
      </c>
      <c r="Q477" s="21" t="str">
        <f>IF(MonthlyFAME!R479=0,"",MonthlyFAME!R479)</f>
        <v/>
      </c>
      <c r="R477" s="21" t="str">
        <f>IF(MonthlyFAME!S479=0,"",MonthlyFAME!S479)</f>
        <v/>
      </c>
      <c r="S477" s="21" t="str">
        <f>IF(MonthlyFAME!T479=0,"",MonthlyFAME!T479)</f>
        <v/>
      </c>
      <c r="T477" s="21">
        <f>IF(MonthlyFAME!U479=0,"",MonthlyFAME!U479)</f>
        <v>15.264285714285714</v>
      </c>
    </row>
    <row r="478" spans="1:20" x14ac:dyDescent="0.2">
      <c r="A478" s="23">
        <f>IF(MonthlyFAME!A480=0,"",MonthlyFAME!A480)</f>
        <v>36341</v>
      </c>
      <c r="B478" s="21">
        <f>IF(MonthlyFAME!B480=0,"",MonthlyFAME!B480)</f>
        <v>68.7</v>
      </c>
      <c r="C478" s="21">
        <f>IF(MonthlyFAME!C480=0,"",MonthlyFAME!C480)</f>
        <v>90.5</v>
      </c>
      <c r="D478" s="21">
        <f>IF(MonthlyFAME!D480=0,"",MonthlyFAME!D480)</f>
        <v>62.998199999999997</v>
      </c>
      <c r="E478" s="21">
        <f>IF(MonthlyFAME!F480=0,"",MonthlyFAME!F480)</f>
        <v>19271</v>
      </c>
      <c r="F478" s="21">
        <f>IF(MonthlyFAME!G480=0,"",MonthlyFAME!G480)</f>
        <v>20967</v>
      </c>
      <c r="G478" s="21">
        <f>IF(MonthlyFAME!H480=0,"",MonthlyFAME!H480)</f>
        <v>6.0441084679936194</v>
      </c>
      <c r="H478" s="21">
        <f>IF(MonthlyFAME!I480=0,"",MonthlyFAME!I480)</f>
        <v>27095</v>
      </c>
      <c r="I478" s="21">
        <f>IF(MonthlyFAME!J480=0,"",MonthlyFAME!J480)</f>
        <v>890.6</v>
      </c>
      <c r="J478" s="26">
        <v>535.357575757576</v>
      </c>
      <c r="K478" s="21">
        <f>IF(MonthlyFAME!L480=0,"",MonthlyFAME!L480)</f>
        <v>299.68374939011301</v>
      </c>
      <c r="L478" s="21">
        <f>IF(MonthlyFAME!M480=0,"",MonthlyFAME!M480)</f>
        <v>1263.0999999999999</v>
      </c>
      <c r="M478" s="21" t="str">
        <f>IF(MonthlyFAME!N480=0,"",MonthlyFAME!N480)</f>
        <v/>
      </c>
      <c r="N478" s="21" t="str">
        <f>IF(MonthlyFAME!O480=0,"",MonthlyFAME!O480)</f>
        <v/>
      </c>
      <c r="O478" s="21" t="str">
        <f>IF(MonthlyFAME!P480=0,"",MonthlyFAME!P480)</f>
        <v/>
      </c>
      <c r="P478" s="21" t="str">
        <f>IF(MonthlyFAME!Q480=0,"",MonthlyFAME!Q480)</f>
        <v/>
      </c>
      <c r="Q478" s="21" t="str">
        <f>IF(MonthlyFAME!R480=0,"",MonthlyFAME!R480)</f>
        <v/>
      </c>
      <c r="R478" s="21" t="str">
        <f>IF(MonthlyFAME!S480=0,"",MonthlyFAME!S480)</f>
        <v/>
      </c>
      <c r="S478" s="21" t="str">
        <f>IF(MonthlyFAME!T480=0,"",MonthlyFAME!T480)</f>
        <v/>
      </c>
      <c r="T478" s="21">
        <f>IF(MonthlyFAME!U480=0,"",MonthlyFAME!U480)</f>
        <v>15.85181818181818</v>
      </c>
    </row>
    <row r="479" spans="1:20" x14ac:dyDescent="0.2">
      <c r="A479" s="23">
        <f>IF(MonthlyFAME!A481=0,"",MonthlyFAME!A481)</f>
        <v>36372</v>
      </c>
      <c r="B479" s="21">
        <f>IF(MonthlyFAME!B481=0,"",MonthlyFAME!B481)</f>
        <v>69.2</v>
      </c>
      <c r="C479" s="21">
        <f>IF(MonthlyFAME!C481=0,"",MonthlyFAME!C481)</f>
        <v>91.4</v>
      </c>
      <c r="D479" s="21">
        <f>IF(MonthlyFAME!D481=0,"",MonthlyFAME!D481)</f>
        <v>63.444000000000003</v>
      </c>
      <c r="E479" s="21">
        <f>IF(MonthlyFAME!F481=0,"",MonthlyFAME!F481)</f>
        <v>19678</v>
      </c>
      <c r="F479" s="21">
        <f>IF(MonthlyFAME!G481=0,"",MonthlyFAME!G481)</f>
        <v>20841</v>
      </c>
      <c r="G479" s="21">
        <f>IF(MonthlyFAME!H481=0,"",MonthlyFAME!H481)</f>
        <v>5.9747555308967337</v>
      </c>
      <c r="H479" s="21">
        <f>IF(MonthlyFAME!I481=0,"",MonthlyFAME!I481)</f>
        <v>27115</v>
      </c>
      <c r="I479" s="21">
        <f>IF(MonthlyFAME!J481=0,"",MonthlyFAME!J481)</f>
        <v>892.3</v>
      </c>
      <c r="J479" s="26">
        <v>537.11515151515175</v>
      </c>
      <c r="K479" s="21">
        <f>IF(MonthlyFAME!L481=0,"",MonthlyFAME!L481)</f>
        <v>299.33722836513198</v>
      </c>
      <c r="L479" s="21">
        <f>IF(MonthlyFAME!M481=0,"",MonthlyFAME!M481)</f>
        <v>1244.7</v>
      </c>
      <c r="M479" s="21" t="str">
        <f>IF(MonthlyFAME!N481=0,"",MonthlyFAME!N481)</f>
        <v/>
      </c>
      <c r="N479" s="21" t="str">
        <f>IF(MonthlyFAME!O481=0,"",MonthlyFAME!O481)</f>
        <v/>
      </c>
      <c r="O479" s="21" t="str">
        <f>IF(MonthlyFAME!P481=0,"",MonthlyFAME!P481)</f>
        <v/>
      </c>
      <c r="P479" s="21" t="str">
        <f>IF(MonthlyFAME!Q481=0,"",MonthlyFAME!Q481)</f>
        <v/>
      </c>
      <c r="Q479" s="21" t="str">
        <f>IF(MonthlyFAME!R481=0,"",MonthlyFAME!R481)</f>
        <v/>
      </c>
      <c r="R479" s="21" t="str">
        <f>IF(MonthlyFAME!S481=0,"",MonthlyFAME!S481)</f>
        <v/>
      </c>
      <c r="S479" s="21" t="str">
        <f>IF(MonthlyFAME!T481=0,"",MonthlyFAME!T481)</f>
        <v/>
      </c>
      <c r="T479" s="21">
        <f>IF(MonthlyFAME!U481=0,"",MonthlyFAME!U481)</f>
        <v>19.021818181818183</v>
      </c>
    </row>
    <row r="480" spans="1:20" x14ac:dyDescent="0.2">
      <c r="A480" s="23">
        <f>IF(MonthlyFAME!A482=0,"",MonthlyFAME!A482)</f>
        <v>36403</v>
      </c>
      <c r="B480" s="21">
        <f>IF(MonthlyFAME!B482=0,"",MonthlyFAME!B482)</f>
        <v>69.5</v>
      </c>
      <c r="C480" s="21">
        <f>IF(MonthlyFAME!C482=0,"",MonthlyFAME!C482)</f>
        <v>92.1</v>
      </c>
      <c r="D480" s="21">
        <f>IF(MonthlyFAME!D482=0,"",MonthlyFAME!D482)</f>
        <v>63.696899999999999</v>
      </c>
      <c r="E480" s="21">
        <f>IF(MonthlyFAME!F482=0,"",MonthlyFAME!F482)</f>
        <v>20657</v>
      </c>
      <c r="F480" s="21">
        <f>IF(MonthlyFAME!G482=0,"",MonthlyFAME!G482)</f>
        <v>21422</v>
      </c>
      <c r="G480" s="21">
        <f>IF(MonthlyFAME!H482=0,"",MonthlyFAME!H482)</f>
        <v>5.9047619047619051</v>
      </c>
      <c r="H480" s="21">
        <f>IF(MonthlyFAME!I482=0,"",MonthlyFAME!I482)</f>
        <v>27170</v>
      </c>
      <c r="I480" s="21">
        <f>IF(MonthlyFAME!J482=0,"",MonthlyFAME!J482)</f>
        <v>893.4</v>
      </c>
      <c r="J480" s="26">
        <v>540.98181818181831</v>
      </c>
      <c r="K480" s="21">
        <f>IF(MonthlyFAME!L482=0,"",MonthlyFAME!L482)</f>
        <v>300.96504115400103</v>
      </c>
      <c r="L480" s="21">
        <f>IF(MonthlyFAME!M482=0,"",MonthlyFAME!M482)</f>
        <v>1229</v>
      </c>
      <c r="M480" s="21" t="str">
        <f>IF(MonthlyFAME!N482=0,"",MonthlyFAME!N482)</f>
        <v/>
      </c>
      <c r="N480" s="21" t="str">
        <f>IF(MonthlyFAME!O482=0,"",MonthlyFAME!O482)</f>
        <v/>
      </c>
      <c r="O480" s="21" t="str">
        <f>IF(MonthlyFAME!P482=0,"",MonthlyFAME!P482)</f>
        <v/>
      </c>
      <c r="P480" s="21" t="str">
        <f>IF(MonthlyFAME!Q482=0,"",MonthlyFAME!Q482)</f>
        <v/>
      </c>
      <c r="Q480" s="21" t="str">
        <f>IF(MonthlyFAME!R482=0,"",MonthlyFAME!R482)</f>
        <v/>
      </c>
      <c r="R480" s="21" t="str">
        <f>IF(MonthlyFAME!S482=0,"",MonthlyFAME!S482)</f>
        <v/>
      </c>
      <c r="S480" s="21" t="str">
        <f>IF(MonthlyFAME!T482=0,"",MonthlyFAME!T482)</f>
        <v/>
      </c>
      <c r="T480" s="21">
        <f>IF(MonthlyFAME!U482=0,"",MonthlyFAME!U482)</f>
        <v>20.292272727272728</v>
      </c>
    </row>
    <row r="481" spans="1:20" x14ac:dyDescent="0.2">
      <c r="A481" s="23">
        <f>IF(MonthlyFAME!A483=0,"",MonthlyFAME!A483)</f>
        <v>36433</v>
      </c>
      <c r="B481" s="21">
        <f>IF(MonthlyFAME!B483=0,"",MonthlyFAME!B483)</f>
        <v>69.900000000000006</v>
      </c>
      <c r="C481" s="21">
        <f>IF(MonthlyFAME!C483=0,"",MonthlyFAME!C483)</f>
        <v>92.6</v>
      </c>
      <c r="D481" s="21">
        <f>IF(MonthlyFAME!D483=0,"",MonthlyFAME!D483)</f>
        <v>64.080500000000001</v>
      </c>
      <c r="E481" s="21">
        <f>IF(MonthlyFAME!F483=0,"",MonthlyFAME!F483)</f>
        <v>20752</v>
      </c>
      <c r="F481" s="21">
        <f>IF(MonthlyFAME!G483=0,"",MonthlyFAME!G483)</f>
        <v>21304</v>
      </c>
      <c r="G481" s="21">
        <f>IF(MonthlyFAME!H483=0,"",MonthlyFAME!H483)</f>
        <v>5.8852005532503462</v>
      </c>
      <c r="H481" s="21">
        <f>IF(MonthlyFAME!I483=0,"",MonthlyFAME!I483)</f>
        <v>27218</v>
      </c>
      <c r="I481" s="21">
        <f>IF(MonthlyFAME!J483=0,"",MonthlyFAME!J483)</f>
        <v>894.8</v>
      </c>
      <c r="J481" s="26">
        <v>555.04242424242432</v>
      </c>
      <c r="K481" s="21">
        <f>IF(MonthlyFAME!L483=0,"",MonthlyFAME!L483)</f>
        <v>301.38191194953203</v>
      </c>
      <c r="L481" s="21">
        <f>IF(MonthlyFAME!M483=0,"",MonthlyFAME!M483)</f>
        <v>1222.9000000000001</v>
      </c>
      <c r="M481" s="21" t="str">
        <f>IF(MonthlyFAME!N483=0,"",MonthlyFAME!N483)</f>
        <v/>
      </c>
      <c r="N481" s="21" t="str">
        <f>IF(MonthlyFAME!O483=0,"",MonthlyFAME!O483)</f>
        <v/>
      </c>
      <c r="O481" s="21" t="str">
        <f>IF(MonthlyFAME!P483=0,"",MonthlyFAME!P483)</f>
        <v/>
      </c>
      <c r="P481" s="21" t="str">
        <f>IF(MonthlyFAME!Q483=0,"",MonthlyFAME!Q483)</f>
        <v/>
      </c>
      <c r="Q481" s="21" t="str">
        <f>IF(MonthlyFAME!R483=0,"",MonthlyFAME!R483)</f>
        <v/>
      </c>
      <c r="R481" s="21" t="str">
        <f>IF(MonthlyFAME!S483=0,"",MonthlyFAME!S483)</f>
        <v/>
      </c>
      <c r="S481" s="21" t="str">
        <f>IF(MonthlyFAME!T483=0,"",MonthlyFAME!T483)</f>
        <v/>
      </c>
      <c r="T481" s="21">
        <f>IF(MonthlyFAME!U483=0,"",MonthlyFAME!U483)</f>
        <v>22.439999999999998</v>
      </c>
    </row>
    <row r="482" spans="1:20" x14ac:dyDescent="0.2">
      <c r="A482" s="23">
        <f>IF(MonthlyFAME!A484=0,"",MonthlyFAME!A484)</f>
        <v>36464</v>
      </c>
      <c r="B482" s="21">
        <f>IF(MonthlyFAME!B484=0,"",MonthlyFAME!B484)</f>
        <v>70.3</v>
      </c>
      <c r="C482" s="21">
        <f>IF(MonthlyFAME!C484=0,"",MonthlyFAME!C484)</f>
        <v>92</v>
      </c>
      <c r="D482" s="21">
        <f>IF(MonthlyFAME!D484=0,"",MonthlyFAME!D484)</f>
        <v>64.77</v>
      </c>
      <c r="E482" s="21">
        <f>IF(MonthlyFAME!F484=0,"",MonthlyFAME!F484)</f>
        <v>20498</v>
      </c>
      <c r="F482" s="21">
        <f>IF(MonthlyFAME!G484=0,"",MonthlyFAME!G484)</f>
        <v>21381</v>
      </c>
      <c r="G482" s="21">
        <f>IF(MonthlyFAME!H484=0,"",MonthlyFAME!H484)</f>
        <v>5.8375722343333676</v>
      </c>
      <c r="H482" s="21">
        <f>IF(MonthlyFAME!I484=0,"",MonthlyFAME!I484)</f>
        <v>27212</v>
      </c>
      <c r="I482" s="21">
        <f>IF(MonthlyFAME!J484=0,"",MonthlyFAME!J484)</f>
        <v>892.6</v>
      </c>
      <c r="J482" s="26">
        <v>553.10909090909092</v>
      </c>
      <c r="K482" s="21">
        <f>IF(MonthlyFAME!L484=0,"",MonthlyFAME!L484)</f>
        <v>304.26179053752003</v>
      </c>
      <c r="L482" s="21">
        <f>IF(MonthlyFAME!M484=0,"",MonthlyFAME!M484)</f>
        <v>1200.7</v>
      </c>
      <c r="M482" s="21" t="str">
        <f>IF(MonthlyFAME!N484=0,"",MonthlyFAME!N484)</f>
        <v/>
      </c>
      <c r="N482" s="21" t="str">
        <f>IF(MonthlyFAME!O484=0,"",MonthlyFAME!O484)</f>
        <v/>
      </c>
      <c r="O482" s="21" t="str">
        <f>IF(MonthlyFAME!P484=0,"",MonthlyFAME!P484)</f>
        <v/>
      </c>
      <c r="P482" s="21" t="str">
        <f>IF(MonthlyFAME!Q484=0,"",MonthlyFAME!Q484)</f>
        <v/>
      </c>
      <c r="Q482" s="21" t="str">
        <f>IF(MonthlyFAME!R484=0,"",MonthlyFAME!R484)</f>
        <v/>
      </c>
      <c r="R482" s="21" t="str">
        <f>IF(MonthlyFAME!S484=0,"",MonthlyFAME!S484)</f>
        <v/>
      </c>
      <c r="S482" s="21" t="str">
        <f>IF(MonthlyFAME!T484=0,"",MonthlyFAME!T484)</f>
        <v/>
      </c>
      <c r="T482" s="21">
        <f>IF(MonthlyFAME!U484=0,"",MonthlyFAME!U484)</f>
        <v>21.944285714285716</v>
      </c>
    </row>
    <row r="483" spans="1:20" x14ac:dyDescent="0.2">
      <c r="A483" s="23">
        <f>IF(MonthlyFAME!A485=0,"",MonthlyFAME!A485)</f>
        <v>36494</v>
      </c>
      <c r="B483" s="21">
        <f>IF(MonthlyFAME!B485=0,"",MonthlyFAME!B485)</f>
        <v>70.7</v>
      </c>
      <c r="C483" s="21">
        <f>IF(MonthlyFAME!C485=0,"",MonthlyFAME!C485)</f>
        <v>92.7</v>
      </c>
      <c r="D483" s="21">
        <f>IF(MonthlyFAME!D485=0,"",MonthlyFAME!D485)</f>
        <v>65.142899999999997</v>
      </c>
      <c r="E483" s="21">
        <f>IF(MonthlyFAME!F485=0,"",MonthlyFAME!F485)</f>
        <v>20764</v>
      </c>
      <c r="F483" s="21">
        <f>IF(MonthlyFAME!G485=0,"",MonthlyFAME!G485)</f>
        <v>21742</v>
      </c>
      <c r="G483" s="21">
        <f>IF(MonthlyFAME!H485=0,"",MonthlyFAME!H485)</f>
        <v>5.8453889445154159</v>
      </c>
      <c r="H483" s="21">
        <f>IF(MonthlyFAME!I485=0,"",MonthlyFAME!I485)</f>
        <v>27270</v>
      </c>
      <c r="I483" s="21">
        <f>IF(MonthlyFAME!J485=0,"",MonthlyFAME!J485)</f>
        <v>894.6</v>
      </c>
      <c r="J483" s="26">
        <v>591.42424242424249</v>
      </c>
      <c r="K483" s="21">
        <f>IF(MonthlyFAME!L485=0,"",MonthlyFAME!L485)</f>
        <v>305.430230225988</v>
      </c>
      <c r="L483" s="21">
        <f>IF(MonthlyFAME!M485=0,"",MonthlyFAME!M485)</f>
        <v>1184.0999999999999</v>
      </c>
      <c r="M483" s="21" t="str">
        <f>IF(MonthlyFAME!N485=0,"",MonthlyFAME!N485)</f>
        <v/>
      </c>
      <c r="N483" s="21" t="str">
        <f>IF(MonthlyFAME!O485=0,"",MonthlyFAME!O485)</f>
        <v/>
      </c>
      <c r="O483" s="21" t="str">
        <f>IF(MonthlyFAME!P485=0,"",MonthlyFAME!P485)</f>
        <v/>
      </c>
      <c r="P483" s="21" t="str">
        <f>IF(MonthlyFAME!Q485=0,"",MonthlyFAME!Q485)</f>
        <v/>
      </c>
      <c r="Q483" s="21" t="str">
        <f>IF(MonthlyFAME!R485=0,"",MonthlyFAME!R485)</f>
        <v/>
      </c>
      <c r="R483" s="21" t="str">
        <f>IF(MonthlyFAME!S485=0,"",MonthlyFAME!S485)</f>
        <v/>
      </c>
      <c r="S483" s="21" t="str">
        <f>IF(MonthlyFAME!T485=0,"",MonthlyFAME!T485)</f>
        <v/>
      </c>
      <c r="T483" s="21">
        <f>IF(MonthlyFAME!U485=0,"",MonthlyFAME!U485)</f>
        <v>24.607727272727274</v>
      </c>
    </row>
    <row r="484" spans="1:20" x14ac:dyDescent="0.2">
      <c r="A484" s="23">
        <f>IF(MonthlyFAME!A486=0,"",MonthlyFAME!A486)</f>
        <v>36525</v>
      </c>
      <c r="B484" s="21">
        <f>IF(MonthlyFAME!B486=0,"",MonthlyFAME!B486)</f>
        <v>70.599999999999994</v>
      </c>
      <c r="C484" s="21">
        <f>IF(MonthlyFAME!C486=0,"",MonthlyFAME!C486)</f>
        <v>91.5</v>
      </c>
      <c r="D484" s="21">
        <f>IF(MonthlyFAME!D486=0,"",MonthlyFAME!D486)</f>
        <v>65.182100000000005</v>
      </c>
      <c r="E484" s="21">
        <f>IF(MonthlyFAME!F486=0,"",MonthlyFAME!F486)</f>
        <v>20365</v>
      </c>
      <c r="F484" s="21">
        <f>IF(MonthlyFAME!G486=0,"",MonthlyFAME!G486)</f>
        <v>21152</v>
      </c>
      <c r="G484" s="21">
        <f>IF(MonthlyFAME!H486=0,"",MonthlyFAME!H486)</f>
        <v>5.8056953733710266</v>
      </c>
      <c r="H484" s="21">
        <f>IF(MonthlyFAME!I486=0,"",MonthlyFAME!I486)</f>
        <v>27322</v>
      </c>
      <c r="I484" s="21">
        <f>IF(MonthlyFAME!J486=0,"",MonthlyFAME!J486)</f>
        <v>897</v>
      </c>
      <c r="J484" s="26">
        <v>594.93939393939399</v>
      </c>
      <c r="K484" s="21">
        <f>IF(MonthlyFAME!L486=0,"",MonthlyFAME!L486)</f>
        <v>308.88285219150703</v>
      </c>
      <c r="L484" s="21">
        <f>IF(MonthlyFAME!M486=0,"",MonthlyFAME!M486)</f>
        <v>1159.3</v>
      </c>
      <c r="M484" s="21" t="str">
        <f>IF(MonthlyFAME!N486=0,"",MonthlyFAME!N486)</f>
        <v/>
      </c>
      <c r="N484" s="21" t="str">
        <f>IF(MonthlyFAME!O486=0,"",MonthlyFAME!O486)</f>
        <v/>
      </c>
      <c r="O484" s="21" t="str">
        <f>IF(MonthlyFAME!P486=0,"",MonthlyFAME!P486)</f>
        <v/>
      </c>
      <c r="P484" s="21" t="str">
        <f>IF(MonthlyFAME!Q486=0,"",MonthlyFAME!Q486)</f>
        <v/>
      </c>
      <c r="Q484" s="21" t="str">
        <f>IF(MonthlyFAME!R486=0,"",MonthlyFAME!R486)</f>
        <v/>
      </c>
      <c r="R484" s="21" t="str">
        <f>IF(MonthlyFAME!S486=0,"",MonthlyFAME!S486)</f>
        <v/>
      </c>
      <c r="S484" s="21" t="str">
        <f>IF(MonthlyFAME!T486=0,"",MonthlyFAME!T486)</f>
        <v/>
      </c>
      <c r="T484" s="21">
        <f>IF(MonthlyFAME!U486=0,"",MonthlyFAME!U486)</f>
        <v>25.559130434782606</v>
      </c>
    </row>
    <row r="485" spans="1:20" x14ac:dyDescent="0.2">
      <c r="A485" s="23">
        <f>IF(MonthlyFAME!A487=0,"",MonthlyFAME!A487)</f>
        <v>36556</v>
      </c>
      <c r="B485" s="21">
        <f>IF(MonthlyFAME!B487=0,"",MonthlyFAME!B487)</f>
        <v>71.599999999999994</v>
      </c>
      <c r="C485" s="21">
        <f>IF(MonthlyFAME!C487=0,"",MonthlyFAME!C487)</f>
        <v>92.3</v>
      </c>
      <c r="D485" s="21">
        <f>IF(MonthlyFAME!D487=0,"",MonthlyFAME!D487)</f>
        <v>66.2136</v>
      </c>
      <c r="E485" s="21">
        <f>IF(MonthlyFAME!F487=0,"",MonthlyFAME!F487)</f>
        <v>20689</v>
      </c>
      <c r="F485" s="21">
        <f>IF(MonthlyFAME!G487=0,"",MonthlyFAME!G487)</f>
        <v>21769</v>
      </c>
      <c r="G485" s="21">
        <f>IF(MonthlyFAME!H487=0,"",MonthlyFAME!H487)</f>
        <v>5.8671446792374784</v>
      </c>
      <c r="H485" s="21">
        <f>IF(MonthlyFAME!I487=0,"",MonthlyFAME!I487)</f>
        <v>27307</v>
      </c>
      <c r="I485" s="21">
        <f>IF(MonthlyFAME!J487=0,"",MonthlyFAME!J487)</f>
        <v>889.8</v>
      </c>
      <c r="J485" s="26">
        <v>610.58181818181822</v>
      </c>
      <c r="K485" s="21">
        <f>IF(MonthlyFAME!L487=0,"",MonthlyFAME!L487)</f>
        <v>311.42032507306601</v>
      </c>
      <c r="L485" s="21">
        <f>IF(MonthlyFAME!M487=0,"",MonthlyFAME!M487)</f>
        <v>1162.9000000000001</v>
      </c>
      <c r="M485" s="21" t="str">
        <f>IF(MonthlyFAME!N487=0,"",MonthlyFAME!N487)</f>
        <v/>
      </c>
      <c r="N485" s="21" t="str">
        <f>IF(MonthlyFAME!O487=0,"",MonthlyFAME!O487)</f>
        <v/>
      </c>
      <c r="O485" s="21" t="str">
        <f>IF(MonthlyFAME!P487=0,"",MonthlyFAME!P487)</f>
        <v/>
      </c>
      <c r="P485" s="21" t="str">
        <f>IF(MonthlyFAME!Q487=0,"",MonthlyFAME!Q487)</f>
        <v/>
      </c>
      <c r="Q485" s="21" t="str">
        <f>IF(MonthlyFAME!R487=0,"",MonthlyFAME!R487)</f>
        <v/>
      </c>
      <c r="R485" s="21" t="str">
        <f>IF(MonthlyFAME!S487=0,"",MonthlyFAME!S487)</f>
        <v/>
      </c>
      <c r="S485" s="21" t="str">
        <f>IF(MonthlyFAME!T487=0,"",MonthlyFAME!T487)</f>
        <v/>
      </c>
      <c r="T485" s="21">
        <f>IF(MonthlyFAME!U487=0,"",MonthlyFAME!U487)</f>
        <v>25.466666666666669</v>
      </c>
    </row>
    <row r="486" spans="1:20" x14ac:dyDescent="0.2">
      <c r="A486" s="23">
        <f>IF(MonthlyFAME!A488=0,"",MonthlyFAME!A488)</f>
        <v>36585</v>
      </c>
      <c r="B486" s="21">
        <f>IF(MonthlyFAME!B488=0,"",MonthlyFAME!B488)</f>
        <v>71.3</v>
      </c>
      <c r="C486" s="21">
        <f>IF(MonthlyFAME!C488=0,"",MonthlyFAME!C488)</f>
        <v>92.6</v>
      </c>
      <c r="D486" s="21">
        <f>IF(MonthlyFAME!D488=0,"",MonthlyFAME!D488)</f>
        <v>65.7166</v>
      </c>
      <c r="E486" s="21">
        <f>IF(MonthlyFAME!F488=0,"",MonthlyFAME!F488)</f>
        <v>20833</v>
      </c>
      <c r="F486" s="21">
        <f>IF(MonthlyFAME!G488=0,"",MonthlyFAME!G488)</f>
        <v>21796</v>
      </c>
      <c r="G486" s="21">
        <f>IF(MonthlyFAME!H488=0,"",MonthlyFAME!H488)</f>
        <v>5.8115472166655167</v>
      </c>
      <c r="H486" s="21">
        <f>IF(MonthlyFAME!I488=0,"",MonthlyFAME!I488)</f>
        <v>27309</v>
      </c>
      <c r="I486" s="21">
        <f>IF(MonthlyFAME!J488=0,"",MonthlyFAME!J488)</f>
        <v>888.2</v>
      </c>
      <c r="J486" s="26">
        <v>598.10303030303044</v>
      </c>
      <c r="K486" s="21">
        <f>IF(MonthlyFAME!L488=0,"",MonthlyFAME!L488)</f>
        <v>306.30346749127801</v>
      </c>
      <c r="L486" s="21">
        <f>IF(MonthlyFAME!M488=0,"",MonthlyFAME!M488)</f>
        <v>1152.2</v>
      </c>
      <c r="M486" s="21" t="str">
        <f>IF(MonthlyFAME!N488=0,"",MonthlyFAME!N488)</f>
        <v/>
      </c>
      <c r="N486" s="21" t="str">
        <f>IF(MonthlyFAME!O488=0,"",MonthlyFAME!O488)</f>
        <v/>
      </c>
      <c r="O486" s="21" t="str">
        <f>IF(MonthlyFAME!P488=0,"",MonthlyFAME!P488)</f>
        <v/>
      </c>
      <c r="P486" s="21" t="str">
        <f>IF(MonthlyFAME!Q488=0,"",MonthlyFAME!Q488)</f>
        <v/>
      </c>
      <c r="Q486" s="21" t="str">
        <f>IF(MonthlyFAME!R488=0,"",MonthlyFAME!R488)</f>
        <v/>
      </c>
      <c r="R486" s="21" t="str">
        <f>IF(MonthlyFAME!S488=0,"",MonthlyFAME!S488)</f>
        <v/>
      </c>
      <c r="S486" s="21" t="str">
        <f>IF(MonthlyFAME!T488=0,"",MonthlyFAME!T488)</f>
        <v/>
      </c>
      <c r="T486" s="21">
        <f>IF(MonthlyFAME!U488=0,"",MonthlyFAME!U488)</f>
        <v>27.818571428571431</v>
      </c>
    </row>
    <row r="487" spans="1:20" x14ac:dyDescent="0.2">
      <c r="A487" s="23">
        <f>IF(MonthlyFAME!A489=0,"",MonthlyFAME!A489)</f>
        <v>36616</v>
      </c>
      <c r="B487" s="21">
        <f>IF(MonthlyFAME!B489=0,"",MonthlyFAME!B489)</f>
        <v>71.099999999999994</v>
      </c>
      <c r="C487" s="21">
        <f>IF(MonthlyFAME!C489=0,"",MonthlyFAME!C489)</f>
        <v>92.3</v>
      </c>
      <c r="D487" s="21">
        <f>IF(MonthlyFAME!D489=0,"",MonthlyFAME!D489)</f>
        <v>65.548500000000004</v>
      </c>
      <c r="E487" s="21">
        <f>IF(MonthlyFAME!F489=0,"",MonthlyFAME!F489)</f>
        <v>21647</v>
      </c>
      <c r="F487" s="21">
        <f>IF(MonthlyFAME!G489=0,"",MonthlyFAME!G489)</f>
        <v>22089</v>
      </c>
      <c r="G487" s="21">
        <f>IF(MonthlyFAME!H489=0,"",MonthlyFAME!H489)</f>
        <v>5.7912133314970387</v>
      </c>
      <c r="H487" s="21">
        <f>IF(MonthlyFAME!I489=0,"",MonthlyFAME!I489)</f>
        <v>27362</v>
      </c>
      <c r="I487" s="21">
        <f>IF(MonthlyFAME!J489=0,"",MonthlyFAME!J489)</f>
        <v>884.4</v>
      </c>
      <c r="J487" s="26">
        <v>600.56363636363653</v>
      </c>
      <c r="K487" s="21">
        <f>IF(MonthlyFAME!L489=0,"",MonthlyFAME!L489)</f>
        <v>315.47308805697702</v>
      </c>
      <c r="L487" s="21">
        <f>IF(MonthlyFAME!M489=0,"",MonthlyFAME!M489)</f>
        <v>1144</v>
      </c>
      <c r="M487" s="21" t="str">
        <f>IF(MonthlyFAME!N489=0,"",MonthlyFAME!N489)</f>
        <v/>
      </c>
      <c r="N487" s="21" t="str">
        <f>IF(MonthlyFAME!O489=0,"",MonthlyFAME!O489)</f>
        <v/>
      </c>
      <c r="O487" s="21" t="str">
        <f>IF(MonthlyFAME!P489=0,"",MonthlyFAME!P489)</f>
        <v/>
      </c>
      <c r="P487" s="21" t="str">
        <f>IF(MonthlyFAME!Q489=0,"",MonthlyFAME!Q489)</f>
        <v/>
      </c>
      <c r="Q487" s="21" t="str">
        <f>IF(MonthlyFAME!R489=0,"",MonthlyFAME!R489)</f>
        <v/>
      </c>
      <c r="R487" s="21" t="str">
        <f>IF(MonthlyFAME!S489=0,"",MonthlyFAME!S489)</f>
        <v/>
      </c>
      <c r="S487" s="21" t="str">
        <f>IF(MonthlyFAME!T489=0,"",MonthlyFAME!T489)</f>
        <v/>
      </c>
      <c r="T487" s="21">
        <f>IF(MonthlyFAME!U489=0,"",MonthlyFAME!U489)</f>
        <v>27.249130434782604</v>
      </c>
    </row>
    <row r="488" spans="1:20" x14ac:dyDescent="0.2">
      <c r="A488" s="23">
        <f>IF(MonthlyFAME!A490=0,"",MonthlyFAME!A490)</f>
        <v>36646</v>
      </c>
      <c r="B488" s="21">
        <f>IF(MonthlyFAME!B490=0,"",MonthlyFAME!B490)</f>
        <v>71.5</v>
      </c>
      <c r="C488" s="21">
        <f>IF(MonthlyFAME!C490=0,"",MonthlyFAME!C490)</f>
        <v>92.1</v>
      </c>
      <c r="D488" s="21">
        <f>IF(MonthlyFAME!D490=0,"",MonthlyFAME!D490)</f>
        <v>66.215400000000002</v>
      </c>
      <c r="E488" s="21">
        <f>IF(MonthlyFAME!F490=0,"",MonthlyFAME!F490)</f>
        <v>21507</v>
      </c>
      <c r="F488" s="21">
        <f>IF(MonthlyFAME!G490=0,"",MonthlyFAME!G490)</f>
        <v>22367</v>
      </c>
      <c r="G488" s="21">
        <f>IF(MonthlyFAME!H490=0,"",MonthlyFAME!H490)</f>
        <v>5.6949175871442828</v>
      </c>
      <c r="H488" s="21">
        <f>IF(MonthlyFAME!I490=0,"",MonthlyFAME!I490)</f>
        <v>27406</v>
      </c>
      <c r="I488" s="21">
        <f>IF(MonthlyFAME!J490=0,"",MonthlyFAME!J490)</f>
        <v>899</v>
      </c>
      <c r="J488" s="26">
        <v>605.66060606060626</v>
      </c>
      <c r="K488" s="21">
        <f>IF(MonthlyFAME!L490=0,"",MonthlyFAME!L490)</f>
        <v>313.49004740398698</v>
      </c>
      <c r="L488" s="21">
        <f>IF(MonthlyFAME!M490=0,"",MonthlyFAME!M490)</f>
        <v>1113.3</v>
      </c>
      <c r="M488" s="21" t="str">
        <f>IF(MonthlyFAME!N490=0,"",MonthlyFAME!N490)</f>
        <v/>
      </c>
      <c r="N488" s="21" t="str">
        <f>IF(MonthlyFAME!O490=0,"",MonthlyFAME!O490)</f>
        <v/>
      </c>
      <c r="O488" s="21" t="str">
        <f>IF(MonthlyFAME!P490=0,"",MonthlyFAME!P490)</f>
        <v/>
      </c>
      <c r="P488" s="21" t="str">
        <f>IF(MonthlyFAME!Q490=0,"",MonthlyFAME!Q490)</f>
        <v/>
      </c>
      <c r="Q488" s="21" t="str">
        <f>IF(MonthlyFAME!R490=0,"",MonthlyFAME!R490)</f>
        <v/>
      </c>
      <c r="R488" s="21" t="str">
        <f>IF(MonthlyFAME!S490=0,"",MonthlyFAME!S490)</f>
        <v/>
      </c>
      <c r="S488" s="21" t="str">
        <f>IF(MonthlyFAME!T490=0,"",MonthlyFAME!T490)</f>
        <v/>
      </c>
      <c r="T488" s="21">
        <f>IF(MonthlyFAME!U490=0,"",MonthlyFAME!U490)</f>
        <v>22.681000000000001</v>
      </c>
    </row>
    <row r="489" spans="1:20" x14ac:dyDescent="0.2">
      <c r="A489" s="23">
        <f>IF(MonthlyFAME!A491=0,"",MonthlyFAME!A491)</f>
        <v>36677</v>
      </c>
      <c r="B489" s="21">
        <f>IF(MonthlyFAME!B491=0,"",MonthlyFAME!B491)</f>
        <v>71.900000000000006</v>
      </c>
      <c r="C489" s="21">
        <f>IF(MonthlyFAME!C491=0,"",MonthlyFAME!C491)</f>
        <v>92.4</v>
      </c>
      <c r="D489" s="21">
        <f>IF(MonthlyFAME!D491=0,"",MonthlyFAME!D491)</f>
        <v>66.665300000000002</v>
      </c>
      <c r="E489" s="21">
        <f>IF(MonthlyFAME!F491=0,"",MonthlyFAME!F491)</f>
        <v>21262</v>
      </c>
      <c r="F489" s="21">
        <f>IF(MonthlyFAME!G491=0,"",MonthlyFAME!G491)</f>
        <v>21934</v>
      </c>
      <c r="G489" s="21">
        <f>IF(MonthlyFAME!H491=0,"",MonthlyFAME!H491)</f>
        <v>5.6392270132728148</v>
      </c>
      <c r="H489" s="21">
        <f>IF(MonthlyFAME!I491=0,"",MonthlyFAME!I491)</f>
        <v>27442</v>
      </c>
      <c r="I489" s="21">
        <f>IF(MonthlyFAME!J491=0,"",MonthlyFAME!J491)</f>
        <v>893.3</v>
      </c>
      <c r="J489" s="26">
        <v>625.16969696969716</v>
      </c>
      <c r="K489" s="21">
        <f>IF(MonthlyFAME!L491=0,"",MonthlyFAME!L491)</f>
        <v>316.05707853990702</v>
      </c>
      <c r="L489" s="21">
        <f>IF(MonthlyFAME!M491=0,"",MonthlyFAME!M491)</f>
        <v>1104.7</v>
      </c>
      <c r="M489" s="21" t="str">
        <f>IF(MonthlyFAME!N491=0,"",MonthlyFAME!N491)</f>
        <v/>
      </c>
      <c r="N489" s="21" t="str">
        <f>IF(MonthlyFAME!O491=0,"",MonthlyFAME!O491)</f>
        <v/>
      </c>
      <c r="O489" s="21" t="str">
        <f>IF(MonthlyFAME!P491=0,"",MonthlyFAME!P491)</f>
        <v/>
      </c>
      <c r="P489" s="21" t="str">
        <f>IF(MonthlyFAME!Q491=0,"",MonthlyFAME!Q491)</f>
        <v/>
      </c>
      <c r="Q489" s="21" t="str">
        <f>IF(MonthlyFAME!R491=0,"",MonthlyFAME!R491)</f>
        <v/>
      </c>
      <c r="R489" s="21" t="str">
        <f>IF(MonthlyFAME!S491=0,"",MonthlyFAME!S491)</f>
        <v/>
      </c>
      <c r="S489" s="21" t="str">
        <f>IF(MonthlyFAME!T491=0,"",MonthlyFAME!T491)</f>
        <v/>
      </c>
      <c r="T489" s="21">
        <f>IF(MonthlyFAME!U491=0,"",MonthlyFAME!U491)</f>
        <v>27.652173913043487</v>
      </c>
    </row>
    <row r="490" spans="1:20" x14ac:dyDescent="0.2">
      <c r="A490" s="23">
        <f>IF(MonthlyFAME!A492=0,"",MonthlyFAME!A492)</f>
        <v>36707</v>
      </c>
      <c r="B490" s="21">
        <f>IF(MonthlyFAME!B492=0,"",MonthlyFAME!B492)</f>
        <v>72.3</v>
      </c>
      <c r="C490" s="21">
        <f>IF(MonthlyFAME!C492=0,"",MonthlyFAME!C492)</f>
        <v>92.9</v>
      </c>
      <c r="D490" s="21">
        <f>IF(MonthlyFAME!D492=0,"",MonthlyFAME!D492)</f>
        <v>67.055199999999999</v>
      </c>
      <c r="E490" s="21">
        <f>IF(MonthlyFAME!F492=0,"",MonthlyFAME!F492)</f>
        <v>21870</v>
      </c>
      <c r="F490" s="21">
        <f>IF(MonthlyFAME!G492=0,"",MonthlyFAME!G492)</f>
        <v>22767</v>
      </c>
      <c r="G490" s="21">
        <f>IF(MonthlyFAME!H492=0,"",MonthlyFAME!H492)</f>
        <v>5.5010837031685416</v>
      </c>
      <c r="H490" s="21">
        <f>IF(MonthlyFAME!I492=0,"",MonthlyFAME!I492)</f>
        <v>27468</v>
      </c>
      <c r="I490" s="21">
        <f>IF(MonthlyFAME!J492=0,"",MonthlyFAME!J492)</f>
        <v>895.3</v>
      </c>
      <c r="J490" s="26">
        <v>622.70909090909117</v>
      </c>
      <c r="K490" s="21">
        <f>IF(MonthlyFAME!L492=0,"",MonthlyFAME!L492)</f>
        <v>315.36179660652903</v>
      </c>
      <c r="L490" s="21">
        <f>IF(MonthlyFAME!M492=0,"",MonthlyFAME!M492)</f>
        <v>1093.5999999999999</v>
      </c>
      <c r="M490" s="21" t="str">
        <f>IF(MonthlyFAME!N492=0,"",MonthlyFAME!N492)</f>
        <v/>
      </c>
      <c r="N490" s="21" t="str">
        <f>IF(MonthlyFAME!O492=0,"",MonthlyFAME!O492)</f>
        <v/>
      </c>
      <c r="O490" s="21" t="str">
        <f>IF(MonthlyFAME!P492=0,"",MonthlyFAME!P492)</f>
        <v/>
      </c>
      <c r="P490" s="21" t="str">
        <f>IF(MonthlyFAME!Q492=0,"",MonthlyFAME!Q492)</f>
        <v/>
      </c>
      <c r="Q490" s="21" t="str">
        <f>IF(MonthlyFAME!R492=0,"",MonthlyFAME!R492)</f>
        <v/>
      </c>
      <c r="R490" s="21" t="str">
        <f>IF(MonthlyFAME!S492=0,"",MonthlyFAME!S492)</f>
        <v/>
      </c>
      <c r="S490" s="21" t="str">
        <f>IF(MonthlyFAME!T492=0,"",MonthlyFAME!T492)</f>
        <v/>
      </c>
      <c r="T490" s="21">
        <f>IF(MonthlyFAME!U492=0,"",MonthlyFAME!U492)</f>
        <v>29.790909090909096</v>
      </c>
    </row>
    <row r="491" spans="1:20" x14ac:dyDescent="0.2">
      <c r="A491" s="23">
        <f>IF(MonthlyFAME!A493=0,"",MonthlyFAME!A493)</f>
        <v>36738</v>
      </c>
      <c r="B491" s="21">
        <f>IF(MonthlyFAME!B493=0,"",MonthlyFAME!B493)</f>
        <v>72</v>
      </c>
      <c r="C491" s="21">
        <f>IF(MonthlyFAME!C493=0,"",MonthlyFAME!C493)</f>
        <v>92.3</v>
      </c>
      <c r="D491" s="21">
        <f>IF(MonthlyFAME!D493=0,"",MonthlyFAME!D493)</f>
        <v>66.893299999999996</v>
      </c>
      <c r="E491" s="21">
        <f>IF(MonthlyFAME!F493=0,"",MonthlyFAME!F493)</f>
        <v>20793</v>
      </c>
      <c r="F491" s="21">
        <f>IF(MonthlyFAME!G493=0,"",MonthlyFAME!G493)</f>
        <v>23443</v>
      </c>
      <c r="G491" s="21">
        <f>IF(MonthlyFAME!H493=0,"",MonthlyFAME!H493)</f>
        <v>5.3337460022696792</v>
      </c>
      <c r="H491" s="21">
        <f>IF(MonthlyFAME!I493=0,"",MonthlyFAME!I493)</f>
        <v>27528</v>
      </c>
      <c r="I491" s="21">
        <f>IF(MonthlyFAME!J493=0,"",MonthlyFAME!J493)</f>
        <v>896</v>
      </c>
      <c r="J491" s="26">
        <v>627.80606060606078</v>
      </c>
      <c r="K491" s="21">
        <f>IF(MonthlyFAME!L493=0,"",MonthlyFAME!L493)</f>
        <v>317.86257580790601</v>
      </c>
      <c r="L491" s="21">
        <f>IF(MonthlyFAME!M493=0,"",MonthlyFAME!M493)</f>
        <v>1074.7</v>
      </c>
      <c r="M491" s="21" t="str">
        <f>IF(MonthlyFAME!N493=0,"",MonthlyFAME!N493)</f>
        <v/>
      </c>
      <c r="N491" s="21" t="str">
        <f>IF(MonthlyFAME!O493=0,"",MonthlyFAME!O493)</f>
        <v/>
      </c>
      <c r="O491" s="21" t="str">
        <f>IF(MonthlyFAME!P493=0,"",MonthlyFAME!P493)</f>
        <v/>
      </c>
      <c r="P491" s="21" t="str">
        <f>IF(MonthlyFAME!Q493=0,"",MonthlyFAME!Q493)</f>
        <v/>
      </c>
      <c r="Q491" s="21" t="str">
        <f>IF(MonthlyFAME!R493=0,"",MonthlyFAME!R493)</f>
        <v/>
      </c>
      <c r="R491" s="21" t="str">
        <f>IF(MonthlyFAME!S493=0,"",MonthlyFAME!S493)</f>
        <v/>
      </c>
      <c r="S491" s="21" t="str">
        <f>IF(MonthlyFAME!T493=0,"",MonthlyFAME!T493)</f>
        <v/>
      </c>
      <c r="T491" s="21">
        <f>IF(MonthlyFAME!U493=0,"",MonthlyFAME!U493)</f>
        <v>28.440000000000012</v>
      </c>
    </row>
    <row r="492" spans="1:20" x14ac:dyDescent="0.2">
      <c r="A492" s="23">
        <f>IF(MonthlyFAME!A494=0,"",MonthlyFAME!A494)</f>
        <v>36769</v>
      </c>
      <c r="B492" s="21">
        <f>IF(MonthlyFAME!B494=0,"",MonthlyFAME!B494)</f>
        <v>72.7</v>
      </c>
      <c r="C492" s="21">
        <f>IF(MonthlyFAME!C494=0,"",MonthlyFAME!C494)</f>
        <v>93.5</v>
      </c>
      <c r="D492" s="21">
        <f>IF(MonthlyFAME!D494=0,"",MonthlyFAME!D494)</f>
        <v>67.515799999999999</v>
      </c>
      <c r="E492" s="21">
        <f>IF(MonthlyFAME!F494=0,"",MonthlyFAME!F494)</f>
        <v>22167</v>
      </c>
      <c r="F492" s="21">
        <f>IF(MonthlyFAME!G494=0,"",MonthlyFAME!G494)</f>
        <v>23012</v>
      </c>
      <c r="G492" s="21">
        <f>IF(MonthlyFAME!H494=0,"",MonthlyFAME!H494)</f>
        <v>5.2553791159689283</v>
      </c>
      <c r="H492" s="21">
        <f>IF(MonthlyFAME!I494=0,"",MonthlyFAME!I494)</f>
        <v>27565</v>
      </c>
      <c r="I492" s="21">
        <f>IF(MonthlyFAME!J494=0,"",MonthlyFAME!J494)</f>
        <v>899.8</v>
      </c>
      <c r="J492" s="26">
        <v>637.82424242424258</v>
      </c>
      <c r="K492" s="21">
        <f>IF(MonthlyFAME!L494=0,"",MonthlyFAME!L494)</f>
        <v>319.40591335974</v>
      </c>
      <c r="L492" s="21">
        <f>IF(MonthlyFAME!M494=0,"",MonthlyFAME!M494)</f>
        <v>1060.4000000000001</v>
      </c>
      <c r="M492" s="21" t="str">
        <f>IF(MonthlyFAME!N494=0,"",MonthlyFAME!N494)</f>
        <v/>
      </c>
      <c r="N492" s="21" t="str">
        <f>IF(MonthlyFAME!O494=0,"",MonthlyFAME!O494)</f>
        <v/>
      </c>
      <c r="O492" s="21" t="str">
        <f>IF(MonthlyFAME!P494=0,"",MonthlyFAME!P494)</f>
        <v/>
      </c>
      <c r="P492" s="21" t="str">
        <f>IF(MonthlyFAME!Q494=0,"",MonthlyFAME!Q494)</f>
        <v/>
      </c>
      <c r="Q492" s="21" t="str">
        <f>IF(MonthlyFAME!R494=0,"",MonthlyFAME!R494)</f>
        <v/>
      </c>
      <c r="R492" s="21" t="str">
        <f>IF(MonthlyFAME!S494=0,"",MonthlyFAME!S494)</f>
        <v/>
      </c>
      <c r="S492" s="21" t="str">
        <f>IF(MonthlyFAME!T494=0,"",MonthlyFAME!T494)</f>
        <v/>
      </c>
      <c r="T492" s="21">
        <f>IF(MonthlyFAME!U494=0,"",MonthlyFAME!U494)</f>
        <v>30.099130434782609</v>
      </c>
    </row>
    <row r="493" spans="1:20" x14ac:dyDescent="0.2">
      <c r="A493" s="23">
        <f>IF(MonthlyFAME!A495=0,"",MonthlyFAME!A495)</f>
        <v>36799</v>
      </c>
      <c r="B493" s="21">
        <f>IF(MonthlyFAME!B495=0,"",MonthlyFAME!B495)</f>
        <v>72.599999999999994</v>
      </c>
      <c r="C493" s="21">
        <f>IF(MonthlyFAME!C495=0,"",MonthlyFAME!C495)</f>
        <v>93.2</v>
      </c>
      <c r="D493" s="21">
        <f>IF(MonthlyFAME!D495=0,"",MonthlyFAME!D495)</f>
        <v>67.415199999999999</v>
      </c>
      <c r="E493" s="21">
        <f>IF(MonthlyFAME!F495=0,"",MonthlyFAME!F495)</f>
        <v>21728</v>
      </c>
      <c r="F493" s="21">
        <f>IF(MonthlyFAME!G495=0,"",MonthlyFAME!G495)</f>
        <v>22801</v>
      </c>
      <c r="G493" s="21">
        <f>IF(MonthlyFAME!H495=0,"",MonthlyFAME!H495)</f>
        <v>5.3190392743016188</v>
      </c>
      <c r="H493" s="21">
        <f>IF(MonthlyFAME!I495=0,"",MonthlyFAME!I495)</f>
        <v>27555</v>
      </c>
      <c r="I493" s="21">
        <f>IF(MonthlyFAME!J495=0,"",MonthlyFAME!J495)</f>
        <v>896</v>
      </c>
      <c r="J493" s="26">
        <v>635.53939393939413</v>
      </c>
      <c r="K493" s="21">
        <f>IF(MonthlyFAME!L495=0,"",MonthlyFAME!L495)</f>
        <v>321.49539303970602</v>
      </c>
      <c r="L493" s="21">
        <f>IF(MonthlyFAME!M495=0,"",MonthlyFAME!M495)</f>
        <v>1044.8</v>
      </c>
      <c r="M493" s="21" t="str">
        <f>IF(MonthlyFAME!N495=0,"",MonthlyFAME!N495)</f>
        <v/>
      </c>
      <c r="N493" s="21" t="str">
        <f>IF(MonthlyFAME!O495=0,"",MonthlyFAME!O495)</f>
        <v/>
      </c>
      <c r="O493" s="21" t="str">
        <f>IF(MonthlyFAME!P495=0,"",MonthlyFAME!P495)</f>
        <v/>
      </c>
      <c r="P493" s="21" t="str">
        <f>IF(MonthlyFAME!Q495=0,"",MonthlyFAME!Q495)</f>
        <v/>
      </c>
      <c r="Q493" s="21" t="str">
        <f>IF(MonthlyFAME!R495=0,"",MonthlyFAME!R495)</f>
        <v/>
      </c>
      <c r="R493" s="21" t="str">
        <f>IF(MonthlyFAME!S495=0,"",MonthlyFAME!S495)</f>
        <v/>
      </c>
      <c r="S493" s="21" t="str">
        <f>IF(MonthlyFAME!T495=0,"",MonthlyFAME!T495)</f>
        <v/>
      </c>
      <c r="T493" s="21">
        <f>IF(MonthlyFAME!U495=0,"",MonthlyFAME!U495)</f>
        <v>32.769047619047619</v>
      </c>
    </row>
    <row r="494" spans="1:20" x14ac:dyDescent="0.2">
      <c r="A494" s="23">
        <f>IF(MonthlyFAME!A496=0,"",MonthlyFAME!A496)</f>
        <v>36830</v>
      </c>
      <c r="B494" s="21">
        <f>IF(MonthlyFAME!B496=0,"",MonthlyFAME!B496)</f>
        <v>72.7</v>
      </c>
      <c r="C494" s="21">
        <f>IF(MonthlyFAME!C496=0,"",MonthlyFAME!C496)</f>
        <v>93.4</v>
      </c>
      <c r="D494" s="21">
        <f>IF(MonthlyFAME!D496=0,"",MonthlyFAME!D496)</f>
        <v>67.465000000000003</v>
      </c>
      <c r="E494" s="21">
        <f>IF(MonthlyFAME!F496=0,"",MonthlyFAME!F496)</f>
        <v>22251</v>
      </c>
      <c r="F494" s="21">
        <f>IF(MonthlyFAME!G496=0,"",MonthlyFAME!G496)</f>
        <v>23260</v>
      </c>
      <c r="G494" s="21">
        <f>IF(MonthlyFAME!H496=0,"",MonthlyFAME!H496)</f>
        <v>5.3988109557029453</v>
      </c>
      <c r="H494" s="21">
        <f>IF(MonthlyFAME!I496=0,"",MonthlyFAME!I496)</f>
        <v>27528</v>
      </c>
      <c r="I494" s="21">
        <f>IF(MonthlyFAME!J496=0,"",MonthlyFAME!J496)</f>
        <v>894.8</v>
      </c>
      <c r="J494" s="26">
        <v>642.56969696969713</v>
      </c>
      <c r="K494" s="21">
        <f>IF(MonthlyFAME!L496=0,"",MonthlyFAME!L496)</f>
        <v>322.25521291554202</v>
      </c>
      <c r="L494" s="21">
        <f>IF(MonthlyFAME!M496=0,"",MonthlyFAME!M496)</f>
        <v>1044.7</v>
      </c>
      <c r="M494" s="21" t="str">
        <f>IF(MonthlyFAME!N496=0,"",MonthlyFAME!N496)</f>
        <v/>
      </c>
      <c r="N494" s="21" t="str">
        <f>IF(MonthlyFAME!O496=0,"",MonthlyFAME!O496)</f>
        <v/>
      </c>
      <c r="O494" s="21" t="str">
        <f>IF(MonthlyFAME!P496=0,"",MonthlyFAME!P496)</f>
        <v/>
      </c>
      <c r="P494" s="21" t="str">
        <f>IF(MonthlyFAME!Q496=0,"",MonthlyFAME!Q496)</f>
        <v/>
      </c>
      <c r="Q494" s="21" t="str">
        <f>IF(MonthlyFAME!R496=0,"",MonthlyFAME!R496)</f>
        <v/>
      </c>
      <c r="R494" s="21" t="str">
        <f>IF(MonthlyFAME!S496=0,"",MonthlyFAME!S496)</f>
        <v/>
      </c>
      <c r="S494" s="21" t="str">
        <f>IF(MonthlyFAME!T496=0,"",MonthlyFAME!T496)</f>
        <v/>
      </c>
      <c r="T494" s="21">
        <f>IF(MonthlyFAME!U496=0,"",MonthlyFAME!U496)</f>
        <v>30.907727272727278</v>
      </c>
    </row>
    <row r="495" spans="1:20" x14ac:dyDescent="0.2">
      <c r="A495" s="23">
        <f>IF(MonthlyFAME!A497=0,"",MonthlyFAME!A497)</f>
        <v>36860</v>
      </c>
      <c r="B495" s="21">
        <f>IF(MonthlyFAME!B497=0,"",MonthlyFAME!B497)</f>
        <v>72.900000000000006</v>
      </c>
      <c r="C495" s="21">
        <f>IF(MonthlyFAME!C497=0,"",MonthlyFAME!C497)</f>
        <v>94.2</v>
      </c>
      <c r="D495" s="21">
        <f>IF(MonthlyFAME!D497=0,"",MonthlyFAME!D497)</f>
        <v>67.578299999999999</v>
      </c>
      <c r="E495" s="21">
        <f>IF(MonthlyFAME!F497=0,"",MonthlyFAME!F497)</f>
        <v>22876</v>
      </c>
      <c r="F495" s="21">
        <f>IF(MonthlyFAME!G497=0,"",MonthlyFAME!G497)</f>
        <v>24409</v>
      </c>
      <c r="G495" s="21">
        <f>IF(MonthlyFAME!H497=0,"",MonthlyFAME!H497)</f>
        <v>5.3001101321585899</v>
      </c>
      <c r="H495" s="21">
        <f>IF(MonthlyFAME!I497=0,"",MonthlyFAME!I497)</f>
        <v>27516</v>
      </c>
      <c r="I495" s="21">
        <f>IF(MonthlyFAME!J497=0,"",MonthlyFAME!J497)</f>
        <v>896.7</v>
      </c>
      <c r="J495" s="26">
        <v>640.63636363636374</v>
      </c>
      <c r="K495" s="21">
        <f>IF(MonthlyFAME!L497=0,"",MonthlyFAME!L497)</f>
        <v>324.30507494166199</v>
      </c>
      <c r="L495" s="21">
        <f>IF(MonthlyFAME!M497=0,"",MonthlyFAME!M497)</f>
        <v>1035.5999999999999</v>
      </c>
      <c r="M495" s="21" t="str">
        <f>IF(MonthlyFAME!N497=0,"",MonthlyFAME!N497)</f>
        <v/>
      </c>
      <c r="N495" s="21" t="str">
        <f>IF(MonthlyFAME!O497=0,"",MonthlyFAME!O497)</f>
        <v/>
      </c>
      <c r="O495" s="21" t="str">
        <f>IF(MonthlyFAME!P497=0,"",MonthlyFAME!P497)</f>
        <v/>
      </c>
      <c r="P495" s="21" t="str">
        <f>IF(MonthlyFAME!Q497=0,"",MonthlyFAME!Q497)</f>
        <v/>
      </c>
      <c r="Q495" s="21" t="str">
        <f>IF(MonthlyFAME!R497=0,"",MonthlyFAME!R497)</f>
        <v/>
      </c>
      <c r="R495" s="21" t="str">
        <f>IF(MonthlyFAME!S497=0,"",MonthlyFAME!S497)</f>
        <v/>
      </c>
      <c r="S495" s="21" t="str">
        <f>IF(MonthlyFAME!T497=0,"",MonthlyFAME!T497)</f>
        <v/>
      </c>
      <c r="T495" s="21">
        <f>IF(MonthlyFAME!U497=0,"",MonthlyFAME!U497)</f>
        <v>32.44590909090909</v>
      </c>
    </row>
    <row r="496" spans="1:20" x14ac:dyDescent="0.2">
      <c r="A496" s="23">
        <f>IF(MonthlyFAME!A498=0,"",MonthlyFAME!A498)</f>
        <v>36891</v>
      </c>
      <c r="B496" s="21">
        <f>IF(MonthlyFAME!B498=0,"",MonthlyFAME!B498)</f>
        <v>73.2</v>
      </c>
      <c r="C496" s="21">
        <f>IF(MonthlyFAME!C498=0,"",MonthlyFAME!C498)</f>
        <v>96.2</v>
      </c>
      <c r="D496" s="21">
        <f>IF(MonthlyFAME!D498=0,"",MonthlyFAME!D498)</f>
        <v>67.615399999999994</v>
      </c>
      <c r="E496" s="21">
        <f>IF(MonthlyFAME!F498=0,"",MonthlyFAME!F498)</f>
        <v>22983</v>
      </c>
      <c r="F496" s="21">
        <f>IF(MonthlyFAME!G498=0,"",MonthlyFAME!G498)</f>
        <v>24133</v>
      </c>
      <c r="G496" s="21">
        <f>IF(MonthlyFAME!H498=0,"",MonthlyFAME!H498)</f>
        <v>5.2289380439643605</v>
      </c>
      <c r="H496" s="21">
        <f>IF(MonthlyFAME!I498=0,"",MonthlyFAME!I498)</f>
        <v>27549</v>
      </c>
      <c r="I496" s="21">
        <f>IF(MonthlyFAME!J498=0,"",MonthlyFAME!J498)</f>
        <v>903.4</v>
      </c>
      <c r="J496" s="26">
        <v>657.86060606060619</v>
      </c>
      <c r="K496" s="21">
        <f>IF(MonthlyFAME!L498=0,"",MonthlyFAME!L498)</f>
        <v>328.56796903416199</v>
      </c>
      <c r="L496" s="21">
        <f>IF(MonthlyFAME!M498=0,"",MonthlyFAME!M498)</f>
        <v>1029.9000000000001</v>
      </c>
      <c r="M496" s="21" t="str">
        <f>IF(MonthlyFAME!N498=0,"",MonthlyFAME!N498)</f>
        <v/>
      </c>
      <c r="N496" s="21" t="str">
        <f>IF(MonthlyFAME!O498=0,"",MonthlyFAME!O498)</f>
        <v/>
      </c>
      <c r="O496" s="21" t="str">
        <f>IF(MonthlyFAME!P498=0,"",MonthlyFAME!P498)</f>
        <v/>
      </c>
      <c r="P496" s="21" t="str">
        <f>IF(MonthlyFAME!Q498=0,"",MonthlyFAME!Q498)</f>
        <v/>
      </c>
      <c r="Q496" s="21" t="str">
        <f>IF(MonthlyFAME!R498=0,"",MonthlyFAME!R498)</f>
        <v/>
      </c>
      <c r="R496" s="21" t="str">
        <f>IF(MonthlyFAME!S498=0,"",MonthlyFAME!S498)</f>
        <v/>
      </c>
      <c r="S496" s="21" t="str">
        <f>IF(MonthlyFAME!T498=0,"",MonthlyFAME!T498)</f>
        <v/>
      </c>
      <c r="T496" s="21">
        <f>IF(MonthlyFAME!U498=0,"",MonthlyFAME!U498)</f>
        <v>24.969999999999995</v>
      </c>
    </row>
    <row r="497" spans="1:20" x14ac:dyDescent="0.2">
      <c r="A497" s="23">
        <f>IF(MonthlyFAME!A499=0,"",MonthlyFAME!A499)</f>
        <v>36922</v>
      </c>
      <c r="B497" s="21">
        <f>IF(MonthlyFAME!B499=0,"",MonthlyFAME!B499)</f>
        <v>73.5</v>
      </c>
      <c r="C497" s="21">
        <f>IF(MonthlyFAME!C499=0,"",MonthlyFAME!C499)</f>
        <v>95.9</v>
      </c>
      <c r="D497" s="21">
        <f>IF(MonthlyFAME!D499=0,"",MonthlyFAME!D499)</f>
        <v>68.013099999999994</v>
      </c>
      <c r="E497" s="21">
        <f>IF(MonthlyFAME!F499=0,"",MonthlyFAME!F499)</f>
        <v>23636</v>
      </c>
      <c r="F497" s="21">
        <f>IF(MonthlyFAME!G499=0,"",MonthlyFAME!G499)</f>
        <v>24494</v>
      </c>
      <c r="G497" s="21">
        <f>IF(MonthlyFAME!H499=0,"",MonthlyFAME!H499)</f>
        <v>5.1611132081946396</v>
      </c>
      <c r="H497" s="21">
        <f>IF(MonthlyFAME!I499=0,"",MonthlyFAME!I499)</f>
        <v>27637</v>
      </c>
      <c r="I497" s="21">
        <f>IF(MonthlyFAME!J499=0,"",MonthlyFAME!J499)</f>
        <v>908</v>
      </c>
      <c r="J497" s="26">
        <v>661.72727272727286</v>
      </c>
      <c r="K497" s="21">
        <f>IF(MonthlyFAME!L499=0,"",MonthlyFAME!L499)</f>
        <v>328.57300193749802</v>
      </c>
      <c r="L497" s="21">
        <f>IF(MonthlyFAME!M499=0,"",MonthlyFAME!M499)</f>
        <v>1008.6</v>
      </c>
      <c r="M497" s="21" t="str">
        <f>IF(MonthlyFAME!N499=0,"",MonthlyFAME!N499)</f>
        <v/>
      </c>
      <c r="N497" s="21" t="str">
        <f>IF(MonthlyFAME!O499=0,"",MonthlyFAME!O499)</f>
        <v/>
      </c>
      <c r="O497" s="21" t="str">
        <f>IF(MonthlyFAME!P499=0,"",MonthlyFAME!P499)</f>
        <v/>
      </c>
      <c r="P497" s="21" t="str">
        <f>IF(MonthlyFAME!Q499=0,"",MonthlyFAME!Q499)</f>
        <v/>
      </c>
      <c r="Q497" s="21" t="str">
        <f>IF(MonthlyFAME!R499=0,"",MonthlyFAME!R499)</f>
        <v/>
      </c>
      <c r="R497" s="21" t="str">
        <f>IF(MonthlyFAME!S499=0,"",MonthlyFAME!S499)</f>
        <v/>
      </c>
      <c r="S497" s="21" t="str">
        <f>IF(MonthlyFAME!T499=0,"",MonthlyFAME!T499)</f>
        <v/>
      </c>
      <c r="T497" s="21">
        <f>IF(MonthlyFAME!U499=0,"",MonthlyFAME!U499)</f>
        <v>25.458260869565219</v>
      </c>
    </row>
    <row r="498" spans="1:20" x14ac:dyDescent="0.2">
      <c r="A498" s="23">
        <f>IF(MonthlyFAME!A500=0,"",MonthlyFAME!A500)</f>
        <v>36950</v>
      </c>
      <c r="B498" s="21">
        <f>IF(MonthlyFAME!B500=0,"",MonthlyFAME!B500)</f>
        <v>73.5</v>
      </c>
      <c r="C498" s="21">
        <f>IF(MonthlyFAME!C500=0,"",MonthlyFAME!C500)</f>
        <v>96</v>
      </c>
      <c r="D498" s="21">
        <f>IF(MonthlyFAME!D500=0,"",MonthlyFAME!D500)</f>
        <v>67.997299999999996</v>
      </c>
      <c r="E498" s="21">
        <f>IF(MonthlyFAME!F500=0,"",MonthlyFAME!F500)</f>
        <v>23345</v>
      </c>
      <c r="F498" s="21">
        <f>IF(MonthlyFAME!G500=0,"",MonthlyFAME!G500)</f>
        <v>24667</v>
      </c>
      <c r="G498" s="21">
        <f>IF(MonthlyFAME!H500=0,"",MonthlyFAME!H500)</f>
        <v>5.2035422530376882</v>
      </c>
      <c r="H498" s="21">
        <f>IF(MonthlyFAME!I500=0,"",MonthlyFAME!I500)</f>
        <v>27618</v>
      </c>
      <c r="I498" s="21">
        <f>IF(MonthlyFAME!J500=0,"",MonthlyFAME!J500)</f>
        <v>904.8</v>
      </c>
      <c r="J498" s="26">
        <v>695.47272727272741</v>
      </c>
      <c r="K498" s="21">
        <f>IF(MonthlyFAME!L500=0,"",MonthlyFAME!L500)</f>
        <v>331.896686767267</v>
      </c>
      <c r="L498" s="21">
        <f>IF(MonthlyFAME!M500=0,"",MonthlyFAME!M500)</f>
        <v>999.5</v>
      </c>
      <c r="M498" s="21" t="str">
        <f>IF(MonthlyFAME!N500=0,"",MonthlyFAME!N500)</f>
        <v/>
      </c>
      <c r="N498" s="21" t="str">
        <f>IF(MonthlyFAME!O500=0,"",MonthlyFAME!O500)</f>
        <v/>
      </c>
      <c r="O498" s="21" t="str">
        <f>IF(MonthlyFAME!P500=0,"",MonthlyFAME!P500)</f>
        <v/>
      </c>
      <c r="P498" s="21" t="str">
        <f>IF(MonthlyFAME!Q500=0,"",MonthlyFAME!Q500)</f>
        <v/>
      </c>
      <c r="Q498" s="21" t="str">
        <f>IF(MonthlyFAME!R500=0,"",MonthlyFAME!R500)</f>
        <v/>
      </c>
      <c r="R498" s="21" t="str">
        <f>IF(MonthlyFAME!S500=0,"",MonthlyFAME!S500)</f>
        <v/>
      </c>
      <c r="S498" s="21" t="str">
        <f>IF(MonthlyFAME!T500=0,"",MonthlyFAME!T500)</f>
        <v/>
      </c>
      <c r="T498" s="21">
        <f>IF(MonthlyFAME!U500=0,"",MonthlyFAME!U500)</f>
        <v>27.378000000000004</v>
      </c>
    </row>
    <row r="499" spans="1:20" x14ac:dyDescent="0.2">
      <c r="A499" s="23">
        <f>IF(MonthlyFAME!A501=0,"",MonthlyFAME!A501)</f>
        <v>36981</v>
      </c>
      <c r="B499" s="21">
        <f>IF(MonthlyFAME!B501=0,"",MonthlyFAME!B501)</f>
        <v>73.8</v>
      </c>
      <c r="C499" s="21">
        <f>IF(MonthlyFAME!C501=0,"",MonthlyFAME!C501)</f>
        <v>96.8</v>
      </c>
      <c r="D499" s="21">
        <f>IF(MonthlyFAME!D501=0,"",MonthlyFAME!D501)</f>
        <v>68.273300000000006</v>
      </c>
      <c r="E499" s="21">
        <f>IF(MonthlyFAME!F501=0,"",MonthlyFAME!F501)</f>
        <v>22993</v>
      </c>
      <c r="F499" s="21">
        <f>IF(MonthlyFAME!G501=0,"",MonthlyFAME!G501)</f>
        <v>24947</v>
      </c>
      <c r="G499" s="21">
        <f>IF(MonthlyFAME!H501=0,"",MonthlyFAME!H501)</f>
        <v>5.0886476085761405</v>
      </c>
      <c r="H499" s="21">
        <f>IF(MonthlyFAME!I501=0,"",MonthlyFAME!I501)</f>
        <v>27623</v>
      </c>
      <c r="I499" s="21">
        <f>IF(MonthlyFAME!J501=0,"",MonthlyFAME!J501)</f>
        <v>900.5</v>
      </c>
      <c r="J499" s="26">
        <v>688.26666666666677</v>
      </c>
      <c r="K499" s="21">
        <f>IF(MonthlyFAME!L501=0,"",MonthlyFAME!L501)</f>
        <v>330.54552689870502</v>
      </c>
      <c r="L499" s="21">
        <f>IF(MonthlyFAME!M501=0,"",MonthlyFAME!M501)</f>
        <v>990.9</v>
      </c>
      <c r="M499" s="21" t="str">
        <f>IF(MonthlyFAME!N501=0,"",MonthlyFAME!N501)</f>
        <v/>
      </c>
      <c r="N499" s="21" t="str">
        <f>IF(MonthlyFAME!O501=0,"",MonthlyFAME!O501)</f>
        <v/>
      </c>
      <c r="O499" s="21" t="str">
        <f>IF(MonthlyFAME!P501=0,"",MonthlyFAME!P501)</f>
        <v/>
      </c>
      <c r="P499" s="21" t="str">
        <f>IF(MonthlyFAME!Q501=0,"",MonthlyFAME!Q501)</f>
        <v/>
      </c>
      <c r="Q499" s="21" t="str">
        <f>IF(MonthlyFAME!R501=0,"",MonthlyFAME!R501)</f>
        <v/>
      </c>
      <c r="R499" s="21" t="str">
        <f>IF(MonthlyFAME!S501=0,"",MonthlyFAME!S501)</f>
        <v/>
      </c>
      <c r="S499" s="21" t="str">
        <f>IF(MonthlyFAME!T501=0,"",MonthlyFAME!T501)</f>
        <v/>
      </c>
      <c r="T499" s="21">
        <f>IF(MonthlyFAME!U501=0,"",MonthlyFAME!U501)</f>
        <v>24.435454545454547</v>
      </c>
    </row>
    <row r="500" spans="1:20" x14ac:dyDescent="0.2">
      <c r="A500" s="23">
        <f>IF(MonthlyFAME!A502=0,"",MonthlyFAME!A502)</f>
        <v>37011</v>
      </c>
      <c r="B500" s="21">
        <f>IF(MonthlyFAME!B502=0,"",MonthlyFAME!B502)</f>
        <v>73.7</v>
      </c>
      <c r="C500" s="21">
        <f>IF(MonthlyFAME!C502=0,"",MonthlyFAME!C502)</f>
        <v>97.3</v>
      </c>
      <c r="D500" s="21">
        <f>IF(MonthlyFAME!D502=0,"",MonthlyFAME!D502)</f>
        <v>68.031300000000002</v>
      </c>
      <c r="E500" s="21">
        <f>IF(MonthlyFAME!F502=0,"",MonthlyFAME!F502)</f>
        <v>22262</v>
      </c>
      <c r="F500" s="21">
        <f>IF(MonthlyFAME!G502=0,"",MonthlyFAME!G502)</f>
        <v>24456</v>
      </c>
      <c r="G500" s="21">
        <f>IF(MonthlyFAME!H502=0,"",MonthlyFAME!H502)</f>
        <v>5.0099581072728521</v>
      </c>
      <c r="H500" s="21">
        <f>IF(MonthlyFAME!I502=0,"",MonthlyFAME!I502)</f>
        <v>27663</v>
      </c>
      <c r="I500" s="21">
        <f>IF(MonthlyFAME!J502=0,"",MonthlyFAME!J502)</f>
        <v>903.4</v>
      </c>
      <c r="J500" s="26">
        <v>694.06666666666672</v>
      </c>
      <c r="K500" s="21">
        <f>IF(MonthlyFAME!L502=0,"",MonthlyFAME!L502)</f>
        <v>326.484052587424</v>
      </c>
      <c r="L500" s="21">
        <f>IF(MonthlyFAME!M502=0,"",MonthlyFAME!M502)</f>
        <v>975.5</v>
      </c>
      <c r="M500" s="21" t="str">
        <f>IF(MonthlyFAME!N502=0,"",MonthlyFAME!N502)</f>
        <v/>
      </c>
      <c r="N500" s="21" t="str">
        <f>IF(MonthlyFAME!O502=0,"",MonthlyFAME!O502)</f>
        <v/>
      </c>
      <c r="O500" s="21" t="str">
        <f>IF(MonthlyFAME!P502=0,"",MonthlyFAME!P502)</f>
        <v/>
      </c>
      <c r="P500" s="21" t="str">
        <f>IF(MonthlyFAME!Q502=0,"",MonthlyFAME!Q502)</f>
        <v/>
      </c>
      <c r="Q500" s="21" t="str">
        <f>IF(MonthlyFAME!R502=0,"",MonthlyFAME!R502)</f>
        <v/>
      </c>
      <c r="R500" s="21" t="str">
        <f>IF(MonthlyFAME!S502=0,"",MonthlyFAME!S502)</f>
        <v/>
      </c>
      <c r="S500" s="21" t="str">
        <f>IF(MonthlyFAME!T502=0,"",MonthlyFAME!T502)</f>
        <v/>
      </c>
      <c r="T500" s="21">
        <f>IF(MonthlyFAME!U502=0,"",MonthlyFAME!U502)</f>
        <v>25.69047619047619</v>
      </c>
    </row>
    <row r="501" spans="1:20" x14ac:dyDescent="0.2">
      <c r="A501" s="23">
        <f>IF(MonthlyFAME!A503=0,"",MonthlyFAME!A503)</f>
        <v>37042</v>
      </c>
      <c r="B501" s="21">
        <f>IF(MonthlyFAME!B503=0,"",MonthlyFAME!B503)</f>
        <v>73.8</v>
      </c>
      <c r="C501" s="21">
        <f>IF(MonthlyFAME!C503=0,"",MonthlyFAME!C503)</f>
        <v>96.8</v>
      </c>
      <c r="D501" s="21">
        <f>IF(MonthlyFAME!D503=0,"",MonthlyFAME!D503)</f>
        <v>68.1267</v>
      </c>
      <c r="E501" s="21">
        <f>IF(MonthlyFAME!F503=0,"",MonthlyFAME!F503)</f>
        <v>22132</v>
      </c>
      <c r="F501" s="21">
        <f>IF(MonthlyFAME!G503=0,"",MonthlyFAME!G503)</f>
        <v>24425</v>
      </c>
      <c r="G501" s="21">
        <f>IF(MonthlyFAME!H503=0,"",MonthlyFAME!H503)</f>
        <v>4.9124613800205976</v>
      </c>
      <c r="H501" s="21">
        <f>IF(MonthlyFAME!I503=0,"",MonthlyFAME!I503)</f>
        <v>27699</v>
      </c>
      <c r="I501" s="21">
        <f>IF(MonthlyFAME!J503=0,"",MonthlyFAME!J503)</f>
        <v>906.5</v>
      </c>
      <c r="J501" s="26">
        <v>681.58787878787882</v>
      </c>
      <c r="K501" s="21">
        <f>IF(MonthlyFAME!L503=0,"",MonthlyFAME!L503)</f>
        <v>326.62826657587499</v>
      </c>
      <c r="L501" s="21">
        <f>IF(MonthlyFAME!M503=0,"",MonthlyFAME!M503)</f>
        <v>974.9</v>
      </c>
      <c r="M501" s="21" t="str">
        <f>IF(MonthlyFAME!N503=0,"",MonthlyFAME!N503)</f>
        <v/>
      </c>
      <c r="N501" s="21" t="str">
        <f>IF(MonthlyFAME!O503=0,"",MonthlyFAME!O503)</f>
        <v/>
      </c>
      <c r="O501" s="21" t="str">
        <f>IF(MonthlyFAME!P503=0,"",MonthlyFAME!P503)</f>
        <v/>
      </c>
      <c r="P501" s="21" t="str">
        <f>IF(MonthlyFAME!Q503=0,"",MonthlyFAME!Q503)</f>
        <v/>
      </c>
      <c r="Q501" s="21" t="str">
        <f>IF(MonthlyFAME!R503=0,"",MonthlyFAME!R503)</f>
        <v/>
      </c>
      <c r="R501" s="21" t="str">
        <f>IF(MonthlyFAME!S503=0,"",MonthlyFAME!S503)</f>
        <v/>
      </c>
      <c r="S501" s="21" t="str">
        <f>IF(MonthlyFAME!T503=0,"",MonthlyFAME!T503)</f>
        <v/>
      </c>
      <c r="T501" s="21">
        <f>IF(MonthlyFAME!U503=0,"",MonthlyFAME!U503)</f>
        <v>28.399130434782613</v>
      </c>
    </row>
    <row r="502" spans="1:20" x14ac:dyDescent="0.2">
      <c r="A502" s="23">
        <f>IF(MonthlyFAME!A504=0,"",MonthlyFAME!A504)</f>
        <v>37072</v>
      </c>
      <c r="B502" s="21">
        <f>IF(MonthlyFAME!B504=0,"",MonthlyFAME!B504)</f>
        <v>74.099999999999994</v>
      </c>
      <c r="C502" s="21">
        <f>IF(MonthlyFAME!C504=0,"",MonthlyFAME!C504)</f>
        <v>97.5</v>
      </c>
      <c r="D502" s="21">
        <f>IF(MonthlyFAME!D504=0,"",MonthlyFAME!D504)</f>
        <v>68.365600000000001</v>
      </c>
      <c r="E502" s="21">
        <f>IF(MonthlyFAME!F504=0,"",MonthlyFAME!F504)</f>
        <v>22577</v>
      </c>
      <c r="F502" s="21">
        <f>IF(MonthlyFAME!G504=0,"",MonthlyFAME!G504)</f>
        <v>25351</v>
      </c>
      <c r="G502" s="21">
        <f>IF(MonthlyFAME!H504=0,"",MonthlyFAME!H504)</f>
        <v>5.0317052270779774</v>
      </c>
      <c r="H502" s="21">
        <f>IF(MonthlyFAME!I504=0,"",MonthlyFAME!I504)</f>
        <v>27707</v>
      </c>
      <c r="I502" s="21">
        <f>IF(MonthlyFAME!J504=0,"",MonthlyFAME!J504)</f>
        <v>906.4</v>
      </c>
      <c r="J502" s="21">
        <f>IF(MonthlyFAME!K504=0,"",MonthlyFAME!K504)</f>
        <v>680</v>
      </c>
      <c r="K502" s="21">
        <f>IF(MonthlyFAME!L504=0,"",MonthlyFAME!L504)</f>
        <v>328.44500890779398</v>
      </c>
      <c r="L502" s="21">
        <f>IF(MonthlyFAME!M504=0,"",MonthlyFAME!M504)</f>
        <v>961.6</v>
      </c>
      <c r="M502" s="21" t="str">
        <f>IF(MonthlyFAME!N504=0,"",MonthlyFAME!N504)</f>
        <v/>
      </c>
      <c r="N502" s="21" t="str">
        <f>IF(MonthlyFAME!O504=0,"",MonthlyFAME!O504)</f>
        <v/>
      </c>
      <c r="O502" s="21" t="str">
        <f>IF(MonthlyFAME!P504=0,"",MonthlyFAME!P504)</f>
        <v/>
      </c>
      <c r="P502" s="21" t="str">
        <f>IF(MonthlyFAME!Q504=0,"",MonthlyFAME!Q504)</f>
        <v/>
      </c>
      <c r="Q502" s="21" t="str">
        <f>IF(MonthlyFAME!R504=0,"",MonthlyFAME!R504)</f>
        <v/>
      </c>
      <c r="R502" s="21" t="str">
        <f>IF(MonthlyFAME!S504=0,"",MonthlyFAME!S504)</f>
        <v/>
      </c>
      <c r="S502" s="21" t="str">
        <f>IF(MonthlyFAME!T504=0,"",MonthlyFAME!T504)</f>
        <v/>
      </c>
      <c r="T502" s="21">
        <f>IF(MonthlyFAME!U504=0,"",MonthlyFAME!U504)</f>
        <v>27.771904761904754</v>
      </c>
    </row>
    <row r="503" spans="1:20" x14ac:dyDescent="0.2">
      <c r="A503" s="23">
        <f>IF(MonthlyFAME!A505=0,"",MonthlyFAME!A505)</f>
        <v>37103</v>
      </c>
      <c r="B503" s="21">
        <f>IF(MonthlyFAME!B505=0,"",MonthlyFAME!B505)</f>
        <v>74.099999999999994</v>
      </c>
      <c r="C503" s="21">
        <f>IF(MonthlyFAME!C505=0,"",MonthlyFAME!C505)</f>
        <v>97.2</v>
      </c>
      <c r="D503" s="21">
        <f>IF(MonthlyFAME!D505=0,"",MonthlyFAME!D505)</f>
        <v>68.404399999999995</v>
      </c>
      <c r="E503" s="21">
        <f>IF(MonthlyFAME!F505=0,"",MonthlyFAME!F505)</f>
        <v>22115</v>
      </c>
      <c r="F503" s="21">
        <f>IF(MonthlyFAME!G505=0,"",MonthlyFAME!G505)</f>
        <v>24320</v>
      </c>
      <c r="G503" s="21">
        <f>IF(MonthlyFAME!H505=0,"",MonthlyFAME!H505)</f>
        <v>5.0461074354667304</v>
      </c>
      <c r="H503" s="21">
        <f>IF(MonthlyFAME!I505=0,"",MonthlyFAME!I505)</f>
        <v>27699</v>
      </c>
      <c r="I503" s="21">
        <f>IF(MonthlyFAME!J505=0,"",MonthlyFAME!J505)</f>
        <v>905.8</v>
      </c>
      <c r="J503" s="21">
        <f>IF(MonthlyFAME!K505=0,"",MonthlyFAME!K505)</f>
        <v>674</v>
      </c>
      <c r="K503" s="21">
        <f>IF(MonthlyFAME!L505=0,"",MonthlyFAME!L505)</f>
        <v>328.39632125476999</v>
      </c>
      <c r="L503" s="21">
        <f>IF(MonthlyFAME!M505=0,"",MonthlyFAME!M505)</f>
        <v>951.8</v>
      </c>
      <c r="M503" s="21" t="str">
        <f>IF(MonthlyFAME!N505=0,"",MonthlyFAME!N505)</f>
        <v/>
      </c>
      <c r="N503" s="21" t="str">
        <f>IF(MonthlyFAME!O505=0,"",MonthlyFAME!O505)</f>
        <v/>
      </c>
      <c r="O503" s="21" t="str">
        <f>IF(MonthlyFAME!P505=0,"",MonthlyFAME!P505)</f>
        <v/>
      </c>
      <c r="P503" s="21" t="str">
        <f>IF(MonthlyFAME!Q505=0,"",MonthlyFAME!Q505)</f>
        <v/>
      </c>
      <c r="Q503" s="21" t="str">
        <f>IF(MonthlyFAME!R505=0,"",MonthlyFAME!R505)</f>
        <v/>
      </c>
      <c r="R503" s="21" t="str">
        <f>IF(MonthlyFAME!S505=0,"",MonthlyFAME!S505)</f>
        <v/>
      </c>
      <c r="S503" s="21" t="str">
        <f>IF(MonthlyFAME!T505=0,"",MonthlyFAME!T505)</f>
        <v/>
      </c>
      <c r="T503" s="21">
        <f>IF(MonthlyFAME!U505=0,"",MonthlyFAME!U505)</f>
        <v>24.614999999999998</v>
      </c>
    </row>
    <row r="504" spans="1:20" x14ac:dyDescent="0.2">
      <c r="A504" s="23">
        <f>IF(MonthlyFAME!A506=0,"",MonthlyFAME!A506)</f>
        <v>37134</v>
      </c>
      <c r="B504" s="21">
        <f>IF(MonthlyFAME!B506=0,"",MonthlyFAME!B506)</f>
        <v>74.3</v>
      </c>
      <c r="C504" s="21">
        <f>IF(MonthlyFAME!C506=0,"",MonthlyFAME!C506)</f>
        <v>98.3</v>
      </c>
      <c r="D504" s="21">
        <f>IF(MonthlyFAME!D506=0,"",MonthlyFAME!D506)</f>
        <v>68.479399999999998</v>
      </c>
      <c r="E504" s="21">
        <f>IF(MonthlyFAME!F506=0,"",MonthlyFAME!F506)</f>
        <v>21732</v>
      </c>
      <c r="F504" s="21">
        <f>IF(MonthlyFAME!G506=0,"",MonthlyFAME!G506)</f>
        <v>24820</v>
      </c>
      <c r="G504" s="21">
        <f>IF(MonthlyFAME!H506=0,"",MonthlyFAME!H506)</f>
        <v>5.0784192863502504</v>
      </c>
      <c r="H504" s="21">
        <f>IF(MonthlyFAME!I506=0,"",MonthlyFAME!I506)</f>
        <v>27719</v>
      </c>
      <c r="I504" s="21">
        <f>IF(MonthlyFAME!J506=0,"",MonthlyFAME!J506)</f>
        <v>906.4</v>
      </c>
      <c r="J504" s="21">
        <f>IF(MonthlyFAME!K506=0,"",MonthlyFAME!K506)</f>
        <v>663</v>
      </c>
      <c r="K504" s="21">
        <f>IF(MonthlyFAME!L506=0,"",MonthlyFAME!L506)</f>
        <v>330.72633046839201</v>
      </c>
      <c r="L504" s="21">
        <f>IF(MonthlyFAME!M506=0,"",MonthlyFAME!M506)</f>
        <v>951.2</v>
      </c>
      <c r="M504" s="21" t="str">
        <f>IF(MonthlyFAME!N506=0,"",MonthlyFAME!N506)</f>
        <v/>
      </c>
      <c r="N504" s="21" t="str">
        <f>IF(MonthlyFAME!O506=0,"",MonthlyFAME!O506)</f>
        <v/>
      </c>
      <c r="O504" s="21" t="str">
        <f>IF(MonthlyFAME!P506=0,"",MonthlyFAME!P506)</f>
        <v/>
      </c>
      <c r="P504" s="21" t="str">
        <f>IF(MonthlyFAME!Q506=0,"",MonthlyFAME!Q506)</f>
        <v/>
      </c>
      <c r="Q504" s="21" t="str">
        <f>IF(MonthlyFAME!R506=0,"",MonthlyFAME!R506)</f>
        <v/>
      </c>
      <c r="R504" s="21" t="str">
        <f>IF(MonthlyFAME!S506=0,"",MonthlyFAME!S506)</f>
        <v/>
      </c>
      <c r="S504" s="21" t="str">
        <f>IF(MonthlyFAME!T506=0,"",MonthlyFAME!T506)</f>
        <v/>
      </c>
      <c r="T504" s="21">
        <f>IF(MonthlyFAME!U506=0,"",MonthlyFAME!U506)</f>
        <v>25.673043478260869</v>
      </c>
    </row>
    <row r="505" spans="1:20" x14ac:dyDescent="0.2">
      <c r="A505" s="23">
        <f>IF(MonthlyFAME!A507=0,"",MonthlyFAME!A507)</f>
        <v>37164</v>
      </c>
      <c r="B505" s="21">
        <f>IF(MonthlyFAME!B507=0,"",MonthlyFAME!B507)</f>
        <v>74.2</v>
      </c>
      <c r="C505" s="21">
        <f>IF(MonthlyFAME!C507=0,"",MonthlyFAME!C507)</f>
        <v>97.8</v>
      </c>
      <c r="D505" s="21">
        <f>IF(MonthlyFAME!D507=0,"",MonthlyFAME!D507)</f>
        <v>68.509500000000003</v>
      </c>
      <c r="E505" s="21">
        <f>IF(MonthlyFAME!F507=0,"",MonthlyFAME!F507)</f>
        <v>21426</v>
      </c>
      <c r="F505" s="21">
        <f>IF(MonthlyFAME!G507=0,"",MonthlyFAME!G507)</f>
        <v>23532</v>
      </c>
      <c r="G505" s="21">
        <f>IF(MonthlyFAME!H507=0,"",MonthlyFAME!H507)</f>
        <v>5.092116978289158</v>
      </c>
      <c r="H505" s="21">
        <f>IF(MonthlyFAME!I507=0,"",MonthlyFAME!I507)</f>
        <v>27715</v>
      </c>
      <c r="I505" s="21">
        <f>IF(MonthlyFAME!J507=0,"",MonthlyFAME!J507)</f>
        <v>904.9</v>
      </c>
      <c r="J505" s="21">
        <f>IF(MonthlyFAME!K507=0,"",MonthlyFAME!K507)</f>
        <v>663</v>
      </c>
      <c r="K505" s="21">
        <f>IF(MonthlyFAME!L507=0,"",MonthlyFAME!L507)</f>
        <v>331.10736218489097</v>
      </c>
      <c r="L505" s="21">
        <f>IF(MonthlyFAME!M507=0,"",MonthlyFAME!M507)</f>
        <v>946.1</v>
      </c>
      <c r="M505" s="21" t="str">
        <f>IF(MonthlyFAME!N507=0,"",MonthlyFAME!N507)</f>
        <v/>
      </c>
      <c r="N505" s="21" t="str">
        <f>IF(MonthlyFAME!O507=0,"",MonthlyFAME!O507)</f>
        <v/>
      </c>
      <c r="O505" s="21" t="str">
        <f>IF(MonthlyFAME!P507=0,"",MonthlyFAME!P507)</f>
        <v/>
      </c>
      <c r="P505" s="21" t="str">
        <f>IF(MonthlyFAME!Q507=0,"",MonthlyFAME!Q507)</f>
        <v/>
      </c>
      <c r="Q505" s="21" t="str">
        <f>IF(MonthlyFAME!R507=0,"",MonthlyFAME!R507)</f>
        <v/>
      </c>
      <c r="R505" s="21" t="str">
        <f>IF(MonthlyFAME!S507=0,"",MonthlyFAME!S507)</f>
        <v/>
      </c>
      <c r="S505" s="21" t="str">
        <f>IF(MonthlyFAME!T507=0,"",MonthlyFAME!T507)</f>
        <v/>
      </c>
      <c r="T505" s="21">
        <f>IF(MonthlyFAME!U507=0,"",MonthlyFAME!U507)</f>
        <v>25.511499999999998</v>
      </c>
    </row>
    <row r="506" spans="1:20" x14ac:dyDescent="0.2">
      <c r="A506" s="23">
        <f>IF(MonthlyFAME!A508=0,"",MonthlyFAME!A508)</f>
        <v>37195</v>
      </c>
      <c r="B506" s="21">
        <f>IF(MonthlyFAME!B508=0,"",MonthlyFAME!B508)</f>
        <v>74.400000000000006</v>
      </c>
      <c r="C506" s="21">
        <f>IF(MonthlyFAME!C508=0,"",MonthlyFAME!C508)</f>
        <v>97.2</v>
      </c>
      <c r="D506" s="21">
        <f>IF(MonthlyFAME!D508=0,"",MonthlyFAME!D508)</f>
        <v>68.823400000000007</v>
      </c>
      <c r="E506" s="21">
        <f>IF(MonthlyFAME!F508=0,"",MonthlyFAME!F508)</f>
        <v>22806</v>
      </c>
      <c r="F506" s="21">
        <f>IF(MonthlyFAME!G508=0,"",MonthlyFAME!G508)</f>
        <v>24848</v>
      </c>
      <c r="G506" s="21">
        <f>IF(MonthlyFAME!H508=0,"",MonthlyFAME!H508)</f>
        <v>5.0886318527137089</v>
      </c>
      <c r="H506" s="21">
        <f>IF(MonthlyFAME!I508=0,"",MonthlyFAME!I508)</f>
        <v>27735</v>
      </c>
      <c r="I506" s="21">
        <f>IF(MonthlyFAME!J508=0,"",MonthlyFAME!J508)</f>
        <v>904.2</v>
      </c>
      <c r="J506" s="21">
        <f>IF(MonthlyFAME!K508=0,"",MonthlyFAME!K508)</f>
        <v>639</v>
      </c>
      <c r="K506" s="21">
        <f>IF(MonthlyFAME!L508=0,"",MonthlyFAME!L508)</f>
        <v>332.70195283991097</v>
      </c>
      <c r="L506" s="21">
        <f>IF(MonthlyFAME!M508=0,"",MonthlyFAME!M508)</f>
        <v>953</v>
      </c>
      <c r="M506" s="21" t="str">
        <f>IF(MonthlyFAME!N508=0,"",MonthlyFAME!N508)</f>
        <v/>
      </c>
      <c r="N506" s="21" t="str">
        <f>IF(MonthlyFAME!O508=0,"",MonthlyFAME!O508)</f>
        <v/>
      </c>
      <c r="O506" s="21" t="str">
        <f>IF(MonthlyFAME!P508=0,"",MonthlyFAME!P508)</f>
        <v/>
      </c>
      <c r="P506" s="21" t="str">
        <f>IF(MonthlyFAME!Q508=0,"",MonthlyFAME!Q508)</f>
        <v/>
      </c>
      <c r="Q506" s="21" t="str">
        <f>IF(MonthlyFAME!R508=0,"",MonthlyFAME!R508)</f>
        <v/>
      </c>
      <c r="R506" s="21" t="str">
        <f>IF(MonthlyFAME!S508=0,"",MonthlyFAME!S508)</f>
        <v/>
      </c>
      <c r="S506" s="21" t="str">
        <f>IF(MonthlyFAME!T508=0,"",MonthlyFAME!T508)</f>
        <v/>
      </c>
      <c r="T506" s="21">
        <f>IF(MonthlyFAME!U508=0,"",MonthlyFAME!U508)</f>
        <v>20.452173913043481</v>
      </c>
    </row>
    <row r="507" spans="1:20" x14ac:dyDescent="0.2">
      <c r="A507" s="23">
        <f>IF(MonthlyFAME!A509=0,"",MonthlyFAME!A509)</f>
        <v>37225</v>
      </c>
      <c r="B507" s="21">
        <f>IF(MonthlyFAME!B509=0,"",MonthlyFAME!B509)</f>
        <v>74.400000000000006</v>
      </c>
      <c r="C507" s="21">
        <f>IF(MonthlyFAME!C509=0,"",MonthlyFAME!C509)</f>
        <v>97.3</v>
      </c>
      <c r="D507" s="21">
        <f>IF(MonthlyFAME!D509=0,"",MonthlyFAME!D509)</f>
        <v>68.743200000000002</v>
      </c>
      <c r="E507" s="21">
        <f>IF(MonthlyFAME!F509=0,"",MonthlyFAME!F509)</f>
        <v>22025</v>
      </c>
      <c r="F507" s="21">
        <f>IF(MonthlyFAME!G509=0,"",MonthlyFAME!G509)</f>
        <v>24191</v>
      </c>
      <c r="G507" s="21">
        <f>IF(MonthlyFAME!H509=0,"",MonthlyFAME!H509)</f>
        <v>5.1055255788539036</v>
      </c>
      <c r="H507" s="21">
        <f>IF(MonthlyFAME!I509=0,"",MonthlyFAME!I509)</f>
        <v>27787</v>
      </c>
      <c r="I507" s="21">
        <f>IF(MonthlyFAME!J509=0,"",MonthlyFAME!J509)</f>
        <v>903.5</v>
      </c>
      <c r="J507" s="21">
        <f>IF(MonthlyFAME!K509=0,"",MonthlyFAME!K509)</f>
        <v>626</v>
      </c>
      <c r="K507" s="21">
        <f>IF(MonthlyFAME!L509=0,"",MonthlyFAME!L509)</f>
        <v>333.74069901533397</v>
      </c>
      <c r="L507" s="21">
        <f>IF(MonthlyFAME!M509=0,"",MonthlyFAME!M509)</f>
        <v>959.7</v>
      </c>
      <c r="M507" s="21" t="str">
        <f>IF(MonthlyFAME!N509=0,"",MonthlyFAME!N509)</f>
        <v/>
      </c>
      <c r="N507" s="21" t="str">
        <f>IF(MonthlyFAME!O509=0,"",MonthlyFAME!O509)</f>
        <v/>
      </c>
      <c r="O507" s="21" t="str">
        <f>IF(MonthlyFAME!P509=0,"",MonthlyFAME!P509)</f>
        <v/>
      </c>
      <c r="P507" s="21" t="str">
        <f>IF(MonthlyFAME!Q509=0,"",MonthlyFAME!Q509)</f>
        <v/>
      </c>
      <c r="Q507" s="21" t="str">
        <f>IF(MonthlyFAME!R509=0,"",MonthlyFAME!R509)</f>
        <v/>
      </c>
      <c r="R507" s="21" t="str">
        <f>IF(MonthlyFAME!S509=0,"",MonthlyFAME!S509)</f>
        <v/>
      </c>
      <c r="S507" s="21" t="str">
        <f>IF(MonthlyFAME!T509=0,"",MonthlyFAME!T509)</f>
        <v/>
      </c>
      <c r="T507" s="21">
        <f>IF(MonthlyFAME!U509=0,"",MonthlyFAME!U509)</f>
        <v>18.914090909090909</v>
      </c>
    </row>
    <row r="508" spans="1:20" x14ac:dyDescent="0.2">
      <c r="A508" s="23">
        <f>IF(MonthlyFAME!A510=0,"",MonthlyFAME!A510)</f>
        <v>37256</v>
      </c>
      <c r="B508" s="21">
        <f>IF(MonthlyFAME!B510=0,"",MonthlyFAME!B510)</f>
        <v>74.3</v>
      </c>
      <c r="C508" s="21">
        <f>IF(MonthlyFAME!C510=0,"",MonthlyFAME!C510)</f>
        <v>96.9</v>
      </c>
      <c r="D508" s="21">
        <f>IF(MonthlyFAME!D510=0,"",MonthlyFAME!D510)</f>
        <v>68.695300000000003</v>
      </c>
      <c r="E508" s="21">
        <f>IF(MonthlyFAME!F510=0,"",MonthlyFAME!F510)</f>
        <v>21049</v>
      </c>
      <c r="F508" s="21">
        <f>IF(MonthlyFAME!G510=0,"",MonthlyFAME!G510)</f>
        <v>23801</v>
      </c>
      <c r="G508" s="21">
        <f>IF(MonthlyFAME!H510=0,"",MonthlyFAME!H510)</f>
        <v>5.1836442383112233</v>
      </c>
      <c r="H508" s="21">
        <f>IF(MonthlyFAME!I510=0,"",MonthlyFAME!I510)</f>
        <v>27803</v>
      </c>
      <c r="I508" s="21">
        <f>IF(MonthlyFAME!J510=0,"",MonthlyFAME!J510)</f>
        <v>903.5</v>
      </c>
      <c r="J508" s="21">
        <f>IF(MonthlyFAME!K510=0,"",MonthlyFAME!K510)</f>
        <v>602</v>
      </c>
      <c r="K508" s="21">
        <f>IF(MonthlyFAME!L510=0,"",MonthlyFAME!L510)</f>
        <v>334.15437024259103</v>
      </c>
      <c r="L508" s="21">
        <f>IF(MonthlyFAME!M510=0,"",MonthlyFAME!M510)</f>
        <v>966.5</v>
      </c>
      <c r="M508" s="21" t="str">
        <f>IF(MonthlyFAME!N510=0,"",MonthlyFAME!N510)</f>
        <v/>
      </c>
      <c r="N508" s="21" t="str">
        <f>IF(MonthlyFAME!O510=0,"",MonthlyFAME!O510)</f>
        <v/>
      </c>
      <c r="O508" s="21" t="str">
        <f>IF(MonthlyFAME!P510=0,"",MonthlyFAME!P510)</f>
        <v/>
      </c>
      <c r="P508" s="21" t="str">
        <f>IF(MonthlyFAME!Q510=0,"",MonthlyFAME!Q510)</f>
        <v/>
      </c>
      <c r="Q508" s="21" t="str">
        <f>IF(MonthlyFAME!R510=0,"",MonthlyFAME!R510)</f>
        <v/>
      </c>
      <c r="R508" s="21" t="str">
        <f>IF(MonthlyFAME!S510=0,"",MonthlyFAME!S510)</f>
        <v/>
      </c>
      <c r="S508" s="21" t="str">
        <f>IF(MonthlyFAME!T510=0,"",MonthlyFAME!T510)</f>
        <v/>
      </c>
      <c r="T508" s="21">
        <f>IF(MonthlyFAME!U510=0,"",MonthlyFAME!U510)</f>
        <v>18.53142857142857</v>
      </c>
    </row>
    <row r="509" spans="1:20" x14ac:dyDescent="0.2">
      <c r="A509" s="23">
        <f>IF(MonthlyFAME!A511=0,"",MonthlyFAME!A511)</f>
        <v>37287</v>
      </c>
      <c r="B509" s="21">
        <f>IF(MonthlyFAME!B511=0,"",MonthlyFAME!B511)</f>
        <v>74.5</v>
      </c>
      <c r="C509" s="21">
        <f>IF(MonthlyFAME!C511=0,"",MonthlyFAME!C511)</f>
        <v>96.3</v>
      </c>
      <c r="D509" s="21">
        <f>IF(MonthlyFAME!D511=0,"",MonthlyFAME!D511)</f>
        <v>68.991699999999994</v>
      </c>
      <c r="E509" s="21">
        <f>IF(MonthlyFAME!F511=0,"",MonthlyFAME!F511)</f>
        <v>22703</v>
      </c>
      <c r="F509" s="21">
        <f>IF(MonthlyFAME!G511=0,"",MonthlyFAME!G511)</f>
        <v>24581</v>
      </c>
      <c r="G509" s="21">
        <f>IF(MonthlyFAME!H511=0,"",MonthlyFAME!H511)</f>
        <v>5.1831870795916277</v>
      </c>
      <c r="H509" s="21">
        <f>IF(MonthlyFAME!I511=0,"",MonthlyFAME!I511)</f>
        <v>27769</v>
      </c>
      <c r="I509" s="21">
        <f>IF(MonthlyFAME!J511=0,"",MonthlyFAME!J511)</f>
        <v>899.7</v>
      </c>
      <c r="J509" s="21">
        <f>IF(MonthlyFAME!K511=0,"",MonthlyFAME!K511)</f>
        <v>605</v>
      </c>
      <c r="K509" s="21">
        <f>IF(MonthlyFAME!L511=0,"",MonthlyFAME!L511)</f>
        <v>332.56489400253599</v>
      </c>
      <c r="L509" s="21">
        <f>IF(MonthlyFAME!M511=0,"",MonthlyFAME!M511)</f>
        <v>958.2</v>
      </c>
      <c r="M509" s="21" t="str">
        <f>IF(MonthlyFAME!N511=0,"",MonthlyFAME!N511)</f>
        <v/>
      </c>
      <c r="N509" s="21" t="str">
        <f>IF(MonthlyFAME!O511=0,"",MonthlyFAME!O511)</f>
        <v/>
      </c>
      <c r="O509" s="21" t="str">
        <f>IF(MonthlyFAME!P511=0,"",MonthlyFAME!P511)</f>
        <v/>
      </c>
      <c r="P509" s="21" t="str">
        <f>IF(MonthlyFAME!Q511=0,"",MonthlyFAME!Q511)</f>
        <v/>
      </c>
      <c r="Q509" s="21" t="str">
        <f>IF(MonthlyFAME!R511=0,"",MonthlyFAME!R511)</f>
        <v/>
      </c>
      <c r="R509" s="21" t="str">
        <f>IF(MonthlyFAME!S511=0,"",MonthlyFAME!S511)</f>
        <v/>
      </c>
      <c r="S509" s="21" t="str">
        <f>IF(MonthlyFAME!T511=0,"",MonthlyFAME!T511)</f>
        <v/>
      </c>
      <c r="T509" s="21">
        <f>IF(MonthlyFAME!U511=0,"",MonthlyFAME!U511)</f>
        <v>19.462608695652172</v>
      </c>
    </row>
    <row r="510" spans="1:20" x14ac:dyDescent="0.2">
      <c r="A510" s="23">
        <f>IF(MonthlyFAME!A512=0,"",MonthlyFAME!A512)</f>
        <v>37315</v>
      </c>
      <c r="B510" s="21">
        <f>IF(MonthlyFAME!B512=0,"",MonthlyFAME!B512)</f>
        <v>74.400000000000006</v>
      </c>
      <c r="C510" s="21">
        <f>IF(MonthlyFAME!C512=0,"",MonthlyFAME!C512)</f>
        <v>96.4</v>
      </c>
      <c r="D510" s="21">
        <f>IF(MonthlyFAME!D512=0,"",MonthlyFAME!D512)</f>
        <v>68.841200000000001</v>
      </c>
      <c r="E510" s="21">
        <f>IF(MonthlyFAME!F512=0,"",MonthlyFAME!F512)</f>
        <v>22397</v>
      </c>
      <c r="F510" s="21">
        <f>IF(MonthlyFAME!G512=0,"",MonthlyFAME!G512)</f>
        <v>25339</v>
      </c>
      <c r="G510" s="21">
        <f>IF(MonthlyFAME!H512=0,"",MonthlyFAME!H512)</f>
        <v>5.1486906347092765</v>
      </c>
      <c r="H510" s="21">
        <f>IF(MonthlyFAME!I512=0,"",MonthlyFAME!I512)</f>
        <v>27781</v>
      </c>
      <c r="I510" s="21">
        <f>IF(MonthlyFAME!J512=0,"",MonthlyFAME!J512)</f>
        <v>900.1</v>
      </c>
      <c r="J510" s="21">
        <f>IF(MonthlyFAME!K512=0,"",MonthlyFAME!K512)</f>
        <v>616</v>
      </c>
      <c r="K510" s="21">
        <f>IF(MonthlyFAME!L512=0,"",MonthlyFAME!L512)</f>
        <v>334.08736328413897</v>
      </c>
      <c r="L510" s="21">
        <f>IF(MonthlyFAME!M512=0,"",MonthlyFAME!M512)</f>
        <v>951.9</v>
      </c>
      <c r="M510" s="21" t="str">
        <f>IF(MonthlyFAME!N512=0,"",MonthlyFAME!N512)</f>
        <v/>
      </c>
      <c r="N510" s="21" t="str">
        <f>IF(MonthlyFAME!O512=0,"",MonthlyFAME!O512)</f>
        <v/>
      </c>
      <c r="O510" s="21" t="str">
        <f>IF(MonthlyFAME!P512=0,"",MonthlyFAME!P512)</f>
        <v/>
      </c>
      <c r="P510" s="21" t="str">
        <f>IF(MonthlyFAME!Q512=0,"",MonthlyFAME!Q512)</f>
        <v/>
      </c>
      <c r="Q510" s="21" t="str">
        <f>IF(MonthlyFAME!R512=0,"",MonthlyFAME!R512)</f>
        <v/>
      </c>
      <c r="R510" s="21" t="str">
        <f>IF(MonthlyFAME!S512=0,"",MonthlyFAME!S512)</f>
        <v/>
      </c>
      <c r="S510" s="21" t="str">
        <f>IF(MonthlyFAME!T512=0,"",MonthlyFAME!T512)</f>
        <v/>
      </c>
      <c r="T510" s="21">
        <f>IF(MonthlyFAME!U512=0,"",MonthlyFAME!U512)</f>
        <v>20.110999999999997</v>
      </c>
    </row>
    <row r="511" spans="1:20" x14ac:dyDescent="0.2">
      <c r="A511" s="23">
        <f>IF(MonthlyFAME!A513=0,"",MonthlyFAME!A513)</f>
        <v>37346</v>
      </c>
      <c r="B511" s="21">
        <f>IF(MonthlyFAME!B513=0,"",MonthlyFAME!B513)</f>
        <v>74.599999999999994</v>
      </c>
      <c r="C511" s="21">
        <f>IF(MonthlyFAME!C513=0,"",MonthlyFAME!C513)</f>
        <v>98.2</v>
      </c>
      <c r="D511" s="21">
        <f>IF(MonthlyFAME!D513=0,"",MonthlyFAME!D513)</f>
        <v>68.745900000000006</v>
      </c>
      <c r="E511" s="21">
        <f>IF(MonthlyFAME!F513=0,"",MonthlyFAME!F513)</f>
        <v>22615</v>
      </c>
      <c r="F511" s="21">
        <f>IF(MonthlyFAME!G513=0,"",MonthlyFAME!G513)</f>
        <v>25448</v>
      </c>
      <c r="G511" s="21">
        <f>IF(MonthlyFAME!H513=0,"",MonthlyFAME!H513)</f>
        <v>5.1685316593886466</v>
      </c>
      <c r="H511" s="21">
        <f>IF(MonthlyFAME!I513=0,"",MonthlyFAME!I513)</f>
        <v>27797</v>
      </c>
      <c r="I511" s="21">
        <f>IF(MonthlyFAME!J513=0,"",MonthlyFAME!J513)</f>
        <v>901.5</v>
      </c>
      <c r="J511" s="21">
        <f>IF(MonthlyFAME!K513=0,"",MonthlyFAME!K513)</f>
        <v>617</v>
      </c>
      <c r="K511" s="21">
        <f>IF(MonthlyFAME!L513=0,"",MonthlyFAME!L513)</f>
        <v>334.311332153649</v>
      </c>
      <c r="L511" s="21">
        <f>IF(MonthlyFAME!M513=0,"",MonthlyFAME!M513)</f>
        <v>947.5</v>
      </c>
      <c r="M511" s="21" t="str">
        <f>IF(MonthlyFAME!N513=0,"",MonthlyFAME!N513)</f>
        <v/>
      </c>
      <c r="N511" s="21" t="str">
        <f>IF(MonthlyFAME!O513=0,"",MonthlyFAME!O513)</f>
        <v/>
      </c>
      <c r="O511" s="21" t="str">
        <f>IF(MonthlyFAME!P513=0,"",MonthlyFAME!P513)</f>
        <v/>
      </c>
      <c r="P511" s="21" t="str">
        <f>IF(MonthlyFAME!Q513=0,"",MonthlyFAME!Q513)</f>
        <v/>
      </c>
      <c r="Q511" s="21" t="str">
        <f>IF(MonthlyFAME!R513=0,"",MonthlyFAME!R513)</f>
        <v/>
      </c>
      <c r="R511" s="21" t="str">
        <f>IF(MonthlyFAME!S513=0,"",MonthlyFAME!S513)</f>
        <v/>
      </c>
      <c r="S511" s="21" t="str">
        <f>IF(MonthlyFAME!T513=0,"",MonthlyFAME!T513)</f>
        <v/>
      </c>
      <c r="T511" s="21">
        <f>IF(MonthlyFAME!U513=0,"",MonthlyFAME!U513)</f>
        <v>23.843809523809526</v>
      </c>
    </row>
    <row r="512" spans="1:20" x14ac:dyDescent="0.2">
      <c r="A512" s="23">
        <f>IF(MonthlyFAME!A514=0,"",MonthlyFAME!A514)</f>
        <v>37376</v>
      </c>
      <c r="B512" s="21">
        <f>IF(MonthlyFAME!B514=0,"",MonthlyFAME!B514)</f>
        <v>75</v>
      </c>
      <c r="C512" s="21">
        <f>IF(MonthlyFAME!C514=0,"",MonthlyFAME!C514)</f>
        <v>96.1</v>
      </c>
      <c r="D512" s="21">
        <f>IF(MonthlyFAME!D514=0,"",MonthlyFAME!D514)</f>
        <v>69.701499999999996</v>
      </c>
      <c r="E512" s="21">
        <f>IF(MonthlyFAME!F514=0,"",MonthlyFAME!F514)</f>
        <v>23208</v>
      </c>
      <c r="F512" s="21">
        <f>IF(MonthlyFAME!G514=0,"",MonthlyFAME!G514)</f>
        <v>26560</v>
      </c>
      <c r="G512" s="21">
        <f>IF(MonthlyFAME!H514=0,"",MonthlyFAME!H514)</f>
        <v>5.1807474981278512</v>
      </c>
      <c r="H512" s="21">
        <f>IF(MonthlyFAME!I514=0,"",MonthlyFAME!I514)</f>
        <v>27856</v>
      </c>
      <c r="I512" s="21">
        <f>IF(MonthlyFAME!J514=0,"",MonthlyFAME!J514)</f>
        <v>903.9</v>
      </c>
      <c r="J512" s="21">
        <f>IF(MonthlyFAME!K514=0,"",MonthlyFAME!K514)</f>
        <v>622</v>
      </c>
      <c r="K512" s="21">
        <f>IF(MonthlyFAME!L514=0,"",MonthlyFAME!L514)</f>
        <v>338.34113920921902</v>
      </c>
      <c r="L512" s="21">
        <f>IF(MonthlyFAME!M514=0,"",MonthlyFAME!M514)</f>
        <v>954.9</v>
      </c>
      <c r="M512" s="21" t="str">
        <f>IF(MonthlyFAME!N514=0,"",MonthlyFAME!N514)</f>
        <v/>
      </c>
      <c r="N512" s="21" t="str">
        <f>IF(MonthlyFAME!O514=0,"",MonthlyFAME!O514)</f>
        <v/>
      </c>
      <c r="O512" s="21" t="str">
        <f>IF(MonthlyFAME!P514=0,"",MonthlyFAME!P514)</f>
        <v/>
      </c>
      <c r="P512" s="21" t="str">
        <f>IF(MonthlyFAME!Q514=0,"",MonthlyFAME!Q514)</f>
        <v/>
      </c>
      <c r="Q512" s="21" t="str">
        <f>IF(MonthlyFAME!R514=0,"",MonthlyFAME!R514)</f>
        <v/>
      </c>
      <c r="R512" s="21" t="str">
        <f>IF(MonthlyFAME!S514=0,"",MonthlyFAME!S514)</f>
        <v/>
      </c>
      <c r="S512" s="21" t="str">
        <f>IF(MonthlyFAME!T514=0,"",MonthlyFAME!T514)</f>
        <v/>
      </c>
      <c r="T512" s="21">
        <f>IF(MonthlyFAME!U514=0,"",MonthlyFAME!U514)</f>
        <v>25.598181818181818</v>
      </c>
    </row>
    <row r="513" spans="1:20" x14ac:dyDescent="0.2">
      <c r="A513" s="23">
        <f>IF(MonthlyFAME!A515=0,"",MonthlyFAME!A515)</f>
        <v>37407</v>
      </c>
      <c r="B513" s="21">
        <f>IF(MonthlyFAME!B515=0,"",MonthlyFAME!B515)</f>
        <v>75.5</v>
      </c>
      <c r="C513" s="21">
        <f>IF(MonthlyFAME!C515=0,"",MonthlyFAME!C515)</f>
        <v>99.1</v>
      </c>
      <c r="D513" s="21">
        <f>IF(MonthlyFAME!D515=0,"",MonthlyFAME!D515)</f>
        <v>69.808199999999999</v>
      </c>
      <c r="E513" s="21">
        <f>IF(MonthlyFAME!F515=0,"",MonthlyFAME!F515)</f>
        <v>25099</v>
      </c>
      <c r="F513" s="21">
        <f>IF(MonthlyFAME!G515=0,"",MonthlyFAME!G515)</f>
        <v>26852</v>
      </c>
      <c r="G513" s="21">
        <f>IF(MonthlyFAME!H515=0,"",MonthlyFAME!H515)</f>
        <v>5.2395514780835883</v>
      </c>
      <c r="H513" s="21">
        <f>IF(MonthlyFAME!I515=0,"",MonthlyFAME!I515)</f>
        <v>27888</v>
      </c>
      <c r="I513" s="21">
        <f>IF(MonthlyFAME!J515=0,"",MonthlyFAME!J515)</f>
        <v>908.3</v>
      </c>
      <c r="J513" s="21">
        <f>IF(MonthlyFAME!K515=0,"",MonthlyFAME!K515)</f>
        <v>613</v>
      </c>
      <c r="K513" s="21">
        <f>IF(MonthlyFAME!L515=0,"",MonthlyFAME!L515)</f>
        <v>338.78087109263402</v>
      </c>
      <c r="L513" s="21">
        <f>IF(MonthlyFAME!M515=0,"",MonthlyFAME!M515)</f>
        <v>947.1</v>
      </c>
      <c r="M513" s="21" t="str">
        <f>IF(MonthlyFAME!N515=0,"",MonthlyFAME!N515)</f>
        <v/>
      </c>
      <c r="N513" s="21" t="str">
        <f>IF(MonthlyFAME!O515=0,"",MonthlyFAME!O515)</f>
        <v/>
      </c>
      <c r="O513" s="21" t="str">
        <f>IF(MonthlyFAME!P515=0,"",MonthlyFAME!P515)</f>
        <v/>
      </c>
      <c r="P513" s="21" t="str">
        <f>IF(MonthlyFAME!Q515=0,"",MonthlyFAME!Q515)</f>
        <v/>
      </c>
      <c r="Q513" s="21" t="str">
        <f>IF(MonthlyFAME!R515=0,"",MonthlyFAME!R515)</f>
        <v/>
      </c>
      <c r="R513" s="21" t="str">
        <f>IF(MonthlyFAME!S515=0,"",MonthlyFAME!S515)</f>
        <v/>
      </c>
      <c r="S513" s="21" t="str">
        <f>IF(MonthlyFAME!T515=0,"",MonthlyFAME!T515)</f>
        <v/>
      </c>
      <c r="T513" s="21">
        <f>IF(MonthlyFAME!U515=0,"",MonthlyFAME!U515)</f>
        <v>25.339130434782607</v>
      </c>
    </row>
    <row r="514" spans="1:20" x14ac:dyDescent="0.2">
      <c r="A514" s="23">
        <f>IF(MonthlyFAME!A516=0,"",MonthlyFAME!A516)</f>
        <v>37437</v>
      </c>
      <c r="B514" s="21">
        <f>IF(MonthlyFAME!B516=0,"",MonthlyFAME!B516)</f>
        <v>73.8</v>
      </c>
      <c r="C514" s="21">
        <f>IF(MonthlyFAME!C516=0,"",MonthlyFAME!C516)</f>
        <v>94</v>
      </c>
      <c r="D514" s="21">
        <f>IF(MonthlyFAME!D516=0,"",MonthlyFAME!D516)</f>
        <v>68.494100000000003</v>
      </c>
      <c r="E514" s="21">
        <f>IF(MonthlyFAME!F516=0,"",MonthlyFAME!F516)</f>
        <v>22436</v>
      </c>
      <c r="F514" s="21">
        <f>IF(MonthlyFAME!G516=0,"",MonthlyFAME!G516)</f>
        <v>25608</v>
      </c>
      <c r="G514" s="21">
        <f>IF(MonthlyFAME!H516=0,"",MonthlyFAME!H516)</f>
        <v>5.1607646080195568</v>
      </c>
      <c r="H514" s="21">
        <f>IF(MonthlyFAME!I516=0,"",MonthlyFAME!I516)</f>
        <v>27933</v>
      </c>
      <c r="I514" s="21">
        <f>IF(MonthlyFAME!J516=0,"",MonthlyFAME!J516)</f>
        <v>897.4</v>
      </c>
      <c r="J514" s="21">
        <f>IF(MonthlyFAME!K516=0,"",MonthlyFAME!K516)</f>
        <v>616</v>
      </c>
      <c r="K514" s="21">
        <f>IF(MonthlyFAME!L516=0,"",MonthlyFAME!L516)</f>
        <v>340.467139414288</v>
      </c>
      <c r="L514" s="21">
        <f>IF(MonthlyFAME!M516=0,"",MonthlyFAME!M516)</f>
        <v>949.7</v>
      </c>
      <c r="M514" s="21" t="str">
        <f>IF(MonthlyFAME!N516=0,"",MonthlyFAME!N516)</f>
        <v/>
      </c>
      <c r="N514" s="21" t="str">
        <f>IF(MonthlyFAME!O516=0,"",MonthlyFAME!O516)</f>
        <v/>
      </c>
      <c r="O514" s="21" t="str">
        <f>IF(MonthlyFAME!P516=0,"",MonthlyFAME!P516)</f>
        <v/>
      </c>
      <c r="P514" s="21" t="str">
        <f>IF(MonthlyFAME!Q516=0,"",MonthlyFAME!Q516)</f>
        <v/>
      </c>
      <c r="Q514" s="21" t="str">
        <f>IF(MonthlyFAME!R516=0,"",MonthlyFAME!R516)</f>
        <v/>
      </c>
      <c r="R514" s="21" t="str">
        <f>IF(MonthlyFAME!S516=0,"",MonthlyFAME!S516)</f>
        <v/>
      </c>
      <c r="S514" s="21" t="str">
        <f>IF(MonthlyFAME!T516=0,"",MonthlyFAME!T516)</f>
        <v/>
      </c>
      <c r="T514" s="21">
        <f>IF(MonthlyFAME!U516=0,"",MonthlyFAME!U516)</f>
        <v>24.178999999999995</v>
      </c>
    </row>
    <row r="515" spans="1:20" x14ac:dyDescent="0.2">
      <c r="A515" s="23">
        <f>IF(MonthlyFAME!A517=0,"",MonthlyFAME!A517)</f>
        <v>37468</v>
      </c>
      <c r="B515" s="21">
        <f>IF(MonthlyFAME!B517=0,"",MonthlyFAME!B517)</f>
        <v>75.099999999999994</v>
      </c>
      <c r="C515" s="21">
        <f>IF(MonthlyFAME!C517=0,"",MonthlyFAME!C517)</f>
        <v>100.2</v>
      </c>
      <c r="D515" s="21">
        <f>IF(MonthlyFAME!D517=0,"",MonthlyFAME!D517)</f>
        <v>69.067300000000003</v>
      </c>
      <c r="E515" s="21">
        <f>IF(MonthlyFAME!F517=0,"",MonthlyFAME!F517)</f>
        <v>23561</v>
      </c>
      <c r="F515" s="21">
        <f>IF(MonthlyFAME!G517=0,"",MonthlyFAME!G517)</f>
        <v>26872</v>
      </c>
      <c r="G515" s="21">
        <f>IF(MonthlyFAME!H517=0,"",MonthlyFAME!H517)</f>
        <v>5.187701715644641</v>
      </c>
      <c r="H515" s="21">
        <f>IF(MonthlyFAME!I517=0,"",MonthlyFAME!I517)</f>
        <v>27908</v>
      </c>
      <c r="I515" s="21">
        <f>IF(MonthlyFAME!J517=0,"",MonthlyFAME!J517)</f>
        <v>898.9</v>
      </c>
      <c r="J515" s="21">
        <f>IF(MonthlyFAME!K517=0,"",MonthlyFAME!K517)</f>
        <v>612</v>
      </c>
      <c r="K515" s="21">
        <f>IF(MonthlyFAME!L517=0,"",MonthlyFAME!L517)</f>
        <v>341.41961920593201</v>
      </c>
      <c r="L515" s="21">
        <f>IF(MonthlyFAME!M517=0,"",MonthlyFAME!M517)</f>
        <v>950</v>
      </c>
      <c r="M515" s="21" t="str">
        <f>IF(MonthlyFAME!N517=0,"",MonthlyFAME!N517)</f>
        <v/>
      </c>
      <c r="N515" s="21" t="str">
        <f>IF(MonthlyFAME!O517=0,"",MonthlyFAME!O517)</f>
        <v/>
      </c>
      <c r="O515" s="21" t="str">
        <f>IF(MonthlyFAME!P517=0,"",MonthlyFAME!P517)</f>
        <v/>
      </c>
      <c r="P515" s="21" t="str">
        <f>IF(MonthlyFAME!Q517=0,"",MonthlyFAME!Q517)</f>
        <v/>
      </c>
      <c r="Q515" s="21" t="str">
        <f>IF(MonthlyFAME!R517=0,"",MonthlyFAME!R517)</f>
        <v/>
      </c>
      <c r="R515" s="21" t="str">
        <f>IF(MonthlyFAME!S517=0,"",MonthlyFAME!S517)</f>
        <v/>
      </c>
      <c r="S515" s="21" t="str">
        <f>IF(MonthlyFAME!T517=0,"",MonthlyFAME!T517)</f>
        <v/>
      </c>
      <c r="T515" s="21">
        <f>IF(MonthlyFAME!U517=0,"",MonthlyFAME!U517)</f>
        <v>25.833913043478258</v>
      </c>
    </row>
    <row r="516" spans="1:20" x14ac:dyDescent="0.2">
      <c r="A516" s="23">
        <f>IF(MonthlyFAME!A518=0,"",MonthlyFAME!A518)</f>
        <v>37499</v>
      </c>
      <c r="B516" s="21">
        <f>IF(MonthlyFAME!B518=0,"",MonthlyFAME!B518)</f>
        <v>75.400000000000006</v>
      </c>
      <c r="C516" s="21">
        <f>IF(MonthlyFAME!C518=0,"",MonthlyFAME!C518)</f>
        <v>100</v>
      </c>
      <c r="D516" s="21">
        <f>IF(MonthlyFAME!D518=0,"",MonthlyFAME!D518)</f>
        <v>69.412000000000006</v>
      </c>
      <c r="E516" s="21">
        <f>IF(MonthlyFAME!F518=0,"",MonthlyFAME!F518)</f>
        <v>21328</v>
      </c>
      <c r="F516" s="21">
        <f>IF(MonthlyFAME!G518=0,"",MonthlyFAME!G518)</f>
        <v>24721</v>
      </c>
      <c r="G516" s="21">
        <f>IF(MonthlyFAME!H518=0,"",MonthlyFAME!H518)</f>
        <v>5.2190721649484537</v>
      </c>
      <c r="H516" s="21">
        <f>IF(MonthlyFAME!I518=0,"",MonthlyFAME!I518)</f>
        <v>27949</v>
      </c>
      <c r="I516" s="21">
        <f>IF(MonthlyFAME!J518=0,"",MonthlyFAME!J518)</f>
        <v>894.2</v>
      </c>
      <c r="J516" s="21">
        <f>IF(MonthlyFAME!K518=0,"",MonthlyFAME!K518)</f>
        <v>613</v>
      </c>
      <c r="K516" s="21">
        <f>IF(MonthlyFAME!L518=0,"",MonthlyFAME!L518)</f>
        <v>340.96253140618001</v>
      </c>
      <c r="L516" s="21">
        <f>IF(MonthlyFAME!M518=0,"",MonthlyFAME!M518)</f>
        <v>945.7</v>
      </c>
      <c r="M516" s="21" t="str">
        <f>IF(MonthlyFAME!N518=0,"",MonthlyFAME!N518)</f>
        <v/>
      </c>
      <c r="N516" s="21" t="str">
        <f>IF(MonthlyFAME!O518=0,"",MonthlyFAME!O518)</f>
        <v/>
      </c>
      <c r="O516" s="21" t="str">
        <f>IF(MonthlyFAME!P518=0,"",MonthlyFAME!P518)</f>
        <v/>
      </c>
      <c r="P516" s="21" t="str">
        <f>IF(MonthlyFAME!Q518=0,"",MonthlyFAME!Q518)</f>
        <v/>
      </c>
      <c r="Q516" s="21" t="str">
        <f>IF(MonthlyFAME!R518=0,"",MonthlyFAME!R518)</f>
        <v/>
      </c>
      <c r="R516" s="21" t="str">
        <f>IF(MonthlyFAME!S518=0,"",MonthlyFAME!S518)</f>
        <v/>
      </c>
      <c r="S516" s="21" t="str">
        <f>IF(MonthlyFAME!T518=0,"",MonthlyFAME!T518)</f>
        <v/>
      </c>
      <c r="T516" s="21">
        <f>IF(MonthlyFAME!U518=0,"",MonthlyFAME!U518)</f>
        <v>26.658636363636365</v>
      </c>
    </row>
    <row r="517" spans="1:20" x14ac:dyDescent="0.2">
      <c r="A517" s="23">
        <f>IF(MonthlyFAME!A519=0,"",MonthlyFAME!A519)</f>
        <v>37529</v>
      </c>
      <c r="B517" s="21">
        <f>IF(MonthlyFAME!B519=0,"",MonthlyFAME!B519)</f>
        <v>75.7</v>
      </c>
      <c r="C517" s="21">
        <f>IF(MonthlyFAME!C519=0,"",MonthlyFAME!C519)</f>
        <v>101.5</v>
      </c>
      <c r="D517" s="21">
        <f>IF(MonthlyFAME!D519=0,"",MonthlyFAME!D519)</f>
        <v>69.474299999999999</v>
      </c>
      <c r="E517" s="21">
        <f>IF(MonthlyFAME!F519=0,"",MonthlyFAME!F519)</f>
        <v>22519</v>
      </c>
      <c r="F517" s="21">
        <f>IF(MonthlyFAME!G519=0,"",MonthlyFAME!G519)</f>
        <v>25408</v>
      </c>
      <c r="G517" s="21">
        <f>IF(MonthlyFAME!H519=0,"",MonthlyFAME!H519)</f>
        <v>5.3082946340802009</v>
      </c>
      <c r="H517" s="21">
        <f>IF(MonthlyFAME!I519=0,"",MonthlyFAME!I519)</f>
        <v>27935</v>
      </c>
      <c r="I517" s="21">
        <f>IF(MonthlyFAME!J519=0,"",MonthlyFAME!J519)</f>
        <v>903.9</v>
      </c>
      <c r="J517" s="21">
        <f>IF(MonthlyFAME!K519=0,"",MonthlyFAME!K519)</f>
        <v>609</v>
      </c>
      <c r="K517" s="21">
        <f>IF(MonthlyFAME!L519=0,"",MonthlyFAME!L519)</f>
        <v>341.99631167898502</v>
      </c>
      <c r="L517" s="21">
        <f>IF(MonthlyFAME!M519=0,"",MonthlyFAME!M519)</f>
        <v>943.7</v>
      </c>
      <c r="M517" s="21" t="str">
        <f>IF(MonthlyFAME!N519=0,"",MonthlyFAME!N519)</f>
        <v/>
      </c>
      <c r="N517" s="21" t="str">
        <f>IF(MonthlyFAME!O519=0,"",MonthlyFAME!O519)</f>
        <v/>
      </c>
      <c r="O517" s="21" t="str">
        <f>IF(MonthlyFAME!P519=0,"",MonthlyFAME!P519)</f>
        <v/>
      </c>
      <c r="P517" s="21" t="str">
        <f>IF(MonthlyFAME!Q519=0,"",MonthlyFAME!Q519)</f>
        <v/>
      </c>
      <c r="Q517" s="21" t="str">
        <f>IF(MonthlyFAME!R519=0,"",MonthlyFAME!R519)</f>
        <v/>
      </c>
      <c r="R517" s="21" t="str">
        <f>IF(MonthlyFAME!S519=0,"",MonthlyFAME!S519)</f>
        <v/>
      </c>
      <c r="S517" s="21" t="str">
        <f>IF(MonthlyFAME!T519=0,"",MonthlyFAME!T519)</f>
        <v/>
      </c>
      <c r="T517" s="21">
        <f>IF(MonthlyFAME!U519=0,"",MonthlyFAME!U519)</f>
        <v>28.378095238095231</v>
      </c>
    </row>
    <row r="518" spans="1:20" x14ac:dyDescent="0.2">
      <c r="A518" s="23">
        <f>IF(MonthlyFAME!A520=0,"",MonthlyFAME!A520)</f>
        <v>37560</v>
      </c>
      <c r="B518" s="21">
        <f>IF(MonthlyFAME!B520=0,"",MonthlyFAME!B520)</f>
        <v>75.900000000000006</v>
      </c>
      <c r="C518" s="21">
        <f>IF(MonthlyFAME!C520=0,"",MonthlyFAME!C520)</f>
        <v>100.2</v>
      </c>
      <c r="D518" s="21">
        <f>IF(MonthlyFAME!D520=0,"",MonthlyFAME!D520)</f>
        <v>69.896900000000002</v>
      </c>
      <c r="E518" s="21">
        <f>IF(MonthlyFAME!F520=0,"",MonthlyFAME!F520)</f>
        <v>22091</v>
      </c>
      <c r="F518" s="21">
        <f>IF(MonthlyFAME!G520=0,"",MonthlyFAME!G520)</f>
        <v>26131</v>
      </c>
      <c r="G518" s="21">
        <f>IF(MonthlyFAME!H520=0,"",MonthlyFAME!H520)</f>
        <v>5.2284487131793433</v>
      </c>
      <c r="H518" s="21">
        <f>IF(MonthlyFAME!I520=0,"",MonthlyFAME!I520)</f>
        <v>28023</v>
      </c>
      <c r="I518" s="21">
        <f>IF(MonthlyFAME!J520=0,"",MonthlyFAME!J520)</f>
        <v>904.3</v>
      </c>
      <c r="J518" s="21">
        <f>IF(MonthlyFAME!K520=0,"",MonthlyFAME!K520)</f>
        <v>609</v>
      </c>
      <c r="K518" s="21">
        <f>IF(MonthlyFAME!L520=0,"",MonthlyFAME!L520)</f>
        <v>342.37653370099702</v>
      </c>
      <c r="L518" s="21">
        <f>IF(MonthlyFAME!M520=0,"",MonthlyFAME!M520)</f>
        <v>939.5</v>
      </c>
      <c r="M518" s="21" t="str">
        <f>IF(MonthlyFAME!N520=0,"",MonthlyFAME!N520)</f>
        <v/>
      </c>
      <c r="N518" s="21" t="str">
        <f>IF(MonthlyFAME!O520=0,"",MonthlyFAME!O520)</f>
        <v/>
      </c>
      <c r="O518" s="21" t="str">
        <f>IF(MonthlyFAME!P520=0,"",MonthlyFAME!P520)</f>
        <v/>
      </c>
      <c r="P518" s="21" t="str">
        <f>IF(MonthlyFAME!Q520=0,"",MonthlyFAME!Q520)</f>
        <v/>
      </c>
      <c r="Q518" s="21" t="str">
        <f>IF(MonthlyFAME!R520=0,"",MonthlyFAME!R520)</f>
        <v/>
      </c>
      <c r="R518" s="21" t="str">
        <f>IF(MonthlyFAME!S520=0,"",MonthlyFAME!S520)</f>
        <v/>
      </c>
      <c r="S518" s="21" t="str">
        <f>IF(MonthlyFAME!T520=0,"",MonthlyFAME!T520)</f>
        <v/>
      </c>
      <c r="T518" s="21">
        <f>IF(MonthlyFAME!U520=0,"",MonthlyFAME!U520)</f>
        <v>27.533043478260879</v>
      </c>
    </row>
    <row r="519" spans="1:20" x14ac:dyDescent="0.2">
      <c r="A519" s="23">
        <f>IF(MonthlyFAME!A521=0,"",MonthlyFAME!A521)</f>
        <v>37590</v>
      </c>
      <c r="B519" s="21">
        <f>IF(MonthlyFAME!B521=0,"",MonthlyFAME!B521)</f>
        <v>76</v>
      </c>
      <c r="C519" s="21">
        <f>IF(MonthlyFAME!C521=0,"",MonthlyFAME!C521)</f>
        <v>100.5</v>
      </c>
      <c r="D519" s="21">
        <f>IF(MonthlyFAME!D521=0,"",MonthlyFAME!D521)</f>
        <v>70.114500000000007</v>
      </c>
      <c r="E519" s="21">
        <f>IF(MonthlyFAME!F521=0,"",MonthlyFAME!F521)</f>
        <v>21226</v>
      </c>
      <c r="F519" s="21">
        <f>IF(MonthlyFAME!G521=0,"",MonthlyFAME!G521)</f>
        <v>26085</v>
      </c>
      <c r="G519" s="21">
        <f>IF(MonthlyFAME!H521=0,"",MonthlyFAME!H521)</f>
        <v>5.17724983947822</v>
      </c>
      <c r="H519" s="21">
        <f>IF(MonthlyFAME!I521=0,"",MonthlyFAME!I521)</f>
        <v>28059</v>
      </c>
      <c r="I519" s="21">
        <f>IF(MonthlyFAME!J521=0,"",MonthlyFAME!J521)</f>
        <v>906.4</v>
      </c>
      <c r="J519" s="21">
        <f>IF(MonthlyFAME!K521=0,"",MonthlyFAME!K521)</f>
        <v>608</v>
      </c>
      <c r="K519" s="21">
        <f>IF(MonthlyFAME!L521=0,"",MonthlyFAME!L521)</f>
        <v>343.42755089607198</v>
      </c>
      <c r="L519" s="21">
        <f>IF(MonthlyFAME!M521=0,"",MonthlyFAME!M521)</f>
        <v>936.4</v>
      </c>
      <c r="M519" s="21" t="str">
        <f>IF(MonthlyFAME!N521=0,"",MonthlyFAME!N521)</f>
        <v/>
      </c>
      <c r="N519" s="21" t="str">
        <f>IF(MonthlyFAME!O521=0,"",MonthlyFAME!O521)</f>
        <v/>
      </c>
      <c r="O519" s="21" t="str">
        <f>IF(MonthlyFAME!P521=0,"",MonthlyFAME!P521)</f>
        <v/>
      </c>
      <c r="P519" s="21" t="str">
        <f>IF(MonthlyFAME!Q521=0,"",MonthlyFAME!Q521)</f>
        <v/>
      </c>
      <c r="Q519" s="21" t="str">
        <f>IF(MonthlyFAME!R521=0,"",MonthlyFAME!R521)</f>
        <v/>
      </c>
      <c r="R519" s="21" t="str">
        <f>IF(MonthlyFAME!S521=0,"",MonthlyFAME!S521)</f>
        <v/>
      </c>
      <c r="S519" s="21" t="str">
        <f>IF(MonthlyFAME!T521=0,"",MonthlyFAME!T521)</f>
        <v/>
      </c>
      <c r="T519" s="21">
        <f>IF(MonthlyFAME!U521=0,"",MonthlyFAME!U521)</f>
        <v>24.150952380952383</v>
      </c>
    </row>
    <row r="520" spans="1:20" x14ac:dyDescent="0.2">
      <c r="A520" s="23">
        <f>IF(MonthlyFAME!A522=0,"",MonthlyFAME!A522)</f>
        <v>37621</v>
      </c>
      <c r="B520" s="21">
        <f>IF(MonthlyFAME!B522=0,"",MonthlyFAME!B522)</f>
        <v>76</v>
      </c>
      <c r="C520" s="21">
        <f>IF(MonthlyFAME!C522=0,"",MonthlyFAME!C522)</f>
        <v>101.3</v>
      </c>
      <c r="D520" s="21">
        <f>IF(MonthlyFAME!D522=0,"",MonthlyFAME!D522)</f>
        <v>70.077399999999997</v>
      </c>
      <c r="E520" s="21">
        <f>IF(MonthlyFAME!F522=0,"",MonthlyFAME!F522)</f>
        <v>21252</v>
      </c>
      <c r="F520" s="21">
        <f>IF(MonthlyFAME!G522=0,"",MonthlyFAME!G522)</f>
        <v>24444</v>
      </c>
      <c r="G520" s="21">
        <f>IF(MonthlyFAME!H522=0,"",MonthlyFAME!H522)</f>
        <v>5.1171268480388852</v>
      </c>
      <c r="H520" s="21">
        <f>IF(MonthlyFAME!I522=0,"",MonthlyFAME!I522)</f>
        <v>28110</v>
      </c>
      <c r="I520" s="21">
        <f>IF(MonthlyFAME!J522=0,"",MonthlyFAME!J522)</f>
        <v>905.3</v>
      </c>
      <c r="J520" s="21">
        <f>IF(MonthlyFAME!K522=0,"",MonthlyFAME!K522)</f>
        <v>603</v>
      </c>
      <c r="K520" s="21">
        <f>IF(MonthlyFAME!L522=0,"",MonthlyFAME!L522)</f>
        <v>342.90749097964601</v>
      </c>
      <c r="L520" s="21">
        <f>IF(MonthlyFAME!M522=0,"",MonthlyFAME!M522)</f>
        <v>935.2</v>
      </c>
      <c r="M520" s="21" t="str">
        <f>IF(MonthlyFAME!N522=0,"",MonthlyFAME!N522)</f>
        <v/>
      </c>
      <c r="N520" s="21" t="str">
        <f>IF(MonthlyFAME!O522=0,"",MonthlyFAME!O522)</f>
        <v/>
      </c>
      <c r="O520" s="21" t="str">
        <f>IF(MonthlyFAME!P522=0,"",MonthlyFAME!P522)</f>
        <v/>
      </c>
      <c r="P520" s="21" t="str">
        <f>IF(MonthlyFAME!Q522=0,"",MonthlyFAME!Q522)</f>
        <v/>
      </c>
      <c r="Q520" s="21" t="str">
        <f>IF(MonthlyFAME!R522=0,"",MonthlyFAME!R522)</f>
        <v/>
      </c>
      <c r="R520" s="21" t="str">
        <f>IF(MonthlyFAME!S522=0,"",MonthlyFAME!S522)</f>
        <v/>
      </c>
      <c r="S520" s="21" t="str">
        <f>IF(MonthlyFAME!T522=0,"",MonthlyFAME!T522)</f>
        <v/>
      </c>
      <c r="T520" s="21">
        <f>IF(MonthlyFAME!U522=0,"",MonthlyFAME!U522)</f>
        <v>28.659545454545455</v>
      </c>
    </row>
    <row r="521" spans="1:20" x14ac:dyDescent="0.2">
      <c r="A521" s="23">
        <f>IF(MonthlyFAME!A523=0,"",MonthlyFAME!A523)</f>
        <v>37652</v>
      </c>
      <c r="B521" s="21">
        <f>IF(MonthlyFAME!B523=0,"",MonthlyFAME!B523)</f>
        <v>76.3</v>
      </c>
      <c r="C521" s="21">
        <f>IF(MonthlyFAME!C523=0,"",MonthlyFAME!C523)</f>
        <v>100.8</v>
      </c>
      <c r="D521" s="21">
        <f>IF(MonthlyFAME!D523=0,"",MonthlyFAME!D523)</f>
        <v>70.593800000000002</v>
      </c>
      <c r="E521" s="21">
        <f>IF(MonthlyFAME!F523=0,"",MonthlyFAME!F523)</f>
        <v>23364</v>
      </c>
      <c r="F521" s="21">
        <f>IF(MonthlyFAME!G523=0,"",MonthlyFAME!G523)</f>
        <v>25772</v>
      </c>
      <c r="G521" s="21">
        <f>IF(MonthlyFAME!H523=0,"",MonthlyFAME!H523)</f>
        <v>5.0065965292107846</v>
      </c>
      <c r="H521" s="21">
        <f>IF(MonthlyFAME!I523=0,"",MonthlyFAME!I523)</f>
        <v>28081</v>
      </c>
      <c r="I521" s="21">
        <f>IF(MonthlyFAME!J523=0,"",MonthlyFAME!J523)</f>
        <v>903.5</v>
      </c>
      <c r="J521" s="21">
        <f>IF(MonthlyFAME!K523=0,"",MonthlyFAME!K523)</f>
        <v>602</v>
      </c>
      <c r="K521" s="21">
        <f>IF(MonthlyFAME!L523=0,"",MonthlyFAME!L523)</f>
        <v>339.25820746739203</v>
      </c>
      <c r="L521" s="21">
        <f>IF(MonthlyFAME!M523=0,"",MonthlyFAME!M523)</f>
        <v>939.3</v>
      </c>
      <c r="M521" s="21" t="str">
        <f>IF(MonthlyFAME!N523=0,"",MonthlyFAME!N523)</f>
        <v/>
      </c>
      <c r="N521" s="21" t="str">
        <f>IF(MonthlyFAME!O523=0,"",MonthlyFAME!O523)</f>
        <v/>
      </c>
      <c r="O521" s="21" t="str">
        <f>IF(MonthlyFAME!P523=0,"",MonthlyFAME!P523)</f>
        <v/>
      </c>
      <c r="P521" s="21" t="str">
        <f>IF(MonthlyFAME!Q523=0,"",MonthlyFAME!Q523)</f>
        <v/>
      </c>
      <c r="Q521" s="21" t="str">
        <f>IF(MonthlyFAME!R523=0,"",MonthlyFAME!R523)</f>
        <v/>
      </c>
      <c r="R521" s="21" t="str">
        <f>IF(MonthlyFAME!S523=0,"",MonthlyFAME!S523)</f>
        <v/>
      </c>
      <c r="S521" s="21" t="str">
        <f>IF(MonthlyFAME!T523=0,"",MonthlyFAME!T523)</f>
        <v/>
      </c>
      <c r="T521" s="21">
        <f>IF(MonthlyFAME!U523=0,"",MonthlyFAME!U523)</f>
        <v>31.142608695652171</v>
      </c>
    </row>
    <row r="522" spans="1:20" x14ac:dyDescent="0.2">
      <c r="A522" s="23">
        <f>IF(MonthlyFAME!A524=0,"",MonthlyFAME!A524)</f>
        <v>37680</v>
      </c>
      <c r="B522" s="21">
        <f>IF(MonthlyFAME!B524=0,"",MonthlyFAME!B524)</f>
        <v>76.599999999999994</v>
      </c>
      <c r="C522" s="21">
        <f>IF(MonthlyFAME!C524=0,"",MonthlyFAME!C524)</f>
        <v>101.9</v>
      </c>
      <c r="D522" s="21">
        <f>IF(MonthlyFAME!D524=0,"",MonthlyFAME!D524)</f>
        <v>70.834599999999995</v>
      </c>
      <c r="E522" s="21">
        <f>IF(MonthlyFAME!F524=0,"",MonthlyFAME!F524)</f>
        <v>22566</v>
      </c>
      <c r="F522" s="21">
        <f>IF(MonthlyFAME!G524=0,"",MonthlyFAME!G524)</f>
        <v>25480</v>
      </c>
      <c r="G522" s="21">
        <f>IF(MonthlyFAME!H524=0,"",MonthlyFAME!H524)</f>
        <v>5.1293322062552829</v>
      </c>
      <c r="H522" s="21">
        <f>IF(MonthlyFAME!I524=0,"",MonthlyFAME!I524)</f>
        <v>28058</v>
      </c>
      <c r="I522" s="21">
        <f>IF(MonthlyFAME!J524=0,"",MonthlyFAME!J524)</f>
        <v>901.7</v>
      </c>
      <c r="J522" s="21">
        <f>IF(MonthlyFAME!K524=0,"",MonthlyFAME!K524)</f>
        <v>596</v>
      </c>
      <c r="K522" s="21">
        <f>IF(MonthlyFAME!L524=0,"",MonthlyFAME!L524)</f>
        <v>340.901370925116</v>
      </c>
      <c r="L522" s="21">
        <f>IF(MonthlyFAME!M524=0,"",MonthlyFAME!M524)</f>
        <v>942.5</v>
      </c>
      <c r="M522" s="21" t="str">
        <f>IF(MonthlyFAME!N524=0,"",MonthlyFAME!N524)</f>
        <v/>
      </c>
      <c r="N522" s="21" t="str">
        <f>IF(MonthlyFAME!O524=0,"",MonthlyFAME!O524)</f>
        <v/>
      </c>
      <c r="O522" s="21" t="str">
        <f>IF(MonthlyFAME!P524=0,"",MonthlyFAME!P524)</f>
        <v/>
      </c>
      <c r="P522" s="21" t="str">
        <f>IF(MonthlyFAME!Q524=0,"",MonthlyFAME!Q524)</f>
        <v/>
      </c>
      <c r="Q522" s="21" t="str">
        <f>IF(MonthlyFAME!R524=0,"",MonthlyFAME!R524)</f>
        <v/>
      </c>
      <c r="R522" s="21" t="str">
        <f>IF(MonthlyFAME!S524=0,"",MonthlyFAME!S524)</f>
        <v/>
      </c>
      <c r="S522" s="21" t="str">
        <f>IF(MonthlyFAME!T524=0,"",MonthlyFAME!T524)</f>
        <v/>
      </c>
      <c r="T522" s="21">
        <f>IF(MonthlyFAME!U524=0,"",MonthlyFAME!U524)</f>
        <v>32.697499999999998</v>
      </c>
    </row>
    <row r="523" spans="1:20" x14ac:dyDescent="0.2">
      <c r="A523" s="23">
        <f>IF(MonthlyFAME!A525=0,"",MonthlyFAME!A525)</f>
        <v>37711</v>
      </c>
      <c r="B523" s="21">
        <f>IF(MonthlyFAME!B525=0,"",MonthlyFAME!B525)</f>
        <v>76.400000000000006</v>
      </c>
      <c r="C523" s="21">
        <f>IF(MonthlyFAME!C525=0,"",MonthlyFAME!C525)</f>
        <v>101.6</v>
      </c>
      <c r="D523" s="21">
        <f>IF(MonthlyFAME!D525=0,"",MonthlyFAME!D525)</f>
        <v>70.66</v>
      </c>
      <c r="E523" s="21">
        <f>IF(MonthlyFAME!F525=0,"",MonthlyFAME!F525)</f>
        <v>21850</v>
      </c>
      <c r="F523" s="21">
        <f>IF(MonthlyFAME!G525=0,"",MonthlyFAME!G525)</f>
        <v>26017</v>
      </c>
      <c r="G523" s="21">
        <f>IF(MonthlyFAME!H525=0,"",MonthlyFAME!H525)</f>
        <v>5.1670604117448535</v>
      </c>
      <c r="H523" s="21">
        <f>IF(MonthlyFAME!I525=0,"",MonthlyFAME!I525)</f>
        <v>28099</v>
      </c>
      <c r="I523" s="21">
        <f>IF(MonthlyFAME!J525=0,"",MonthlyFAME!J525)</f>
        <v>904.6</v>
      </c>
      <c r="J523" s="21">
        <f>IF(MonthlyFAME!K525=0,"",MonthlyFAME!K525)</f>
        <v>594</v>
      </c>
      <c r="K523" s="21">
        <f>IF(MonthlyFAME!L525=0,"",MonthlyFAME!L525)</f>
        <v>348.75712707274698</v>
      </c>
      <c r="L523" s="21">
        <f>IF(MonthlyFAME!M525=0,"",MonthlyFAME!M525)</f>
        <v>941.2</v>
      </c>
      <c r="M523" s="21" t="str">
        <f>IF(MonthlyFAME!N525=0,"",MonthlyFAME!N525)</f>
        <v/>
      </c>
      <c r="N523" s="21" t="str">
        <f>IF(MonthlyFAME!O525=0,"",MonthlyFAME!O525)</f>
        <v/>
      </c>
      <c r="O523" s="21" t="str">
        <f>IF(MonthlyFAME!P525=0,"",MonthlyFAME!P525)</f>
        <v/>
      </c>
      <c r="P523" s="21" t="str">
        <f>IF(MonthlyFAME!Q525=0,"",MonthlyFAME!Q525)</f>
        <v/>
      </c>
      <c r="Q523" s="21" t="str">
        <f>IF(MonthlyFAME!R525=0,"",MonthlyFAME!R525)</f>
        <v/>
      </c>
      <c r="R523" s="21" t="str">
        <f>IF(MonthlyFAME!S525=0,"",MonthlyFAME!S525)</f>
        <v/>
      </c>
      <c r="S523" s="21" t="str">
        <f>IF(MonthlyFAME!T525=0,"",MonthlyFAME!T525)</f>
        <v/>
      </c>
      <c r="T523" s="21">
        <f>IF(MonthlyFAME!U525=0,"",MonthlyFAME!U525)</f>
        <v>30.296666666666663</v>
      </c>
    </row>
    <row r="524" spans="1:20" x14ac:dyDescent="0.2">
      <c r="A524" s="23">
        <f>IF(MonthlyFAME!A526=0,"",MonthlyFAME!A526)</f>
        <v>37741</v>
      </c>
      <c r="B524" s="21">
        <f>IF(MonthlyFAME!B526=0,"",MonthlyFAME!B526)</f>
        <v>77.2</v>
      </c>
      <c r="C524" s="21">
        <f>IF(MonthlyFAME!C526=0,"",MonthlyFAME!C526)</f>
        <v>101.1</v>
      </c>
      <c r="D524" s="21">
        <f>IF(MonthlyFAME!D526=0,"",MonthlyFAME!D526)</f>
        <v>71.655799999999999</v>
      </c>
      <c r="E524" s="21">
        <f>IF(MonthlyFAME!F526=0,"",MonthlyFAME!F526)</f>
        <v>23600</v>
      </c>
      <c r="F524" s="21">
        <f>IF(MonthlyFAME!G526=0,"",MonthlyFAME!G526)</f>
        <v>25401</v>
      </c>
      <c r="G524" s="21">
        <f>IF(MonthlyFAME!H526=0,"",MonthlyFAME!H526)</f>
        <v>5.1148049495937151</v>
      </c>
      <c r="H524" s="21">
        <f>IF(MonthlyFAME!I526=0,"",MonthlyFAME!I526)</f>
        <v>28142</v>
      </c>
      <c r="I524" s="21">
        <f>IF(MonthlyFAME!J526=0,"",MonthlyFAME!J526)</f>
        <v>905.3</v>
      </c>
      <c r="J524" s="21">
        <f>IF(MonthlyFAME!K526=0,"",MonthlyFAME!K526)</f>
        <v>585</v>
      </c>
      <c r="K524" s="21">
        <f>IF(MonthlyFAME!L526=0,"",MonthlyFAME!L526)</f>
        <v>347.33965449324302</v>
      </c>
      <c r="L524" s="21">
        <f>IF(MonthlyFAME!M526=0,"",MonthlyFAME!M526)</f>
        <v>936.1</v>
      </c>
      <c r="M524" s="21" t="str">
        <f>IF(MonthlyFAME!N526=0,"",MonthlyFAME!N526)</f>
        <v/>
      </c>
      <c r="N524" s="21" t="str">
        <f>IF(MonthlyFAME!O526=0,"",MonthlyFAME!O526)</f>
        <v/>
      </c>
      <c r="O524" s="21" t="str">
        <f>IF(MonthlyFAME!P526=0,"",MonthlyFAME!P526)</f>
        <v/>
      </c>
      <c r="P524" s="21" t="str">
        <f>IF(MonthlyFAME!Q526=0,"",MonthlyFAME!Q526)</f>
        <v/>
      </c>
      <c r="Q524" s="21" t="str">
        <f>IF(MonthlyFAME!R526=0,"",MonthlyFAME!R526)</f>
        <v/>
      </c>
      <c r="R524" s="21" t="str">
        <f>IF(MonthlyFAME!S526=0,"",MonthlyFAME!S526)</f>
        <v/>
      </c>
      <c r="S524" s="21" t="str">
        <f>IF(MonthlyFAME!T526=0,"",MonthlyFAME!T526)</f>
        <v/>
      </c>
      <c r="T524" s="21">
        <f>IF(MonthlyFAME!U526=0,"",MonthlyFAME!U526)</f>
        <v>24.923636363636362</v>
      </c>
    </row>
    <row r="525" spans="1:20" x14ac:dyDescent="0.2">
      <c r="A525" s="23">
        <f>IF(MonthlyFAME!A527=0,"",MonthlyFAME!A527)</f>
        <v>37772</v>
      </c>
      <c r="B525" s="21">
        <f>IF(MonthlyFAME!B527=0,"",MonthlyFAME!B527)</f>
        <v>76.900000000000006</v>
      </c>
      <c r="C525" s="21">
        <f>IF(MonthlyFAME!C527=0,"",MonthlyFAME!C527)</f>
        <v>99.8</v>
      </c>
      <c r="D525" s="21">
        <f>IF(MonthlyFAME!D527=0,"",MonthlyFAME!D527)</f>
        <v>71.506</v>
      </c>
      <c r="E525" s="21">
        <f>IF(MonthlyFAME!F527=0,"",MonthlyFAME!F527)</f>
        <v>21733</v>
      </c>
      <c r="F525" s="21">
        <f>IF(MonthlyFAME!G527=0,"",MonthlyFAME!G527)</f>
        <v>25665</v>
      </c>
      <c r="G525" s="21">
        <f>IF(MonthlyFAME!H527=0,"",MonthlyFAME!H527)</f>
        <v>5.0058952332828026</v>
      </c>
      <c r="H525" s="21">
        <f>IF(MonthlyFAME!I527=0,"",MonthlyFAME!I527)</f>
        <v>28199</v>
      </c>
      <c r="I525" s="21">
        <f>IF(MonthlyFAME!J527=0,"",MonthlyFAME!J527)</f>
        <v>905.5</v>
      </c>
      <c r="J525" s="21">
        <f>IF(MonthlyFAME!K527=0,"",MonthlyFAME!K527)</f>
        <v>588</v>
      </c>
      <c r="K525" s="21">
        <f>IF(MonthlyFAME!L527=0,"",MonthlyFAME!L527)</f>
        <v>348.239241293585</v>
      </c>
      <c r="L525" s="21">
        <f>IF(MonthlyFAME!M527=0,"",MonthlyFAME!M527)</f>
        <v>947.2</v>
      </c>
      <c r="M525" s="21" t="str">
        <f>IF(MonthlyFAME!N527=0,"",MonthlyFAME!N527)</f>
        <v/>
      </c>
      <c r="N525" s="21" t="str">
        <f>IF(MonthlyFAME!O527=0,"",MonthlyFAME!O527)</f>
        <v/>
      </c>
      <c r="O525" s="21" t="str">
        <f>IF(MonthlyFAME!P527=0,"",MonthlyFAME!P527)</f>
        <v/>
      </c>
      <c r="P525" s="21" t="str">
        <f>IF(MonthlyFAME!Q527=0,"",MonthlyFAME!Q527)</f>
        <v/>
      </c>
      <c r="Q525" s="21" t="str">
        <f>IF(MonthlyFAME!R527=0,"",MonthlyFAME!R527)</f>
        <v/>
      </c>
      <c r="R525" s="21" t="str">
        <f>IF(MonthlyFAME!S527=0,"",MonthlyFAME!S527)</f>
        <v/>
      </c>
      <c r="S525" s="21" t="str">
        <f>IF(MonthlyFAME!T527=0,"",MonthlyFAME!T527)</f>
        <v/>
      </c>
      <c r="T525" s="21">
        <f>IF(MonthlyFAME!U527=0,"",MonthlyFAME!U527)</f>
        <v>25.780909090909095</v>
      </c>
    </row>
    <row r="526" spans="1:20" x14ac:dyDescent="0.2">
      <c r="A526" s="23">
        <f>IF(MonthlyFAME!A528=0,"",MonthlyFAME!A528)</f>
        <v>37802</v>
      </c>
      <c r="B526" s="21">
        <f>IF(MonthlyFAME!B528=0,"",MonthlyFAME!B528)</f>
        <v>77.400000000000006</v>
      </c>
      <c r="C526" s="21">
        <f>IF(MonthlyFAME!C528=0,"",MonthlyFAME!C528)</f>
        <v>100.4</v>
      </c>
      <c r="D526" s="21">
        <f>IF(MonthlyFAME!D528=0,"",MonthlyFAME!D528)</f>
        <v>71.950999999999993</v>
      </c>
      <c r="E526" s="21">
        <f>IF(MonthlyFAME!F528=0,"",MonthlyFAME!F528)</f>
        <v>20288</v>
      </c>
      <c r="F526" s="21">
        <f>IF(MonthlyFAME!G528=0,"",MonthlyFAME!G528)</f>
        <v>25538</v>
      </c>
      <c r="G526" s="21">
        <f>IF(MonthlyFAME!H528=0,"",MonthlyFAME!H528)</f>
        <v>4.940558380763143</v>
      </c>
      <c r="H526" s="21">
        <f>IF(MonthlyFAME!I528=0,"",MonthlyFAME!I528)</f>
        <v>28226</v>
      </c>
      <c r="I526" s="21">
        <f>IF(MonthlyFAME!J528=0,"",MonthlyFAME!J528)</f>
        <v>907.2</v>
      </c>
      <c r="J526" s="21">
        <f>IF(MonthlyFAME!K528=0,"",MonthlyFAME!K528)</f>
        <v>579</v>
      </c>
      <c r="K526" s="21">
        <f>IF(MonthlyFAME!L528=0,"",MonthlyFAME!L528)</f>
        <v>349.23178237283702</v>
      </c>
      <c r="L526" s="21">
        <f>IF(MonthlyFAME!M528=0,"",MonthlyFAME!M528)</f>
        <v>947.1</v>
      </c>
      <c r="M526" s="21" t="str">
        <f>IF(MonthlyFAME!N528=0,"",MonthlyFAME!N528)</f>
        <v/>
      </c>
      <c r="N526" s="21" t="str">
        <f>IF(MonthlyFAME!O528=0,"",MonthlyFAME!O528)</f>
        <v/>
      </c>
      <c r="O526" s="21" t="str">
        <f>IF(MonthlyFAME!P528=0,"",MonthlyFAME!P528)</f>
        <v/>
      </c>
      <c r="P526" s="21" t="str">
        <f>IF(MonthlyFAME!Q528=0,"",MonthlyFAME!Q528)</f>
        <v/>
      </c>
      <c r="Q526" s="21" t="str">
        <f>IF(MonthlyFAME!R528=0,"",MonthlyFAME!R528)</f>
        <v/>
      </c>
      <c r="R526" s="21" t="str">
        <f>IF(MonthlyFAME!S528=0,"",MonthlyFAME!S528)</f>
        <v/>
      </c>
      <c r="S526" s="21" t="str">
        <f>IF(MonthlyFAME!T528=0,"",MonthlyFAME!T528)</f>
        <v/>
      </c>
      <c r="T526" s="21">
        <f>IF(MonthlyFAME!U528=0,"",MonthlyFAME!U528)</f>
        <v>27.619523809523816</v>
      </c>
    </row>
    <row r="527" spans="1:20" x14ac:dyDescent="0.2">
      <c r="A527" s="23">
        <f>IF(MonthlyFAME!A529=0,"",MonthlyFAME!A529)</f>
        <v>37833</v>
      </c>
      <c r="B527" s="21">
        <f>IF(MonthlyFAME!B529=0,"",MonthlyFAME!B529)</f>
        <v>77.599999999999994</v>
      </c>
      <c r="C527" s="21">
        <f>IF(MonthlyFAME!C529=0,"",MonthlyFAME!C529)</f>
        <v>101</v>
      </c>
      <c r="D527" s="21">
        <f>IF(MonthlyFAME!D529=0,"",MonthlyFAME!D529)</f>
        <v>72.194999999999993</v>
      </c>
      <c r="E527" s="21">
        <f>IF(MonthlyFAME!F529=0,"",MonthlyFAME!F529)</f>
        <v>22261</v>
      </c>
      <c r="F527" s="21">
        <f>IF(MonthlyFAME!G529=0,"",MonthlyFAME!G529)</f>
        <v>25570</v>
      </c>
      <c r="G527" s="21">
        <f>IF(MonthlyFAME!H529=0,"",MonthlyFAME!H529)</f>
        <v>5.0635464998991324</v>
      </c>
      <c r="H527" s="21">
        <f>IF(MonthlyFAME!I529=0,"",MonthlyFAME!I529)</f>
        <v>28236</v>
      </c>
      <c r="I527" s="21">
        <f>IF(MonthlyFAME!J529=0,"",MonthlyFAME!J529)</f>
        <v>908.6</v>
      </c>
      <c r="J527" s="21">
        <f>IF(MonthlyFAME!K529=0,"",MonthlyFAME!K529)</f>
        <v>574</v>
      </c>
      <c r="K527" s="21">
        <f>IF(MonthlyFAME!L529=0,"",MonthlyFAME!L529)</f>
        <v>351.22218740315702</v>
      </c>
      <c r="L527" s="21">
        <f>IF(MonthlyFAME!M529=0,"",MonthlyFAME!M529)</f>
        <v>940.2</v>
      </c>
      <c r="M527" s="21" t="str">
        <f>IF(MonthlyFAME!N529=0,"",MonthlyFAME!N529)</f>
        <v/>
      </c>
      <c r="N527" s="21" t="str">
        <f>IF(MonthlyFAME!O529=0,"",MonthlyFAME!O529)</f>
        <v/>
      </c>
      <c r="O527" s="21" t="str">
        <f>IF(MonthlyFAME!P529=0,"",MonthlyFAME!P529)</f>
        <v/>
      </c>
      <c r="P527" s="21" t="str">
        <f>IF(MonthlyFAME!Q529=0,"",MonthlyFAME!Q529)</f>
        <v/>
      </c>
      <c r="Q527" s="21" t="str">
        <f>IF(MonthlyFAME!R529=0,"",MonthlyFAME!R529)</f>
        <v/>
      </c>
      <c r="R527" s="21" t="str">
        <f>IF(MonthlyFAME!S529=0,"",MonthlyFAME!S529)</f>
        <v/>
      </c>
      <c r="S527" s="21" t="str">
        <f>IF(MonthlyFAME!T529=0,"",MonthlyFAME!T529)</f>
        <v/>
      </c>
      <c r="T527" s="21">
        <f>IF(MonthlyFAME!U529=0,"",MonthlyFAME!U529)</f>
        <v>28.482173913043479</v>
      </c>
    </row>
    <row r="528" spans="1:20" x14ac:dyDescent="0.2">
      <c r="A528" s="23">
        <f>IF(MonthlyFAME!A530=0,"",MonthlyFAME!A530)</f>
        <v>37864</v>
      </c>
      <c r="B528" s="21">
        <f>IF(MonthlyFAME!B530=0,"",MonthlyFAME!B530)</f>
        <v>77.7</v>
      </c>
      <c r="C528" s="21">
        <f>IF(MonthlyFAME!C530=0,"",MonthlyFAME!C530)</f>
        <v>101.2</v>
      </c>
      <c r="D528" s="21">
        <f>IF(MonthlyFAME!D530=0,"",MonthlyFAME!D530)</f>
        <v>72.2684</v>
      </c>
      <c r="E528" s="21">
        <f>IF(MonthlyFAME!F530=0,"",MonthlyFAME!F530)</f>
        <v>21684</v>
      </c>
      <c r="F528" s="21">
        <f>IF(MonthlyFAME!G530=0,"",MonthlyFAME!G530)</f>
        <v>24876</v>
      </c>
      <c r="G528" s="21">
        <f>IF(MonthlyFAME!H530=0,"",MonthlyFAME!H530)</f>
        <v>5.0585228037131706</v>
      </c>
      <c r="H528" s="21">
        <f>IF(MonthlyFAME!I530=0,"",MonthlyFAME!I530)</f>
        <v>28228</v>
      </c>
      <c r="I528" s="21">
        <f>IF(MonthlyFAME!J530=0,"",MonthlyFAME!J530)</f>
        <v>908.1</v>
      </c>
      <c r="J528" s="21">
        <f>IF(MonthlyFAME!K530=0,"",MonthlyFAME!K530)</f>
        <v>576</v>
      </c>
      <c r="K528" s="21">
        <f>IF(MonthlyFAME!L530=0,"",MonthlyFAME!L530)</f>
        <v>352.19249594941402</v>
      </c>
      <c r="L528" s="21">
        <f>IF(MonthlyFAME!M530=0,"",MonthlyFAME!M530)</f>
        <v>933.3</v>
      </c>
      <c r="M528" s="21" t="str">
        <f>IF(MonthlyFAME!N530=0,"",MonthlyFAME!N530)</f>
        <v/>
      </c>
      <c r="N528" s="21" t="str">
        <f>IF(MonthlyFAME!O530=0,"",MonthlyFAME!O530)</f>
        <v/>
      </c>
      <c r="O528" s="21" t="str">
        <f>IF(MonthlyFAME!P530=0,"",MonthlyFAME!P530)</f>
        <v/>
      </c>
      <c r="P528" s="21" t="str">
        <f>IF(MonthlyFAME!Q530=0,"",MonthlyFAME!Q530)</f>
        <v/>
      </c>
      <c r="Q528" s="21" t="str">
        <f>IF(MonthlyFAME!R530=0,"",MonthlyFAME!R530)</f>
        <v/>
      </c>
      <c r="R528" s="21" t="str">
        <f>IF(MonthlyFAME!S530=0,"",MonthlyFAME!S530)</f>
        <v/>
      </c>
      <c r="S528" s="21" t="str">
        <f>IF(MonthlyFAME!T530=0,"",MonthlyFAME!T530)</f>
        <v/>
      </c>
      <c r="T528" s="21">
        <f>IF(MonthlyFAME!U530=0,"",MonthlyFAME!U530)</f>
        <v>29.77571428571429</v>
      </c>
    </row>
    <row r="529" spans="1:20" x14ac:dyDescent="0.2">
      <c r="A529" s="23">
        <f>IF(MonthlyFAME!A531=0,"",MonthlyFAME!A531)</f>
        <v>37894</v>
      </c>
      <c r="B529" s="21">
        <f>IF(MonthlyFAME!B531=0,"",MonthlyFAME!B531)</f>
        <v>78.2</v>
      </c>
      <c r="C529" s="21">
        <f>IF(MonthlyFAME!C531=0,"",MonthlyFAME!C531)</f>
        <v>101.4</v>
      </c>
      <c r="D529" s="21">
        <f>IF(MonthlyFAME!D531=0,"",MonthlyFAME!D531)</f>
        <v>72.888099999999994</v>
      </c>
      <c r="E529" s="21">
        <f>IF(MonthlyFAME!F531=0,"",MonthlyFAME!F531)</f>
        <v>21152</v>
      </c>
      <c r="F529" s="21">
        <f>IF(MonthlyFAME!G531=0,"",MonthlyFAME!G531)</f>
        <v>26398</v>
      </c>
      <c r="G529" s="21">
        <f>IF(MonthlyFAME!H531=0,"",MonthlyFAME!H531)</f>
        <v>5.0473822165468105</v>
      </c>
      <c r="H529" s="21">
        <f>IF(MonthlyFAME!I531=0,"",MonthlyFAME!I531)</f>
        <v>28256</v>
      </c>
      <c r="I529" s="21">
        <f>IF(MonthlyFAME!J531=0,"",MonthlyFAME!J531)</f>
        <v>908.3</v>
      </c>
      <c r="J529" s="21">
        <f>IF(MonthlyFAME!K531=0,"",MonthlyFAME!K531)</f>
        <v>592</v>
      </c>
      <c r="K529" s="21">
        <f>IF(MonthlyFAME!L531=0,"",MonthlyFAME!L531)</f>
        <v>354.54397538303499</v>
      </c>
      <c r="L529" s="21">
        <f>IF(MonthlyFAME!M531=0,"",MonthlyFAME!M531)</f>
        <v>928.7</v>
      </c>
      <c r="M529" s="21" t="str">
        <f>IF(MonthlyFAME!N531=0,"",MonthlyFAME!N531)</f>
        <v/>
      </c>
      <c r="N529" s="21" t="str">
        <f>IF(MonthlyFAME!O531=0,"",MonthlyFAME!O531)</f>
        <v/>
      </c>
      <c r="O529" s="21" t="str">
        <f>IF(MonthlyFAME!P531=0,"",MonthlyFAME!P531)</f>
        <v/>
      </c>
      <c r="P529" s="21" t="str">
        <f>IF(MonthlyFAME!Q531=0,"",MonthlyFAME!Q531)</f>
        <v/>
      </c>
      <c r="Q529" s="21" t="str">
        <f>IF(MonthlyFAME!R531=0,"",MonthlyFAME!R531)</f>
        <v/>
      </c>
      <c r="R529" s="21" t="str">
        <f>IF(MonthlyFAME!S531=0,"",MonthlyFAME!S531)</f>
        <v/>
      </c>
      <c r="S529" s="21" t="str">
        <f>IF(MonthlyFAME!T531=0,"",MonthlyFAME!T531)</f>
        <v/>
      </c>
      <c r="T529" s="21">
        <f>IF(MonthlyFAME!U531=0,"",MonthlyFAME!U531)</f>
        <v>27.050454545454542</v>
      </c>
    </row>
    <row r="530" spans="1:20" x14ac:dyDescent="0.2">
      <c r="A530" s="23">
        <f>IF(MonthlyFAME!A532=0,"",MonthlyFAME!A532)</f>
        <v>37925</v>
      </c>
      <c r="B530" s="21">
        <f>IF(MonthlyFAME!B532=0,"",MonthlyFAME!B532)</f>
        <v>78.599999999999994</v>
      </c>
      <c r="C530" s="21">
        <f>IF(MonthlyFAME!C532=0,"",MonthlyFAME!C532)</f>
        <v>103.2</v>
      </c>
      <c r="D530" s="21">
        <f>IF(MonthlyFAME!D532=0,"",MonthlyFAME!D532)</f>
        <v>72.998999999999995</v>
      </c>
      <c r="E530" s="21">
        <f>IF(MonthlyFAME!F532=0,"",MonthlyFAME!F532)</f>
        <v>22846</v>
      </c>
      <c r="F530" s="21">
        <f>IF(MonthlyFAME!G532=0,"",MonthlyFAME!G532)</f>
        <v>26907</v>
      </c>
      <c r="G530" s="21">
        <f>IF(MonthlyFAME!H532=0,"",MonthlyFAME!H532)</f>
        <v>4.9499294307413129</v>
      </c>
      <c r="H530" s="21">
        <f>IF(MonthlyFAME!I532=0,"",MonthlyFAME!I532)</f>
        <v>28285</v>
      </c>
      <c r="I530" s="21">
        <f>IF(MonthlyFAME!J532=0,"",MonthlyFAME!J532)</f>
        <v>907.4</v>
      </c>
      <c r="J530" s="21">
        <f>IF(MonthlyFAME!K532=0,"",MonthlyFAME!K532)</f>
        <v>604</v>
      </c>
      <c r="K530" s="21">
        <f>IF(MonthlyFAME!L532=0,"",MonthlyFAME!L532)</f>
        <v>356.50807679187801</v>
      </c>
      <c r="L530" s="21">
        <f>IF(MonthlyFAME!M532=0,"",MonthlyFAME!M532)</f>
        <v>922</v>
      </c>
      <c r="M530" s="21" t="str">
        <f>IF(MonthlyFAME!N532=0,"",MonthlyFAME!N532)</f>
        <v/>
      </c>
      <c r="N530" s="21" t="str">
        <f>IF(MonthlyFAME!O532=0,"",MonthlyFAME!O532)</f>
        <v/>
      </c>
      <c r="O530" s="21" t="str">
        <f>IF(MonthlyFAME!P532=0,"",MonthlyFAME!P532)</f>
        <v/>
      </c>
      <c r="P530" s="21" t="str">
        <f>IF(MonthlyFAME!Q532=0,"",MonthlyFAME!Q532)</f>
        <v/>
      </c>
      <c r="Q530" s="21" t="str">
        <f>IF(MonthlyFAME!R532=0,"",MonthlyFAME!R532)</f>
        <v/>
      </c>
      <c r="R530" s="21" t="str">
        <f>IF(MonthlyFAME!S532=0,"",MonthlyFAME!S532)</f>
        <v/>
      </c>
      <c r="S530" s="21" t="str">
        <f>IF(MonthlyFAME!T532=0,"",MonthlyFAME!T532)</f>
        <v/>
      </c>
      <c r="T530" s="21">
        <f>IF(MonthlyFAME!U532=0,"",MonthlyFAME!U532)</f>
        <v>29.574782608695653</v>
      </c>
    </row>
    <row r="531" spans="1:20" x14ac:dyDescent="0.2">
      <c r="A531" s="23">
        <f>IF(MonthlyFAME!A533=0,"",MonthlyFAME!A533)</f>
        <v>37955</v>
      </c>
      <c r="B531" s="21">
        <f>IF(MonthlyFAME!B533=0,"",MonthlyFAME!B533)</f>
        <v>78.3</v>
      </c>
      <c r="C531" s="21">
        <f>IF(MonthlyFAME!C533=0,"",MonthlyFAME!C533)</f>
        <v>101.8</v>
      </c>
      <c r="D531" s="21">
        <f>IF(MonthlyFAME!D533=0,"",MonthlyFAME!D533)</f>
        <v>72.871700000000004</v>
      </c>
      <c r="E531" s="21">
        <f>IF(MonthlyFAME!F533=0,"",MonthlyFAME!F533)</f>
        <v>21919</v>
      </c>
      <c r="F531" s="21">
        <f>IF(MonthlyFAME!G533=0,"",MonthlyFAME!G533)</f>
        <v>26354</v>
      </c>
      <c r="G531" s="21">
        <f>IF(MonthlyFAME!H533=0,"",MonthlyFAME!H533)</f>
        <v>4.9099341309315765</v>
      </c>
      <c r="H531" s="21">
        <f>IF(MonthlyFAME!I533=0,"",MonthlyFAME!I533)</f>
        <v>28295</v>
      </c>
      <c r="I531" s="21">
        <f>IF(MonthlyFAME!J533=0,"",MonthlyFAME!J533)</f>
        <v>905.2</v>
      </c>
      <c r="J531" s="21">
        <f>IF(MonthlyFAME!K533=0,"",MonthlyFAME!K533)</f>
        <v>610</v>
      </c>
      <c r="K531" s="21">
        <f>IF(MonthlyFAME!L533=0,"",MonthlyFAME!L533)</f>
        <v>356.758195127178</v>
      </c>
      <c r="L531" s="21">
        <f>IF(MonthlyFAME!M533=0,"",MonthlyFAME!M533)</f>
        <v>913</v>
      </c>
      <c r="M531" s="21" t="str">
        <f>IF(MonthlyFAME!N533=0,"",MonthlyFAME!N533)</f>
        <v/>
      </c>
      <c r="N531" s="21" t="str">
        <f>IF(MonthlyFAME!O533=0,"",MonthlyFAME!O533)</f>
        <v/>
      </c>
      <c r="O531" s="21" t="str">
        <f>IF(MonthlyFAME!P533=0,"",MonthlyFAME!P533)</f>
        <v/>
      </c>
      <c r="P531" s="21" t="str">
        <f>IF(MonthlyFAME!Q533=0,"",MonthlyFAME!Q533)</f>
        <v/>
      </c>
      <c r="Q531" s="21" t="str">
        <f>IF(MonthlyFAME!R533=0,"",MonthlyFAME!R533)</f>
        <v/>
      </c>
      <c r="R531" s="21" t="str">
        <f>IF(MonthlyFAME!S533=0,"",MonthlyFAME!S533)</f>
        <v/>
      </c>
      <c r="S531" s="21" t="str">
        <f>IF(MonthlyFAME!T533=0,"",MonthlyFAME!T533)</f>
        <v/>
      </c>
      <c r="T531" s="21">
        <f>IF(MonthlyFAME!U533=0,"",MonthlyFAME!U533)</f>
        <v>28.838000000000005</v>
      </c>
    </row>
    <row r="532" spans="1:20" x14ac:dyDescent="0.2">
      <c r="A532" s="23">
        <f>IF(MonthlyFAME!A534=0,"",MonthlyFAME!A534)</f>
        <v>37986</v>
      </c>
      <c r="B532" s="21">
        <f>IF(MonthlyFAME!B534=0,"",MonthlyFAME!B534)</f>
        <v>78.7</v>
      </c>
      <c r="C532" s="21">
        <f>IF(MonthlyFAME!C534=0,"",MonthlyFAME!C534)</f>
        <v>101.8</v>
      </c>
      <c r="D532" s="21">
        <f>IF(MonthlyFAME!D534=0,"",MonthlyFAME!D534)</f>
        <v>73.328199999999995</v>
      </c>
      <c r="E532" s="21">
        <f>IF(MonthlyFAME!F534=0,"",MonthlyFAME!F534)</f>
        <v>22732</v>
      </c>
      <c r="F532" s="21">
        <f>IF(MonthlyFAME!G534=0,"",MonthlyFAME!G534)</f>
        <v>27001</v>
      </c>
      <c r="G532" s="21">
        <f>IF(MonthlyFAME!H534=0,"",MonthlyFAME!H534)</f>
        <v>4.895668828332381</v>
      </c>
      <c r="H532" s="21">
        <f>IF(MonthlyFAME!I534=0,"",MonthlyFAME!I534)</f>
        <v>28304</v>
      </c>
      <c r="I532" s="21">
        <f>IF(MonthlyFAME!J534=0,"",MonthlyFAME!J534)</f>
        <v>903.9</v>
      </c>
      <c r="J532" s="21">
        <f>IF(MonthlyFAME!K534=0,"",MonthlyFAME!K534)</f>
        <v>615</v>
      </c>
      <c r="K532" s="21">
        <f>IF(MonthlyFAME!L534=0,"",MonthlyFAME!L534)</f>
        <v>357.32472870818202</v>
      </c>
      <c r="L532" s="21">
        <f>IF(MonthlyFAME!M534=0,"",MonthlyFAME!M534)</f>
        <v>906</v>
      </c>
      <c r="M532" s="21" t="str">
        <f>IF(MonthlyFAME!N534=0,"",MonthlyFAME!N534)</f>
        <v/>
      </c>
      <c r="N532" s="21" t="str">
        <f>IF(MonthlyFAME!O534=0,"",MonthlyFAME!O534)</f>
        <v/>
      </c>
      <c r="O532" s="21" t="str">
        <f>IF(MonthlyFAME!P534=0,"",MonthlyFAME!P534)</f>
        <v/>
      </c>
      <c r="P532" s="21" t="str">
        <f>IF(MonthlyFAME!Q534=0,"",MonthlyFAME!Q534)</f>
        <v/>
      </c>
      <c r="Q532" s="21" t="str">
        <f>IF(MonthlyFAME!R534=0,"",MonthlyFAME!R534)</f>
        <v/>
      </c>
      <c r="R532" s="21" t="str">
        <f>IF(MonthlyFAME!S534=0,"",MonthlyFAME!S534)</f>
        <v/>
      </c>
      <c r="S532" s="21" t="str">
        <f>IF(MonthlyFAME!T534=0,"",MonthlyFAME!T534)</f>
        <v/>
      </c>
      <c r="T532" s="21">
        <f>IF(MonthlyFAME!U534=0,"",MonthlyFAME!U534)</f>
        <v>29.839130434782611</v>
      </c>
    </row>
    <row r="533" spans="1:20" x14ac:dyDescent="0.2">
      <c r="A533" s="23">
        <f>IF(MonthlyFAME!A535=0,"",MonthlyFAME!A535)</f>
        <v>38017</v>
      </c>
      <c r="B533" s="21">
        <f>IF(MonthlyFAME!B535=0,"",MonthlyFAME!B535)</f>
        <v>78.599999999999994</v>
      </c>
      <c r="C533" s="21">
        <f>IF(MonthlyFAME!C535=0,"",MonthlyFAME!C535)</f>
        <v>103.1</v>
      </c>
      <c r="D533" s="21">
        <f>IF(MonthlyFAME!D535=0,"",MonthlyFAME!D535)</f>
        <v>72.989099999999993</v>
      </c>
      <c r="E533" s="21">
        <f>IF(MonthlyFAME!F535=0,"",MonthlyFAME!F535)</f>
        <v>21520</v>
      </c>
      <c r="F533" s="21">
        <f>IF(MonthlyFAME!G535=0,"",MonthlyFAME!G535)</f>
        <v>26697</v>
      </c>
      <c r="G533" s="21">
        <f>IF(MonthlyFAME!H535=0,"",MonthlyFAME!H535)</f>
        <v>4.8322777386816798</v>
      </c>
      <c r="H533" s="21">
        <f>IF(MonthlyFAME!I535=0,"",MonthlyFAME!I535)</f>
        <v>28399</v>
      </c>
      <c r="I533" s="21">
        <f>IF(MonthlyFAME!J535=0,"",MonthlyFAME!J535)</f>
        <v>905.2</v>
      </c>
      <c r="J533" s="21">
        <f>IF(MonthlyFAME!K535=0,"",MonthlyFAME!K535)</f>
        <v>613</v>
      </c>
      <c r="K533" s="21">
        <f>IF(MonthlyFAME!L535=0,"",MonthlyFAME!L535)</f>
        <v>364.31027779583098</v>
      </c>
      <c r="L533" s="21">
        <f>IF(MonthlyFAME!M535=0,"",MonthlyFAME!M535)</f>
        <v>899.2</v>
      </c>
      <c r="M533" s="21" t="str">
        <f>IF(MonthlyFAME!N535=0,"",MonthlyFAME!N535)</f>
        <v/>
      </c>
      <c r="N533" s="21" t="str">
        <f>IF(MonthlyFAME!O535=0,"",MonthlyFAME!O535)</f>
        <v/>
      </c>
      <c r="O533" s="21" t="str">
        <f>IF(MonthlyFAME!P535=0,"",MonthlyFAME!P535)</f>
        <v/>
      </c>
      <c r="P533" s="21" t="str">
        <f>IF(MonthlyFAME!Q535=0,"",MonthlyFAME!Q535)</f>
        <v/>
      </c>
      <c r="Q533" s="21" t="str">
        <f>IF(MonthlyFAME!R535=0,"",MonthlyFAME!R535)</f>
        <v/>
      </c>
      <c r="R533" s="21" t="str">
        <f>IF(MonthlyFAME!S535=0,"",MonthlyFAME!S535)</f>
        <v/>
      </c>
      <c r="S533" s="21" t="str">
        <f>IF(MonthlyFAME!T535=0,"",MonthlyFAME!T535)</f>
        <v/>
      </c>
      <c r="T533" s="21">
        <f>IF(MonthlyFAME!U535=0,"",MonthlyFAME!U535)</f>
        <v>31.114999999999998</v>
      </c>
    </row>
    <row r="534" spans="1:20" x14ac:dyDescent="0.2">
      <c r="A534" s="23">
        <f>IF(MonthlyFAME!A536=0,"",MonthlyFAME!A536)</f>
        <v>38046</v>
      </c>
      <c r="B534" s="21">
        <f>IF(MonthlyFAME!B536=0,"",MonthlyFAME!B536)</f>
        <v>78.599999999999994</v>
      </c>
      <c r="C534" s="21">
        <f>IF(MonthlyFAME!C536=0,"",MonthlyFAME!C536)</f>
        <v>102.8</v>
      </c>
      <c r="D534" s="21">
        <f>IF(MonthlyFAME!D536=0,"",MonthlyFAME!D536)</f>
        <v>72.993799999999993</v>
      </c>
      <c r="E534" s="21">
        <f>IF(MonthlyFAME!F536=0,"",MonthlyFAME!F536)</f>
        <v>22221</v>
      </c>
      <c r="F534" s="21">
        <f>IF(MonthlyFAME!G536=0,"",MonthlyFAME!G536)</f>
        <v>26488</v>
      </c>
      <c r="G534" s="21">
        <f>IF(MonthlyFAME!H536=0,"",MonthlyFAME!H536)</f>
        <v>4.8068554595969744</v>
      </c>
      <c r="H534" s="21">
        <f>IF(MonthlyFAME!I536=0,"",MonthlyFAME!I536)</f>
        <v>28438</v>
      </c>
      <c r="I534" s="21">
        <f>IF(MonthlyFAME!J536=0,"",MonthlyFAME!J536)</f>
        <v>909.1</v>
      </c>
      <c r="J534" s="21">
        <f>IF(MonthlyFAME!K536=0,"",MonthlyFAME!K536)</f>
        <v>617</v>
      </c>
      <c r="K534" s="21">
        <f>IF(MonthlyFAME!L536=0,"",MonthlyFAME!L536)</f>
        <v>351.94301705709</v>
      </c>
      <c r="L534" s="21">
        <f>IF(MonthlyFAME!M536=0,"",MonthlyFAME!M536)</f>
        <v>892.1</v>
      </c>
      <c r="M534" s="21" t="str">
        <f>IF(MonthlyFAME!N536=0,"",MonthlyFAME!N536)</f>
        <v/>
      </c>
      <c r="N534" s="21" t="str">
        <f>IF(MonthlyFAME!O536=0,"",MonthlyFAME!O536)</f>
        <v/>
      </c>
      <c r="O534" s="21" t="str">
        <f>IF(MonthlyFAME!P536=0,"",MonthlyFAME!P536)</f>
        <v/>
      </c>
      <c r="P534" s="21" t="str">
        <f>IF(MonthlyFAME!Q536=0,"",MonthlyFAME!Q536)</f>
        <v/>
      </c>
      <c r="Q534" s="21" t="str">
        <f>IF(MonthlyFAME!R536=0,"",MonthlyFAME!R536)</f>
        <v/>
      </c>
      <c r="R534" s="21" t="str">
        <f>IF(MonthlyFAME!S536=0,"",MonthlyFAME!S536)</f>
        <v/>
      </c>
      <c r="S534" s="21" t="str">
        <f>IF(MonthlyFAME!T536=0,"",MonthlyFAME!T536)</f>
        <v/>
      </c>
      <c r="T534" s="21">
        <f>IF(MonthlyFAME!U536=0,"",MonthlyFAME!U536)</f>
        <v>30.861999999999995</v>
      </c>
    </row>
    <row r="535" spans="1:20" x14ac:dyDescent="0.2">
      <c r="A535" s="23">
        <f>IF(MonthlyFAME!A537=0,"",MonthlyFAME!A537)</f>
        <v>38077</v>
      </c>
      <c r="B535" s="21">
        <f>IF(MonthlyFAME!B537=0,"",MonthlyFAME!B537)</f>
        <v>78.900000000000006</v>
      </c>
      <c r="C535" s="21">
        <f>IF(MonthlyFAME!C537=0,"",MonthlyFAME!C537)</f>
        <v>102.9</v>
      </c>
      <c r="D535" s="21">
        <f>IF(MonthlyFAME!D537=0,"",MonthlyFAME!D537)</f>
        <v>73.435599999999994</v>
      </c>
      <c r="E535" s="21">
        <f>IF(MonthlyFAME!F537=0,"",MonthlyFAME!F537)</f>
        <v>22482</v>
      </c>
      <c r="F535" s="21">
        <f>IF(MonthlyFAME!G537=0,"",MonthlyFAME!G537)</f>
        <v>26959</v>
      </c>
      <c r="G535" s="21">
        <f>IF(MonthlyFAME!H537=0,"",MonthlyFAME!H537)</f>
        <v>4.7971096912320608</v>
      </c>
      <c r="H535" s="21">
        <f>IF(MonthlyFAME!I537=0,"",MonthlyFAME!I537)</f>
        <v>28459</v>
      </c>
      <c r="I535" s="21">
        <f>IF(MonthlyFAME!J537=0,"",MonthlyFAME!J537)</f>
        <v>913.1</v>
      </c>
      <c r="J535" s="21">
        <f>IF(MonthlyFAME!K537=0,"",MonthlyFAME!K537)</f>
        <v>624</v>
      </c>
      <c r="K535" s="21">
        <f>IF(MonthlyFAME!L537=0,"",MonthlyFAME!L537)</f>
        <v>361.39628269518698</v>
      </c>
      <c r="L535" s="21">
        <f>IF(MonthlyFAME!M537=0,"",MonthlyFAME!M537)</f>
        <v>881</v>
      </c>
      <c r="M535" s="21" t="str">
        <f>IF(MonthlyFAME!N537=0,"",MonthlyFAME!N537)</f>
        <v/>
      </c>
      <c r="N535" s="21" t="str">
        <f>IF(MonthlyFAME!O537=0,"",MonthlyFAME!O537)</f>
        <v/>
      </c>
      <c r="O535" s="21" t="str">
        <f>IF(MonthlyFAME!P537=0,"",MonthlyFAME!P537)</f>
        <v/>
      </c>
      <c r="P535" s="21" t="str">
        <f>IF(MonthlyFAME!Q537=0,"",MonthlyFAME!Q537)</f>
        <v/>
      </c>
      <c r="Q535" s="21" t="str">
        <f>IF(MonthlyFAME!R537=0,"",MonthlyFAME!R537)</f>
        <v/>
      </c>
      <c r="R535" s="21" t="str">
        <f>IF(MonthlyFAME!S537=0,"",MonthlyFAME!S537)</f>
        <v/>
      </c>
      <c r="S535" s="21" t="str">
        <f>IF(MonthlyFAME!T537=0,"",MonthlyFAME!T537)</f>
        <v/>
      </c>
      <c r="T535" s="21">
        <f>IF(MonthlyFAME!U537=0,"",MonthlyFAME!U537)</f>
        <v>33.746956521739136</v>
      </c>
    </row>
    <row r="536" spans="1:20" x14ac:dyDescent="0.2">
      <c r="A536" s="23">
        <f>IF(MonthlyFAME!A538=0,"",MonthlyFAME!A538)</f>
        <v>38107</v>
      </c>
      <c r="B536" s="21">
        <f>IF(MonthlyFAME!B538=0,"",MonthlyFAME!B538)</f>
        <v>78.900000000000006</v>
      </c>
      <c r="C536" s="21">
        <f>IF(MonthlyFAME!C538=0,"",MonthlyFAME!C538)</f>
        <v>103.4</v>
      </c>
      <c r="D536" s="21">
        <f>IF(MonthlyFAME!D538=0,"",MonthlyFAME!D538)</f>
        <v>73.433800000000005</v>
      </c>
      <c r="E536" s="21">
        <f>IF(MonthlyFAME!F538=0,"",MonthlyFAME!F538)</f>
        <v>22786</v>
      </c>
      <c r="F536" s="21">
        <f>IF(MonthlyFAME!G538=0,"",MonthlyFAME!G538)</f>
        <v>27269</v>
      </c>
      <c r="G536" s="21">
        <f>IF(MonthlyFAME!H538=0,"",MonthlyFAME!H538)</f>
        <v>4.8082714314394703</v>
      </c>
      <c r="H536" s="21">
        <f>IF(MonthlyFAME!I538=0,"",MonthlyFAME!I538)</f>
        <v>28449</v>
      </c>
      <c r="I536" s="21">
        <f>IF(MonthlyFAME!J538=0,"",MonthlyFAME!J538)</f>
        <v>911.5</v>
      </c>
      <c r="J536" s="21">
        <f>IF(MonthlyFAME!K538=0,"",MonthlyFAME!K538)</f>
        <v>631</v>
      </c>
      <c r="K536" s="21">
        <f>IF(MonthlyFAME!L538=0,"",MonthlyFAME!L538)</f>
        <v>362.036567016775</v>
      </c>
      <c r="L536" s="21">
        <f>IF(MonthlyFAME!M538=0,"",MonthlyFAME!M538)</f>
        <v>871.9</v>
      </c>
      <c r="M536" s="21" t="str">
        <f>IF(MonthlyFAME!N538=0,"",MonthlyFAME!N538)</f>
        <v/>
      </c>
      <c r="N536" s="21" t="str">
        <f>IF(MonthlyFAME!O538=0,"",MonthlyFAME!O538)</f>
        <v/>
      </c>
      <c r="O536" s="21" t="str">
        <f>IF(MonthlyFAME!P538=0,"",MonthlyFAME!P538)</f>
        <v/>
      </c>
      <c r="P536" s="21" t="str">
        <f>IF(MonthlyFAME!Q538=0,"",MonthlyFAME!Q538)</f>
        <v/>
      </c>
      <c r="Q536" s="21" t="str">
        <f>IF(MonthlyFAME!R538=0,"",MonthlyFAME!R538)</f>
        <v/>
      </c>
      <c r="R536" s="21" t="str">
        <f>IF(MonthlyFAME!S538=0,"",MonthlyFAME!S538)</f>
        <v/>
      </c>
      <c r="S536" s="21" t="str">
        <f>IF(MonthlyFAME!T538=0,"",MonthlyFAME!T538)</f>
        <v/>
      </c>
      <c r="T536" s="21">
        <f>IF(MonthlyFAME!U538=0,"",MonthlyFAME!U538)</f>
        <v>33.356363636363646</v>
      </c>
    </row>
    <row r="537" spans="1:20" x14ac:dyDescent="0.2">
      <c r="A537" s="23">
        <f>IF(MonthlyFAME!A539=0,"",MonthlyFAME!A539)</f>
        <v>38138</v>
      </c>
      <c r="B537" s="21">
        <f>IF(MonthlyFAME!B539=0,"",MonthlyFAME!B539)</f>
        <v>79.099999999999994</v>
      </c>
      <c r="C537" s="21">
        <f>IF(MonthlyFAME!C539=0,"",MonthlyFAME!C539)</f>
        <v>101.9</v>
      </c>
      <c r="D537" s="21">
        <f>IF(MonthlyFAME!D539=0,"",MonthlyFAME!D539)</f>
        <v>73.978099999999998</v>
      </c>
      <c r="E537" s="21">
        <f>IF(MonthlyFAME!F539=0,"",MonthlyFAME!F539)</f>
        <v>21879</v>
      </c>
      <c r="F537" s="21">
        <f>IF(MonthlyFAME!G539=0,"",MonthlyFAME!G539)</f>
        <v>26946</v>
      </c>
      <c r="G537" s="21">
        <f>IF(MonthlyFAME!H539=0,"",MonthlyFAME!H539)</f>
        <v>4.7991705963011269</v>
      </c>
      <c r="H537" s="21">
        <f>IF(MonthlyFAME!I539=0,"",MonthlyFAME!I539)</f>
        <v>28466</v>
      </c>
      <c r="I537" s="21">
        <f>IF(MonthlyFAME!J539=0,"",MonthlyFAME!J539)</f>
        <v>911.4</v>
      </c>
      <c r="J537" s="21">
        <f>IF(MonthlyFAME!K539=0,"",MonthlyFAME!K539)</f>
        <v>636</v>
      </c>
      <c r="K537" s="21">
        <f>IF(MonthlyFAME!L539=0,"",MonthlyFAME!L539)</f>
        <v>363.316992200605</v>
      </c>
      <c r="L537" s="21">
        <f>IF(MonthlyFAME!M539=0,"",MonthlyFAME!M539)</f>
        <v>858.1</v>
      </c>
      <c r="M537" s="21" t="str">
        <f>IF(MonthlyFAME!N539=0,"",MonthlyFAME!N539)</f>
        <v/>
      </c>
      <c r="N537" s="21" t="str">
        <f>IF(MonthlyFAME!O539=0,"",MonthlyFAME!O539)</f>
        <v/>
      </c>
      <c r="O537" s="21" t="str">
        <f>IF(MonthlyFAME!P539=0,"",MonthlyFAME!P539)</f>
        <v/>
      </c>
      <c r="P537" s="21" t="str">
        <f>IF(MonthlyFAME!Q539=0,"",MonthlyFAME!Q539)</f>
        <v/>
      </c>
      <c r="Q537" s="21" t="str">
        <f>IF(MonthlyFAME!R539=0,"",MonthlyFAME!R539)</f>
        <v/>
      </c>
      <c r="R537" s="21" t="str">
        <f>IF(MonthlyFAME!S539=0,"",MonthlyFAME!S539)</f>
        <v/>
      </c>
      <c r="S537" s="21" t="str">
        <f>IF(MonthlyFAME!T539=0,"",MonthlyFAME!T539)</f>
        <v/>
      </c>
      <c r="T537" s="21">
        <f>IF(MonthlyFAME!U539=0,"",MonthlyFAME!U539)</f>
        <v>37.720952380952376</v>
      </c>
    </row>
    <row r="538" spans="1:20" x14ac:dyDescent="0.2">
      <c r="A538" s="23">
        <f>IF(MonthlyFAME!A540=0,"",MonthlyFAME!A540)</f>
        <v>38168</v>
      </c>
      <c r="B538" s="21">
        <f>IF(MonthlyFAME!B540=0,"",MonthlyFAME!B540)</f>
        <v>79.400000000000006</v>
      </c>
      <c r="C538" s="21">
        <f>IF(MonthlyFAME!C540=0,"",MonthlyFAME!C540)</f>
        <v>101.7</v>
      </c>
      <c r="D538" s="21">
        <f>IF(MonthlyFAME!D540=0,"",MonthlyFAME!D540)</f>
        <v>74.406800000000004</v>
      </c>
      <c r="E538" s="21">
        <f>IF(MonthlyFAME!F540=0,"",MonthlyFAME!F540)</f>
        <v>22214</v>
      </c>
      <c r="F538" s="21">
        <f>IF(MonthlyFAME!G540=0,"",MonthlyFAME!G540)</f>
        <v>27671</v>
      </c>
      <c r="G538" s="21">
        <f>IF(MonthlyFAME!H540=0,"",MonthlyFAME!H540)</f>
        <v>4.8048951750426321</v>
      </c>
      <c r="H538" s="21">
        <f>IF(MonthlyFAME!I540=0,"",MonthlyFAME!I540)</f>
        <v>28470</v>
      </c>
      <c r="I538" s="21">
        <f>IF(MonthlyFAME!J540=0,"",MonthlyFAME!J540)</f>
        <v>909.8</v>
      </c>
      <c r="J538" s="21">
        <f>IF(MonthlyFAME!K540=0,"",MonthlyFAME!K540)</f>
        <v>641</v>
      </c>
      <c r="K538" s="21">
        <f>IF(MonthlyFAME!L540=0,"",MonthlyFAME!L540)</f>
        <v>363.78591533882201</v>
      </c>
      <c r="L538" s="21">
        <f>IF(MonthlyFAME!M540=0,"",MonthlyFAME!M540)</f>
        <v>846.9</v>
      </c>
      <c r="M538" s="21" t="str">
        <f>IF(MonthlyFAME!N540=0,"",MonthlyFAME!N540)</f>
        <v/>
      </c>
      <c r="N538" s="21" t="str">
        <f>IF(MonthlyFAME!O540=0,"",MonthlyFAME!O540)</f>
        <v/>
      </c>
      <c r="O538" s="21" t="str">
        <f>IF(MonthlyFAME!P540=0,"",MonthlyFAME!P540)</f>
        <v/>
      </c>
      <c r="P538" s="21" t="str">
        <f>IF(MonthlyFAME!Q540=0,"",MonthlyFAME!Q540)</f>
        <v/>
      </c>
      <c r="Q538" s="21" t="str">
        <f>IF(MonthlyFAME!R540=0,"",MonthlyFAME!R540)</f>
        <v/>
      </c>
      <c r="R538" s="21" t="str">
        <f>IF(MonthlyFAME!S540=0,"",MonthlyFAME!S540)</f>
        <v/>
      </c>
      <c r="S538" s="21" t="str">
        <f>IF(MonthlyFAME!T540=0,"",MonthlyFAME!T540)</f>
        <v/>
      </c>
      <c r="T538" s="21">
        <f>IF(MonthlyFAME!U540=0,"",MonthlyFAME!U540)</f>
        <v>35.145909090909086</v>
      </c>
    </row>
    <row r="539" spans="1:20" x14ac:dyDescent="0.2">
      <c r="A539" s="23">
        <f>IF(MonthlyFAME!A541=0,"",MonthlyFAME!A541)</f>
        <v>38199</v>
      </c>
      <c r="B539" s="21">
        <f>IF(MonthlyFAME!B541=0,"",MonthlyFAME!B541)</f>
        <v>79.3</v>
      </c>
      <c r="C539" s="21">
        <f>IF(MonthlyFAME!C541=0,"",MonthlyFAME!C541)</f>
        <v>101.3</v>
      </c>
      <c r="D539" s="21">
        <f>IF(MonthlyFAME!D541=0,"",MonthlyFAME!D541)</f>
        <v>74.460599999999999</v>
      </c>
      <c r="E539" s="21">
        <f>IF(MonthlyFAME!F541=0,"",MonthlyFAME!F541)</f>
        <v>22796</v>
      </c>
      <c r="F539" s="21">
        <f>IF(MonthlyFAME!G541=0,"",MonthlyFAME!G541)</f>
        <v>28296</v>
      </c>
      <c r="G539" s="21">
        <f>IF(MonthlyFAME!H541=0,"",MonthlyFAME!H541)</f>
        <v>4.7612674406932785</v>
      </c>
      <c r="H539" s="21">
        <f>IF(MonthlyFAME!I541=0,"",MonthlyFAME!I541)</f>
        <v>28464</v>
      </c>
      <c r="I539" s="21">
        <f>IF(MonthlyFAME!J541=0,"",MonthlyFAME!J541)</f>
        <v>907.9</v>
      </c>
      <c r="J539" s="21">
        <f>IF(MonthlyFAME!K541=0,"",MonthlyFAME!K541)</f>
        <v>652</v>
      </c>
      <c r="K539" s="21">
        <f>IF(MonthlyFAME!L541=0,"",MonthlyFAME!L541)</f>
        <v>364.72424473195798</v>
      </c>
      <c r="L539" s="21">
        <f>IF(MonthlyFAME!M541=0,"",MonthlyFAME!M541)</f>
        <v>836.4</v>
      </c>
      <c r="M539" s="21" t="str">
        <f>IF(MonthlyFAME!N541=0,"",MonthlyFAME!N541)</f>
        <v/>
      </c>
      <c r="N539" s="21" t="str">
        <f>IF(MonthlyFAME!O541=0,"",MonthlyFAME!O541)</f>
        <v/>
      </c>
      <c r="O539" s="21" t="str">
        <f>IF(MonthlyFAME!P541=0,"",MonthlyFAME!P541)</f>
        <v/>
      </c>
      <c r="P539" s="21" t="str">
        <f>IF(MonthlyFAME!Q541=0,"",MonthlyFAME!Q541)</f>
        <v/>
      </c>
      <c r="Q539" s="21" t="str">
        <f>IF(MonthlyFAME!R541=0,"",MonthlyFAME!R541)</f>
        <v/>
      </c>
      <c r="R539" s="21" t="str">
        <f>IF(MonthlyFAME!S541=0,"",MonthlyFAME!S541)</f>
        <v/>
      </c>
      <c r="S539" s="21" t="str">
        <f>IF(MonthlyFAME!T541=0,"",MonthlyFAME!T541)</f>
        <v/>
      </c>
      <c r="T539" s="21">
        <f>IF(MonthlyFAME!U541=0,"",MonthlyFAME!U541)</f>
        <v>38.31363636363637</v>
      </c>
    </row>
    <row r="540" spans="1:20" x14ac:dyDescent="0.2">
      <c r="A540" s="23">
        <f>IF(MonthlyFAME!A542=0,"",MonthlyFAME!A542)</f>
        <v>38230</v>
      </c>
      <c r="B540" s="21">
        <f>IF(MonthlyFAME!B542=0,"",MonthlyFAME!B542)</f>
        <v>79.2</v>
      </c>
      <c r="C540" s="21">
        <f>IF(MonthlyFAME!C542=0,"",MonthlyFAME!C542)</f>
        <v>99.8</v>
      </c>
      <c r="D540" s="21">
        <f>IF(MonthlyFAME!D542=0,"",MonthlyFAME!D542)</f>
        <v>74.477699999999999</v>
      </c>
      <c r="E540" s="21">
        <f>IF(MonthlyFAME!F542=0,"",MonthlyFAME!F542)</f>
        <v>22489</v>
      </c>
      <c r="F540" s="21">
        <f>IF(MonthlyFAME!G542=0,"",MonthlyFAME!G542)</f>
        <v>27931</v>
      </c>
      <c r="G540" s="21">
        <f>IF(MonthlyFAME!H542=0,"",MonthlyFAME!H542)</f>
        <v>4.7013551949138366</v>
      </c>
      <c r="H540" s="21">
        <f>IF(MonthlyFAME!I542=0,"",MonthlyFAME!I542)</f>
        <v>28480</v>
      </c>
      <c r="I540" s="21">
        <f>IF(MonthlyFAME!J542=0,"",MonthlyFAME!J542)</f>
        <v>908.9</v>
      </c>
      <c r="J540" s="21">
        <f>IF(MonthlyFAME!K542=0,"",MonthlyFAME!K542)</f>
        <v>654</v>
      </c>
      <c r="K540" s="21">
        <f>IF(MonthlyFAME!L542=0,"",MonthlyFAME!L542)</f>
        <v>367.287809205673</v>
      </c>
      <c r="L540" s="21">
        <f>IF(MonthlyFAME!M542=0,"",MonthlyFAME!M542)</f>
        <v>834.5</v>
      </c>
      <c r="M540" s="21" t="str">
        <f>IF(MonthlyFAME!N542=0,"",MonthlyFAME!N542)</f>
        <v/>
      </c>
      <c r="N540" s="21" t="str">
        <f>IF(MonthlyFAME!O542=0,"",MonthlyFAME!O542)</f>
        <v/>
      </c>
      <c r="O540" s="21" t="str">
        <f>IF(MonthlyFAME!P542=0,"",MonthlyFAME!P542)</f>
        <v/>
      </c>
      <c r="P540" s="21" t="str">
        <f>IF(MonthlyFAME!Q542=0,"",MonthlyFAME!Q542)</f>
        <v/>
      </c>
      <c r="Q540" s="21" t="str">
        <f>IF(MonthlyFAME!R542=0,"",MonthlyFAME!R542)</f>
        <v/>
      </c>
      <c r="R540" s="21" t="str">
        <f>IF(MonthlyFAME!S542=0,"",MonthlyFAME!S542)</f>
        <v/>
      </c>
      <c r="S540" s="21" t="str">
        <f>IF(MonthlyFAME!T542=0,"",MonthlyFAME!T542)</f>
        <v/>
      </c>
      <c r="T540" s="21">
        <f>IF(MonthlyFAME!U542=0,"",MonthlyFAME!U542)</f>
        <v>42.839545454545458</v>
      </c>
    </row>
    <row r="541" spans="1:20" x14ac:dyDescent="0.2">
      <c r="A541" s="23">
        <f>IF(MonthlyFAME!A543=0,"",MonthlyFAME!A543)</f>
        <v>38260</v>
      </c>
      <c r="B541" s="21">
        <f>IF(MonthlyFAME!B543=0,"",MonthlyFAME!B543)</f>
        <v>79.400000000000006</v>
      </c>
      <c r="C541" s="21">
        <f>IF(MonthlyFAME!C543=0,"",MonthlyFAME!C543)</f>
        <v>99.5</v>
      </c>
      <c r="D541" s="21">
        <f>IF(MonthlyFAME!D543=0,"",MonthlyFAME!D543)</f>
        <v>74.923900000000003</v>
      </c>
      <c r="E541" s="21">
        <f>IF(MonthlyFAME!F543=0,"",MonthlyFAME!F543)</f>
        <v>22816</v>
      </c>
      <c r="F541" s="21">
        <f>IF(MonthlyFAME!G543=0,"",MonthlyFAME!G543)</f>
        <v>27784</v>
      </c>
      <c r="G541" s="21">
        <f>IF(MonthlyFAME!H543=0,"",MonthlyFAME!H543)</f>
        <v>4.6826431364684646</v>
      </c>
      <c r="H541" s="21">
        <f>IF(MonthlyFAME!I543=0,"",MonthlyFAME!I543)</f>
        <v>28518</v>
      </c>
      <c r="I541" s="21">
        <f>IF(MonthlyFAME!J543=0,"",MonthlyFAME!J543)</f>
        <v>911.9</v>
      </c>
      <c r="J541" s="21">
        <f>IF(MonthlyFAME!K543=0,"",MonthlyFAME!K543)</f>
        <v>654</v>
      </c>
      <c r="K541" s="21">
        <f>IF(MonthlyFAME!L543=0,"",MonthlyFAME!L543)</f>
        <v>369.29898660672501</v>
      </c>
      <c r="L541" s="21">
        <f>IF(MonthlyFAME!M543=0,"",MonthlyFAME!M543)</f>
        <v>832.9</v>
      </c>
      <c r="M541" s="21" t="str">
        <f>IF(MonthlyFAME!N543=0,"",MonthlyFAME!N543)</f>
        <v/>
      </c>
      <c r="N541" s="21" t="str">
        <f>IF(MonthlyFAME!O543=0,"",MonthlyFAME!O543)</f>
        <v/>
      </c>
      <c r="O541" s="21" t="str">
        <f>IF(MonthlyFAME!P543=0,"",MonthlyFAME!P543)</f>
        <v/>
      </c>
      <c r="P541" s="21" t="str">
        <f>IF(MonthlyFAME!Q543=0,"",MonthlyFAME!Q543)</f>
        <v/>
      </c>
      <c r="Q541" s="21" t="str">
        <f>IF(MonthlyFAME!R543=0,"",MonthlyFAME!R543)</f>
        <v/>
      </c>
      <c r="R541" s="21" t="str">
        <f>IF(MonthlyFAME!S543=0,"",MonthlyFAME!S543)</f>
        <v/>
      </c>
      <c r="S541" s="21" t="str">
        <f>IF(MonthlyFAME!T543=0,"",MonthlyFAME!T543)</f>
        <v/>
      </c>
      <c r="T541" s="21">
        <f>IF(MonthlyFAME!U543=0,"",MonthlyFAME!U543)</f>
        <v>43.278181818181821</v>
      </c>
    </row>
    <row r="542" spans="1:20" x14ac:dyDescent="0.2">
      <c r="A542" s="23">
        <f>IF(MonthlyFAME!A544=0,"",MonthlyFAME!A544)</f>
        <v>38291</v>
      </c>
      <c r="B542" s="21">
        <f>IF(MonthlyFAME!B544=0,"",MonthlyFAME!B544)</f>
        <v>79.7</v>
      </c>
      <c r="C542" s="21">
        <f>IF(MonthlyFAME!C544=0,"",MonthlyFAME!C544)</f>
        <v>99.5</v>
      </c>
      <c r="D542" s="21">
        <f>IF(MonthlyFAME!D544=0,"",MonthlyFAME!D544)</f>
        <v>75.289699999999996</v>
      </c>
      <c r="E542" s="21">
        <f>IF(MonthlyFAME!F544=0,"",MonthlyFAME!F544)</f>
        <v>22342</v>
      </c>
      <c r="F542" s="21">
        <f>IF(MonthlyFAME!G544=0,"",MonthlyFAME!G544)</f>
        <v>28300</v>
      </c>
      <c r="G542" s="21">
        <f>IF(MonthlyFAME!H544=0,"",MonthlyFAME!H544)</f>
        <v>4.6658428242209675</v>
      </c>
      <c r="H542" s="21">
        <f>IF(MonthlyFAME!I544=0,"",MonthlyFAME!I544)</f>
        <v>28544</v>
      </c>
      <c r="I542" s="21">
        <f>IF(MonthlyFAME!J544=0,"",MonthlyFAME!J544)</f>
        <v>916</v>
      </c>
      <c r="J542" s="21">
        <f>IF(MonthlyFAME!K544=0,"",MonthlyFAME!K544)</f>
        <v>654</v>
      </c>
      <c r="K542" s="21">
        <f>IF(MonthlyFAME!L544=0,"",MonthlyFAME!L544)</f>
        <v>371.63648077618598</v>
      </c>
      <c r="L542" s="21">
        <f>IF(MonthlyFAME!M544=0,"",MonthlyFAME!M544)</f>
        <v>831.5</v>
      </c>
      <c r="M542" s="21" t="str">
        <f>IF(MonthlyFAME!N544=0,"",MonthlyFAME!N544)</f>
        <v/>
      </c>
      <c r="N542" s="21" t="str">
        <f>IF(MonthlyFAME!O544=0,"",MonthlyFAME!O544)</f>
        <v/>
      </c>
      <c r="O542" s="21" t="str">
        <f>IF(MonthlyFAME!P544=0,"",MonthlyFAME!P544)</f>
        <v/>
      </c>
      <c r="P542" s="21" t="str">
        <f>IF(MonthlyFAME!Q544=0,"",MonthlyFAME!Q544)</f>
        <v/>
      </c>
      <c r="Q542" s="21" t="str">
        <f>IF(MonthlyFAME!R544=0,"",MonthlyFAME!R544)</f>
        <v/>
      </c>
      <c r="R542" s="21" t="str">
        <f>IF(MonthlyFAME!S544=0,"",MonthlyFAME!S544)</f>
        <v/>
      </c>
      <c r="S542" s="21" t="str">
        <f>IF(MonthlyFAME!T544=0,"",MonthlyFAME!T544)</f>
        <v/>
      </c>
      <c r="T542" s="21">
        <f>IF(MonthlyFAME!U544=0,"",MonthlyFAME!U544)</f>
        <v>49.658095238095243</v>
      </c>
    </row>
    <row r="543" spans="1:20" x14ac:dyDescent="0.2">
      <c r="A543" s="23">
        <f>IF(MonthlyFAME!A545=0,"",MonthlyFAME!A545)</f>
        <v>38321</v>
      </c>
      <c r="B543" s="21">
        <f>IF(MonthlyFAME!B545=0,"",MonthlyFAME!B545)</f>
        <v>79.8</v>
      </c>
      <c r="C543" s="21">
        <f>IF(MonthlyFAME!C545=0,"",MonthlyFAME!C545)</f>
        <v>100.2</v>
      </c>
      <c r="D543" s="21">
        <f>IF(MonthlyFAME!D545=0,"",MonthlyFAME!D545)</f>
        <v>75.358400000000003</v>
      </c>
      <c r="E543" s="21">
        <f>IF(MonthlyFAME!F545=0,"",MonthlyFAME!F545)</f>
        <v>23045</v>
      </c>
      <c r="F543" s="21">
        <f>IF(MonthlyFAME!G545=0,"",MonthlyFAME!G545)</f>
        <v>28250</v>
      </c>
      <c r="G543" s="21">
        <f>IF(MonthlyFAME!H545=0,"",MonthlyFAME!H545)</f>
        <v>4.6846906838915894</v>
      </c>
      <c r="H543" s="21">
        <f>IF(MonthlyFAME!I545=0,"",MonthlyFAME!I545)</f>
        <v>28627</v>
      </c>
      <c r="I543" s="21">
        <f>IF(MonthlyFAME!J545=0,"",MonthlyFAME!J545)</f>
        <v>919.3</v>
      </c>
      <c r="J543" s="21">
        <f>IF(MonthlyFAME!K545=0,"",MonthlyFAME!K545)</f>
        <v>658</v>
      </c>
      <c r="K543" s="21">
        <f>IF(MonthlyFAME!L545=0,"",MonthlyFAME!L545)</f>
        <v>372.00604265607097</v>
      </c>
      <c r="L543" s="21">
        <f>IF(MonthlyFAME!M545=0,"",MonthlyFAME!M545)</f>
        <v>829.5</v>
      </c>
      <c r="M543" s="21" t="str">
        <f>IF(MonthlyFAME!N545=0,"",MonthlyFAME!N545)</f>
        <v/>
      </c>
      <c r="N543" s="21" t="str">
        <f>IF(MonthlyFAME!O545=0,"",MonthlyFAME!O545)</f>
        <v/>
      </c>
      <c r="O543" s="21" t="str">
        <f>IF(MonthlyFAME!P545=0,"",MonthlyFAME!P545)</f>
        <v/>
      </c>
      <c r="P543" s="21" t="str">
        <f>IF(MonthlyFAME!Q545=0,"",MonthlyFAME!Q545)</f>
        <v/>
      </c>
      <c r="Q543" s="21" t="str">
        <f>IF(MonthlyFAME!R545=0,"",MonthlyFAME!R545)</f>
        <v/>
      </c>
      <c r="R543" s="21" t="str">
        <f>IF(MonthlyFAME!S545=0,"",MonthlyFAME!S545)</f>
        <v/>
      </c>
      <c r="S543" s="21" t="str">
        <f>IF(MonthlyFAME!T545=0,"",MonthlyFAME!T545)</f>
        <v/>
      </c>
      <c r="T543" s="21">
        <f>IF(MonthlyFAME!U545=0,"",MonthlyFAME!U545)</f>
        <v>42.933636363636367</v>
      </c>
    </row>
    <row r="544" spans="1:20" x14ac:dyDescent="0.2">
      <c r="A544" s="23">
        <f>IF(MonthlyFAME!A546=0,"",MonthlyFAME!A546)</f>
        <v>38352</v>
      </c>
      <c r="B544" s="21">
        <f>IF(MonthlyFAME!B546=0,"",MonthlyFAME!B546)</f>
        <v>79.900000000000006</v>
      </c>
      <c r="C544" s="21">
        <f>IF(MonthlyFAME!C546=0,"",MonthlyFAME!C546)</f>
        <v>99.7</v>
      </c>
      <c r="D544" s="21">
        <f>IF(MonthlyFAME!D546=0,"",MonthlyFAME!D546)</f>
        <v>75.456299999999999</v>
      </c>
      <c r="E544" s="21">
        <f>IF(MonthlyFAME!F546=0,"",MonthlyFAME!F546)</f>
        <v>24143</v>
      </c>
      <c r="F544" s="21">
        <f>IF(MonthlyFAME!G546=0,"",MonthlyFAME!G546)</f>
        <v>28981</v>
      </c>
      <c r="G544" s="21">
        <f>IF(MonthlyFAME!H546=0,"",MonthlyFAME!H546)</f>
        <v>4.7282030834662416</v>
      </c>
      <c r="H544" s="21">
        <f>IF(MonthlyFAME!I546=0,"",MonthlyFAME!I546)</f>
        <v>28673</v>
      </c>
      <c r="I544" s="21">
        <f>IF(MonthlyFAME!J546=0,"",MonthlyFAME!J546)</f>
        <v>923</v>
      </c>
      <c r="J544" s="21">
        <f>IF(MonthlyFAME!K546=0,"",MonthlyFAME!K546)</f>
        <v>662</v>
      </c>
      <c r="K544" s="21">
        <f>IF(MonthlyFAME!L546=0,"",MonthlyFAME!L546)</f>
        <v>372.99633414557599</v>
      </c>
      <c r="L544" s="21">
        <f>IF(MonthlyFAME!M546=0,"",MonthlyFAME!M546)</f>
        <v>826.1</v>
      </c>
      <c r="M544" s="21" t="str">
        <f>IF(MonthlyFAME!N546=0,"",MonthlyFAME!N546)</f>
        <v/>
      </c>
      <c r="N544" s="21" t="str">
        <f>IF(MonthlyFAME!O546=0,"",MonthlyFAME!O546)</f>
        <v/>
      </c>
      <c r="O544" s="21" t="str">
        <f>IF(MonthlyFAME!P546=0,"",MonthlyFAME!P546)</f>
        <v/>
      </c>
      <c r="P544" s="21" t="str">
        <f>IF(MonthlyFAME!Q546=0,"",MonthlyFAME!Q546)</f>
        <v/>
      </c>
      <c r="Q544" s="21" t="str">
        <f>IF(MonthlyFAME!R546=0,"",MonthlyFAME!R546)</f>
        <v/>
      </c>
      <c r="R544" s="21" t="str">
        <f>IF(MonthlyFAME!S546=0,"",MonthlyFAME!S546)</f>
        <v/>
      </c>
      <c r="S544" s="21" t="str">
        <f>IF(MonthlyFAME!T546=0,"",MonthlyFAME!T546)</f>
        <v/>
      </c>
      <c r="T544" s="21">
        <f>IF(MonthlyFAME!U546=0,"",MonthlyFAME!U546)</f>
        <v>39.900869565217391</v>
      </c>
    </row>
    <row r="545" spans="1:20" x14ac:dyDescent="0.2">
      <c r="A545" s="23">
        <f>IF(MonthlyFAME!A547=0,"",MonthlyFAME!A547)</f>
        <v>38383</v>
      </c>
      <c r="B545" s="21">
        <f>IF(MonthlyFAME!B547=0,"",MonthlyFAME!B547)</f>
        <v>80.599999999999994</v>
      </c>
      <c r="C545" s="21">
        <f>IF(MonthlyFAME!C547=0,"",MonthlyFAME!C547)</f>
        <v>100.3</v>
      </c>
      <c r="D545" s="21">
        <f>IF(MonthlyFAME!D547=0,"",MonthlyFAME!D547)</f>
        <v>76.104200000000006</v>
      </c>
      <c r="E545" s="21">
        <f>IF(MonthlyFAME!F547=0,"",MonthlyFAME!F547)</f>
        <v>22362</v>
      </c>
      <c r="F545" s="21">
        <f>IF(MonthlyFAME!G547=0,"",MonthlyFAME!G547)</f>
        <v>28217</v>
      </c>
      <c r="G545" s="21">
        <f>IF(MonthlyFAME!H547=0,"",MonthlyFAME!H547)</f>
        <v>4.7262114026068787</v>
      </c>
      <c r="H545" s="21">
        <f>IF(MonthlyFAME!I547=0,"",MonthlyFAME!I547)</f>
        <v>28726</v>
      </c>
      <c r="I545" s="21">
        <f>IF(MonthlyFAME!J547=0,"",MonthlyFAME!J547)</f>
        <v>924.2</v>
      </c>
      <c r="J545" s="21">
        <f>IF(MonthlyFAME!K547=0,"",MonthlyFAME!K547)</f>
        <v>661</v>
      </c>
      <c r="K545" s="21">
        <f>IF(MonthlyFAME!L547=0,"",MonthlyFAME!L547)</f>
        <v>379.10094782412898</v>
      </c>
      <c r="L545" s="21">
        <f>IF(MonthlyFAME!M547=0,"",MonthlyFAME!M547)</f>
        <v>823.7</v>
      </c>
      <c r="M545" s="21" t="str">
        <f>IF(MonthlyFAME!N547=0,"",MonthlyFAME!N547)</f>
        <v/>
      </c>
      <c r="N545" s="21" t="str">
        <f>IF(MonthlyFAME!O547=0,"",MonthlyFAME!O547)</f>
        <v/>
      </c>
      <c r="O545" s="21" t="str">
        <f>IF(MonthlyFAME!P547=0,"",MonthlyFAME!P547)</f>
        <v/>
      </c>
      <c r="P545" s="21" t="str">
        <f>IF(MonthlyFAME!Q547=0,"",MonthlyFAME!Q547)</f>
        <v/>
      </c>
      <c r="Q545" s="21" t="str">
        <f>IF(MonthlyFAME!R547=0,"",MonthlyFAME!R547)</f>
        <v/>
      </c>
      <c r="R545" s="21" t="str">
        <f>IF(MonthlyFAME!S547=0,"",MonthlyFAME!S547)</f>
        <v/>
      </c>
      <c r="S545" s="21" t="str">
        <f>IF(MonthlyFAME!T547=0,"",MonthlyFAME!T547)</f>
        <v/>
      </c>
      <c r="T545" s="21">
        <f>IF(MonthlyFAME!U547=0,"",MonthlyFAME!U547)</f>
        <v>44.236190476190487</v>
      </c>
    </row>
    <row r="546" spans="1:20" x14ac:dyDescent="0.2">
      <c r="A546" s="23">
        <f>IF(MonthlyFAME!A548=0,"",MonthlyFAME!A548)</f>
        <v>38411</v>
      </c>
      <c r="B546" s="21">
        <f>IF(MonthlyFAME!B548=0,"",MonthlyFAME!B548)</f>
        <v>80.599999999999994</v>
      </c>
      <c r="C546" s="21">
        <f>IF(MonthlyFAME!C548=0,"",MonthlyFAME!C548)</f>
        <v>99.9</v>
      </c>
      <c r="D546" s="21">
        <f>IF(MonthlyFAME!D548=0,"",MonthlyFAME!D548)</f>
        <v>76.048299999999998</v>
      </c>
      <c r="E546" s="21">
        <f>IF(MonthlyFAME!F548=0,"",MonthlyFAME!F548)</f>
        <v>22106</v>
      </c>
      <c r="F546" s="21">
        <f>IF(MonthlyFAME!G548=0,"",MonthlyFAME!G548)</f>
        <v>27519</v>
      </c>
      <c r="G546" s="21">
        <f>IF(MonthlyFAME!H548=0,"",MonthlyFAME!H548)</f>
        <v>4.7848946794087501</v>
      </c>
      <c r="H546" s="21">
        <f>IF(MonthlyFAME!I548=0,"",MonthlyFAME!I548)</f>
        <v>28794</v>
      </c>
      <c r="I546" s="21">
        <f>IF(MonthlyFAME!J548=0,"",MonthlyFAME!J548)</f>
        <v>926.4</v>
      </c>
      <c r="J546" s="21">
        <f>IF(MonthlyFAME!K548=0,"",MonthlyFAME!K548)</f>
        <v>655</v>
      </c>
      <c r="K546" s="21">
        <f>IF(MonthlyFAME!L548=0,"",MonthlyFAME!L548)</f>
        <v>370.85010893262</v>
      </c>
      <c r="L546" s="21">
        <f>IF(MonthlyFAME!M548=0,"",MonthlyFAME!M548)</f>
        <v>821.7</v>
      </c>
      <c r="M546" s="21" t="str">
        <f>IF(MonthlyFAME!N548=0,"",MonthlyFAME!N548)</f>
        <v/>
      </c>
      <c r="N546" s="21" t="str">
        <f>IF(MonthlyFAME!O548=0,"",MonthlyFAME!O548)</f>
        <v/>
      </c>
      <c r="O546" s="21" t="str">
        <f>IF(MonthlyFAME!P548=0,"",MonthlyFAME!P548)</f>
        <v/>
      </c>
      <c r="P546" s="21" t="str">
        <f>IF(MonthlyFAME!Q548=0,"",MonthlyFAME!Q548)</f>
        <v/>
      </c>
      <c r="Q546" s="21" t="str">
        <f>IF(MonthlyFAME!R548=0,"",MonthlyFAME!R548)</f>
        <v/>
      </c>
      <c r="R546" s="21" t="str">
        <f>IF(MonthlyFAME!S548=0,"",MonthlyFAME!S548)</f>
        <v/>
      </c>
      <c r="S546" s="21" t="str">
        <f>IF(MonthlyFAME!T548=0,"",MonthlyFAME!T548)</f>
        <v/>
      </c>
      <c r="T546" s="21">
        <f>IF(MonthlyFAME!U548=0,"",MonthlyFAME!U548)</f>
        <v>45.397499999999994</v>
      </c>
    </row>
    <row r="547" spans="1:20" x14ac:dyDescent="0.2">
      <c r="A547" s="23">
        <f>IF(MonthlyFAME!A549=0,"",MonthlyFAME!A549)</f>
        <v>38442</v>
      </c>
      <c r="B547" s="21">
        <f>IF(MonthlyFAME!B549=0,"",MonthlyFAME!B549)</f>
        <v>80.3</v>
      </c>
      <c r="C547" s="21">
        <f>IF(MonthlyFAME!C549=0,"",MonthlyFAME!C549)</f>
        <v>98.3</v>
      </c>
      <c r="D547" s="21">
        <f>IF(MonthlyFAME!D549=0,"",MonthlyFAME!D549)</f>
        <v>75.951400000000007</v>
      </c>
      <c r="E547" s="21">
        <f>IF(MonthlyFAME!F549=0,"",MonthlyFAME!F549)</f>
        <v>22718</v>
      </c>
      <c r="F547" s="21">
        <f>IF(MonthlyFAME!G549=0,"",MonthlyFAME!G549)</f>
        <v>28904</v>
      </c>
      <c r="G547" s="21">
        <f>IF(MonthlyFAME!H549=0,"",MonthlyFAME!H549)</f>
        <v>4.6879655686144677</v>
      </c>
      <c r="H547" s="21">
        <f>IF(MonthlyFAME!I549=0,"",MonthlyFAME!I549)</f>
        <v>28789</v>
      </c>
      <c r="I547" s="21">
        <f>IF(MonthlyFAME!J549=0,"",MonthlyFAME!J549)</f>
        <v>923.8</v>
      </c>
      <c r="J547" s="21">
        <f>IF(MonthlyFAME!K549=0,"",MonthlyFAME!K549)</f>
        <v>642</v>
      </c>
      <c r="K547" s="21">
        <f>IF(MonthlyFAME!L549=0,"",MonthlyFAME!L549)</f>
        <v>375.90823693098997</v>
      </c>
      <c r="L547" s="21">
        <f>IF(MonthlyFAME!M549=0,"",MonthlyFAME!M549)</f>
        <v>830.1</v>
      </c>
      <c r="M547" s="21" t="str">
        <f>IF(MonthlyFAME!N549=0,"",MonthlyFAME!N549)</f>
        <v/>
      </c>
      <c r="N547" s="21" t="str">
        <f>IF(MonthlyFAME!O549=0,"",MonthlyFAME!O549)</f>
        <v/>
      </c>
      <c r="O547" s="21" t="str">
        <f>IF(MonthlyFAME!P549=0,"",MonthlyFAME!P549)</f>
        <v/>
      </c>
      <c r="P547" s="21" t="str">
        <f>IF(MonthlyFAME!Q549=0,"",MonthlyFAME!Q549)</f>
        <v/>
      </c>
      <c r="Q547" s="21" t="str">
        <f>IF(MonthlyFAME!R549=0,"",MonthlyFAME!R549)</f>
        <v/>
      </c>
      <c r="R547" s="21" t="str">
        <f>IF(MonthlyFAME!S549=0,"",MonthlyFAME!S549)</f>
        <v/>
      </c>
      <c r="S547" s="21" t="str">
        <f>IF(MonthlyFAME!T549=0,"",MonthlyFAME!T549)</f>
        <v/>
      </c>
      <c r="T547" s="21">
        <f>IF(MonthlyFAME!U549=0,"",MonthlyFAME!U549)</f>
        <v>52.953478260869581</v>
      </c>
    </row>
    <row r="548" spans="1:20" x14ac:dyDescent="0.2">
      <c r="A548" s="23">
        <f>IF(MonthlyFAME!A550=0,"",MonthlyFAME!A550)</f>
        <v>38472</v>
      </c>
      <c r="B548" s="21">
        <f>IF(MonthlyFAME!B550=0,"",MonthlyFAME!B550)</f>
        <v>81.3</v>
      </c>
      <c r="C548" s="21">
        <f>IF(MonthlyFAME!C550=0,"",MonthlyFAME!C550)</f>
        <v>100.9</v>
      </c>
      <c r="D548" s="21">
        <f>IF(MonthlyFAME!D550=0,"",MonthlyFAME!D550)</f>
        <v>76.704499999999996</v>
      </c>
      <c r="E548" s="21">
        <f>IF(MonthlyFAME!F550=0,"",MonthlyFAME!F550)</f>
        <v>23899</v>
      </c>
      <c r="F548" s="21">
        <f>IF(MonthlyFAME!G550=0,"",MonthlyFAME!G550)</f>
        <v>29938</v>
      </c>
      <c r="G548" s="21">
        <f>IF(MonthlyFAME!H550=0,"",MonthlyFAME!H550)</f>
        <v>4.7052586235461744</v>
      </c>
      <c r="H548" s="21">
        <f>IF(MonthlyFAME!I550=0,"",MonthlyFAME!I550)</f>
        <v>28759</v>
      </c>
      <c r="I548" s="21">
        <f>IF(MonthlyFAME!J550=0,"",MonthlyFAME!J550)</f>
        <v>923.6</v>
      </c>
      <c r="J548" s="21">
        <f>IF(MonthlyFAME!K550=0,"",MonthlyFAME!K550)</f>
        <v>638</v>
      </c>
      <c r="K548" s="21">
        <f>IF(MonthlyFAME!L550=0,"",MonthlyFAME!L550)</f>
        <v>378.55975062123503</v>
      </c>
      <c r="L548" s="21">
        <f>IF(MonthlyFAME!M550=0,"",MonthlyFAME!M550)</f>
        <v>840.3</v>
      </c>
      <c r="M548" s="21" t="str">
        <f>IF(MonthlyFAME!N550=0,"",MonthlyFAME!N550)</f>
        <v/>
      </c>
      <c r="N548" s="21" t="str">
        <f>IF(MonthlyFAME!O550=0,"",MonthlyFAME!O550)</f>
        <v/>
      </c>
      <c r="O548" s="21" t="str">
        <f>IF(MonthlyFAME!P550=0,"",MonthlyFAME!P550)</f>
        <v/>
      </c>
      <c r="P548" s="21" t="str">
        <f>IF(MonthlyFAME!Q550=0,"",MonthlyFAME!Q550)</f>
        <v/>
      </c>
      <c r="Q548" s="21" t="str">
        <f>IF(MonthlyFAME!R550=0,"",MonthlyFAME!R550)</f>
        <v/>
      </c>
      <c r="R548" s="21" t="str">
        <f>IF(MonthlyFAME!S550=0,"",MonthlyFAME!S550)</f>
        <v/>
      </c>
      <c r="S548" s="21" t="str">
        <f>IF(MonthlyFAME!T550=0,"",MonthlyFAME!T550)</f>
        <v/>
      </c>
      <c r="T548" s="21">
        <f>IF(MonthlyFAME!U550=0,"",MonthlyFAME!U550)</f>
        <v>51.830952380952375</v>
      </c>
    </row>
    <row r="549" spans="1:20" x14ac:dyDescent="0.2">
      <c r="A549" s="23">
        <f>IF(MonthlyFAME!A551=0,"",MonthlyFAME!A551)</f>
        <v>38503</v>
      </c>
      <c r="B549" s="21">
        <f>IF(MonthlyFAME!B551=0,"",MonthlyFAME!B551)</f>
        <v>81</v>
      </c>
      <c r="C549" s="21">
        <f>IF(MonthlyFAME!C551=0,"",MonthlyFAME!C551)</f>
        <v>100.3</v>
      </c>
      <c r="D549" s="21">
        <f>IF(MonthlyFAME!D551=0,"",MonthlyFAME!D551)</f>
        <v>76.447400000000002</v>
      </c>
      <c r="E549" s="21">
        <f>IF(MonthlyFAME!F551=0,"",MonthlyFAME!F551)</f>
        <v>23542</v>
      </c>
      <c r="F549" s="21">
        <f>IF(MonthlyFAME!G551=0,"",MonthlyFAME!G551)</f>
        <v>29129</v>
      </c>
      <c r="G549" s="21">
        <f>IF(MonthlyFAME!H551=0,"",MonthlyFAME!H551)</f>
        <v>4.7524490336245702</v>
      </c>
      <c r="H549" s="21">
        <f>IF(MonthlyFAME!I551=0,"",MonthlyFAME!I551)</f>
        <v>28780</v>
      </c>
      <c r="I549" s="21">
        <f>IF(MonthlyFAME!J551=0,"",MonthlyFAME!J551)</f>
        <v>923</v>
      </c>
      <c r="J549" s="21">
        <f>IF(MonthlyFAME!K551=0,"",MonthlyFAME!K551)</f>
        <v>642</v>
      </c>
      <c r="K549" s="21">
        <f>IF(MonthlyFAME!L551=0,"",MonthlyFAME!L551)</f>
        <v>379.53916656437099</v>
      </c>
      <c r="L549" s="21">
        <f>IF(MonthlyFAME!M551=0,"",MonthlyFAME!M551)</f>
        <v>854.1</v>
      </c>
      <c r="M549" s="21" t="str">
        <f>IF(MonthlyFAME!N551=0,"",MonthlyFAME!N551)</f>
        <v/>
      </c>
      <c r="N549" s="21" t="str">
        <f>IF(MonthlyFAME!O551=0,"",MonthlyFAME!O551)</f>
        <v/>
      </c>
      <c r="O549" s="21" t="str">
        <f>IF(MonthlyFAME!P551=0,"",MonthlyFAME!P551)</f>
        <v/>
      </c>
      <c r="P549" s="21" t="str">
        <f>IF(MonthlyFAME!Q551=0,"",MonthlyFAME!Q551)</f>
        <v/>
      </c>
      <c r="Q549" s="21" t="str">
        <f>IF(MonthlyFAME!R551=0,"",MonthlyFAME!R551)</f>
        <v/>
      </c>
      <c r="R549" s="21" t="str">
        <f>IF(MonthlyFAME!S551=0,"",MonthlyFAME!S551)</f>
        <v/>
      </c>
      <c r="S549" s="21" t="str">
        <f>IF(MonthlyFAME!T551=0,"",MonthlyFAME!T551)</f>
        <v/>
      </c>
      <c r="T549" s="21">
        <f>IF(MonthlyFAME!U551=0,"",MonthlyFAME!U551)</f>
        <v>48.665909090909082</v>
      </c>
    </row>
    <row r="550" spans="1:20" x14ac:dyDescent="0.2">
      <c r="A550" s="23">
        <f>IF(MonthlyFAME!A552=0,"",MonthlyFAME!A552)</f>
        <v>38533</v>
      </c>
      <c r="B550" s="21">
        <f>IF(MonthlyFAME!B552=0,"",MonthlyFAME!B552)</f>
        <v>81.5</v>
      </c>
      <c r="C550" s="21">
        <f>IF(MonthlyFAME!C552=0,"",MonthlyFAME!C552)</f>
        <v>101.1</v>
      </c>
      <c r="D550" s="21">
        <f>IF(MonthlyFAME!D552=0,"",MonthlyFAME!D552)</f>
        <v>76.969200000000001</v>
      </c>
      <c r="E550" s="21">
        <f>IF(MonthlyFAME!F552=0,"",MonthlyFAME!F552)</f>
        <v>24990</v>
      </c>
      <c r="F550" s="21">
        <f>IF(MonthlyFAME!G552=0,"",MonthlyFAME!G552)</f>
        <v>29691</v>
      </c>
      <c r="G550" s="21">
        <f>IF(MonthlyFAME!H552=0,"",MonthlyFAME!H552)</f>
        <v>4.752141274513046</v>
      </c>
      <c r="H550" s="21">
        <f>IF(MonthlyFAME!I552=0,"",MonthlyFAME!I552)</f>
        <v>28802</v>
      </c>
      <c r="I550" s="21">
        <f>IF(MonthlyFAME!J552=0,"",MonthlyFAME!J552)</f>
        <v>922.9</v>
      </c>
      <c r="J550" s="21">
        <f>IF(MonthlyFAME!K552=0,"",MonthlyFAME!K552)</f>
        <v>642</v>
      </c>
      <c r="K550" s="21">
        <f>IF(MonthlyFAME!L552=0,"",MonthlyFAME!L552)</f>
        <v>379.73290552237103</v>
      </c>
      <c r="L550" s="21">
        <f>IF(MonthlyFAME!M552=0,"",MonthlyFAME!M552)</f>
        <v>863.2</v>
      </c>
      <c r="M550" s="21" t="str">
        <f>IF(MonthlyFAME!N552=0,"",MonthlyFAME!N552)</f>
        <v/>
      </c>
      <c r="N550" s="21" t="str">
        <f>IF(MonthlyFAME!O552=0,"",MonthlyFAME!O552)</f>
        <v/>
      </c>
      <c r="O550" s="21" t="str">
        <f>IF(MonthlyFAME!P552=0,"",MonthlyFAME!P552)</f>
        <v/>
      </c>
      <c r="P550" s="21" t="str">
        <f>IF(MonthlyFAME!Q552=0,"",MonthlyFAME!Q552)</f>
        <v/>
      </c>
      <c r="Q550" s="21" t="str">
        <f>IF(MonthlyFAME!R552=0,"",MonthlyFAME!R552)</f>
        <v/>
      </c>
      <c r="R550" s="21" t="str">
        <f>IF(MonthlyFAME!S552=0,"",MonthlyFAME!S552)</f>
        <v/>
      </c>
      <c r="S550" s="21" t="str">
        <f>IF(MonthlyFAME!T552=0,"",MonthlyFAME!T552)</f>
        <v/>
      </c>
      <c r="T550" s="21">
        <f>IF(MonthlyFAME!U552=0,"",MonthlyFAME!U552)</f>
        <v>54.44681818181818</v>
      </c>
    </row>
    <row r="551" spans="1:20" x14ac:dyDescent="0.2">
      <c r="A551" s="23">
        <f>IF(MonthlyFAME!A553=0,"",MonthlyFAME!A553)</f>
        <v>38564</v>
      </c>
      <c r="B551" s="21">
        <f>IF(MonthlyFAME!B553=0,"",MonthlyFAME!B553)</f>
        <v>81.8</v>
      </c>
      <c r="C551" s="21">
        <f>IF(MonthlyFAME!C553=0,"",MonthlyFAME!C553)</f>
        <v>99.9</v>
      </c>
      <c r="D551" s="21">
        <f>IF(MonthlyFAME!D553=0,"",MonthlyFAME!D553)</f>
        <v>77.670500000000004</v>
      </c>
      <c r="E551" s="21">
        <f>IF(MonthlyFAME!F553=0,"",MonthlyFAME!F553)</f>
        <v>24073</v>
      </c>
      <c r="F551" s="21">
        <f>IF(MonthlyFAME!G553=0,"",MonthlyFAME!G553)</f>
        <v>29707</v>
      </c>
      <c r="G551" s="21">
        <f>IF(MonthlyFAME!H553=0,"",MonthlyFAME!H553)</f>
        <v>4.7029294230324643</v>
      </c>
      <c r="H551" s="21">
        <f>IF(MonthlyFAME!I553=0,"",MonthlyFAME!I553)</f>
        <v>28855</v>
      </c>
      <c r="I551" s="21">
        <f>IF(MonthlyFAME!J553=0,"",MonthlyFAME!J553)</f>
        <v>925.1</v>
      </c>
      <c r="J551" s="21">
        <f>IF(MonthlyFAME!K553=0,"",MonthlyFAME!K553)</f>
        <v>633</v>
      </c>
      <c r="K551" s="21">
        <f>IF(MonthlyFAME!L553=0,"",MonthlyFAME!L553)</f>
        <v>382.69394809840202</v>
      </c>
      <c r="L551" s="21">
        <f>IF(MonthlyFAME!M553=0,"",MonthlyFAME!M553)</f>
        <v>866.7</v>
      </c>
      <c r="M551" s="21" t="str">
        <f>IF(MonthlyFAME!N553=0,"",MonthlyFAME!N553)</f>
        <v/>
      </c>
      <c r="N551" s="21" t="str">
        <f>IF(MonthlyFAME!O553=0,"",MonthlyFAME!O553)</f>
        <v/>
      </c>
      <c r="O551" s="21" t="str">
        <f>IF(MonthlyFAME!P553=0,"",MonthlyFAME!P553)</f>
        <v/>
      </c>
      <c r="P551" s="21" t="str">
        <f>IF(MonthlyFAME!Q553=0,"",MonthlyFAME!Q553)</f>
        <v/>
      </c>
      <c r="Q551" s="21" t="str">
        <f>IF(MonthlyFAME!R553=0,"",MonthlyFAME!R553)</f>
        <v/>
      </c>
      <c r="R551" s="21" t="str">
        <f>IF(MonthlyFAME!S553=0,"",MonthlyFAME!S553)</f>
        <v/>
      </c>
      <c r="S551" s="21" t="str">
        <f>IF(MonthlyFAME!T553=0,"",MonthlyFAME!T553)</f>
        <v/>
      </c>
      <c r="T551" s="21">
        <f>IF(MonthlyFAME!U553=0,"",MonthlyFAME!U553)</f>
        <v>57.589523809523804</v>
      </c>
    </row>
    <row r="552" spans="1:20" x14ac:dyDescent="0.2">
      <c r="A552" s="23">
        <f>IF(MonthlyFAME!A554=0,"",MonthlyFAME!A554)</f>
        <v>38595</v>
      </c>
      <c r="B552" s="21">
        <f>IF(MonthlyFAME!B554=0,"",MonthlyFAME!B554)</f>
        <v>81.8</v>
      </c>
      <c r="C552" s="21">
        <f>IF(MonthlyFAME!C554=0,"",MonthlyFAME!C554)</f>
        <v>99.1</v>
      </c>
      <c r="D552" s="21">
        <f>IF(MonthlyFAME!D554=0,"",MonthlyFAME!D554)</f>
        <v>77.793599999999998</v>
      </c>
      <c r="E552" s="21">
        <f>IF(MonthlyFAME!F554=0,"",MonthlyFAME!F554)</f>
        <v>24670</v>
      </c>
      <c r="F552" s="21">
        <f>IF(MonthlyFAME!G554=0,"",MonthlyFAME!G554)</f>
        <v>30499</v>
      </c>
      <c r="G552" s="21">
        <f>IF(MonthlyFAME!H554=0,"",MonthlyFAME!H554)</f>
        <v>4.6824507023676052</v>
      </c>
      <c r="H552" s="21">
        <f>IF(MonthlyFAME!I554=0,"",MonthlyFAME!I554)</f>
        <v>28906</v>
      </c>
      <c r="I552" s="21">
        <f>IF(MonthlyFAME!J554=0,"",MonthlyFAME!J554)</f>
        <v>924.8</v>
      </c>
      <c r="J552" s="21">
        <f>IF(MonthlyFAME!K554=0,"",MonthlyFAME!K554)</f>
        <v>624</v>
      </c>
      <c r="K552" s="21">
        <f>IF(MonthlyFAME!L554=0,"",MonthlyFAME!L554)</f>
        <v>386.14323668511099</v>
      </c>
      <c r="L552" s="21">
        <f>IF(MonthlyFAME!M554=0,"",MonthlyFAME!M554)</f>
        <v>868.2</v>
      </c>
      <c r="M552" s="21" t="str">
        <f>IF(MonthlyFAME!N554=0,"",MonthlyFAME!N554)</f>
        <v/>
      </c>
      <c r="N552" s="21" t="str">
        <f>IF(MonthlyFAME!O554=0,"",MonthlyFAME!O554)</f>
        <v/>
      </c>
      <c r="O552" s="21" t="str">
        <f>IF(MonthlyFAME!P554=0,"",MonthlyFAME!P554)</f>
        <v/>
      </c>
      <c r="P552" s="21" t="str">
        <f>IF(MonthlyFAME!Q554=0,"",MonthlyFAME!Q554)</f>
        <v/>
      </c>
      <c r="Q552" s="21" t="str">
        <f>IF(MonthlyFAME!R554=0,"",MonthlyFAME!R554)</f>
        <v/>
      </c>
      <c r="R552" s="21" t="str">
        <f>IF(MonthlyFAME!S554=0,"",MonthlyFAME!S554)</f>
        <v/>
      </c>
      <c r="S552" s="21" t="str">
        <f>IF(MonthlyFAME!T554=0,"",MonthlyFAME!T554)</f>
        <v/>
      </c>
      <c r="T552" s="21">
        <f>IF(MonthlyFAME!U554=0,"",MonthlyFAME!U554)</f>
        <v>64.075217391304349</v>
      </c>
    </row>
    <row r="553" spans="1:20" x14ac:dyDescent="0.2">
      <c r="A553" s="23">
        <f>IF(MonthlyFAME!A555=0,"",MonthlyFAME!A555)</f>
        <v>38625</v>
      </c>
      <c r="B553" s="21">
        <f>IF(MonthlyFAME!B555=0,"",MonthlyFAME!B555)</f>
        <v>82.3</v>
      </c>
      <c r="C553" s="21">
        <f>IF(MonthlyFAME!C555=0,"",MonthlyFAME!C555)</f>
        <v>100.5</v>
      </c>
      <c r="D553" s="21">
        <f>IF(MonthlyFAME!D555=0,"",MonthlyFAME!D555)</f>
        <v>78.126599999999996</v>
      </c>
      <c r="E553" s="21">
        <f>IF(MonthlyFAME!F555=0,"",MonthlyFAME!F555)</f>
        <v>25653</v>
      </c>
      <c r="F553" s="21">
        <f>IF(MonthlyFAME!G555=0,"",MonthlyFAME!G555)</f>
        <v>30714</v>
      </c>
      <c r="G553" s="21">
        <f>IF(MonthlyFAME!H555=0,"",MonthlyFAME!H555)</f>
        <v>4.7324221966079367</v>
      </c>
      <c r="H553" s="21">
        <f>IF(MonthlyFAME!I555=0,"",MonthlyFAME!I555)</f>
        <v>28928</v>
      </c>
      <c r="I553" s="21">
        <f>IF(MonthlyFAME!J555=0,"",MonthlyFAME!J555)</f>
        <v>929.5</v>
      </c>
      <c r="J553" s="21">
        <f>IF(MonthlyFAME!K555=0,"",MonthlyFAME!K555)</f>
        <v>622</v>
      </c>
      <c r="K553" s="21">
        <f>IF(MonthlyFAME!L555=0,"",MonthlyFAME!L555)</f>
        <v>387.27173100208699</v>
      </c>
      <c r="L553" s="21">
        <f>IF(MonthlyFAME!M555=0,"",MonthlyFAME!M555)</f>
        <v>876.1</v>
      </c>
      <c r="M553" s="21" t="str">
        <f>IF(MonthlyFAME!N555=0,"",MonthlyFAME!N555)</f>
        <v/>
      </c>
      <c r="N553" s="21" t="str">
        <f>IF(MonthlyFAME!O555=0,"",MonthlyFAME!O555)</f>
        <v/>
      </c>
      <c r="O553" s="21" t="str">
        <f>IF(MonthlyFAME!P555=0,"",MonthlyFAME!P555)</f>
        <v/>
      </c>
      <c r="P553" s="21" t="str">
        <f>IF(MonthlyFAME!Q555=0,"",MonthlyFAME!Q555)</f>
        <v/>
      </c>
      <c r="Q553" s="21" t="str">
        <f>IF(MonthlyFAME!R555=0,"",MonthlyFAME!R555)</f>
        <v/>
      </c>
      <c r="R553" s="21" t="str">
        <f>IF(MonthlyFAME!S555=0,"",MonthlyFAME!S555)</f>
        <v/>
      </c>
      <c r="S553" s="21" t="str">
        <f>IF(MonthlyFAME!T555=0,"",MonthlyFAME!T555)</f>
        <v/>
      </c>
      <c r="T553" s="21">
        <f>IF(MonthlyFAME!U555=0,"",MonthlyFAME!U555)</f>
        <v>62.907272727272741</v>
      </c>
    </row>
    <row r="554" spans="1:20" x14ac:dyDescent="0.2">
      <c r="A554" s="23">
        <f>IF(MonthlyFAME!A556=0,"",MonthlyFAME!A556)</f>
        <v>38656</v>
      </c>
      <c r="B554" s="21">
        <f>IF(MonthlyFAME!B556=0,"",MonthlyFAME!B556)</f>
        <v>82</v>
      </c>
      <c r="C554" s="21">
        <f>IF(MonthlyFAME!C556=0,"",MonthlyFAME!C556)</f>
        <v>99.5</v>
      </c>
      <c r="D554" s="21">
        <f>IF(MonthlyFAME!D556=0,"",MonthlyFAME!D556)</f>
        <v>78.011399999999995</v>
      </c>
      <c r="E554" s="21">
        <f>IF(MonthlyFAME!F556=0,"",MonthlyFAME!F556)</f>
        <v>25817</v>
      </c>
      <c r="F554" s="21">
        <f>IF(MonthlyFAME!G556=0,"",MonthlyFAME!G556)</f>
        <v>30400</v>
      </c>
      <c r="G554" s="21">
        <f>IF(MonthlyFAME!H556=0,"",MonthlyFAME!H556)</f>
        <v>4.9321014040048663</v>
      </c>
      <c r="H554" s="21">
        <f>IF(MonthlyFAME!I556=0,"",MonthlyFAME!I556)</f>
        <v>28913</v>
      </c>
      <c r="I554" s="21">
        <f>IF(MonthlyFAME!J556=0,"",MonthlyFAME!J556)</f>
        <v>928.3</v>
      </c>
      <c r="J554" s="21">
        <f>IF(MonthlyFAME!K556=0,"",MonthlyFAME!K556)</f>
        <v>608</v>
      </c>
      <c r="K554" s="21">
        <f>IF(MonthlyFAME!L556=0,"",MonthlyFAME!L556)</f>
        <v>387.77632178103499</v>
      </c>
      <c r="L554" s="21">
        <f>IF(MonthlyFAME!M556=0,"",MonthlyFAME!M556)</f>
        <v>888.2</v>
      </c>
      <c r="M554" s="21" t="str">
        <f>IF(MonthlyFAME!N556=0,"",MonthlyFAME!N556)</f>
        <v/>
      </c>
      <c r="N554" s="21" t="str">
        <f>IF(MonthlyFAME!O556=0,"",MonthlyFAME!O556)</f>
        <v/>
      </c>
      <c r="O554" s="21" t="str">
        <f>IF(MonthlyFAME!P556=0,"",MonthlyFAME!P556)</f>
        <v/>
      </c>
      <c r="P554" s="21" t="str">
        <f>IF(MonthlyFAME!Q556=0,"",MonthlyFAME!Q556)</f>
        <v/>
      </c>
      <c r="Q554" s="21" t="str">
        <f>IF(MonthlyFAME!R556=0,"",MonthlyFAME!R556)</f>
        <v/>
      </c>
      <c r="R554" s="21" t="str">
        <f>IF(MonthlyFAME!S556=0,"",MonthlyFAME!S556)</f>
        <v/>
      </c>
      <c r="S554" s="21" t="str">
        <f>IF(MonthlyFAME!T556=0,"",MonthlyFAME!T556)</f>
        <v/>
      </c>
      <c r="T554" s="21">
        <f>IF(MonthlyFAME!U556=0,"",MonthlyFAME!U556)</f>
        <v>58.626666666666679</v>
      </c>
    </row>
    <row r="555" spans="1:20" x14ac:dyDescent="0.2">
      <c r="A555" s="23">
        <f>IF(MonthlyFAME!A557=0,"",MonthlyFAME!A557)</f>
        <v>38686</v>
      </c>
      <c r="B555" s="21">
        <f>IF(MonthlyFAME!B557=0,"",MonthlyFAME!B557)</f>
        <v>82.9</v>
      </c>
      <c r="C555" s="21">
        <f>IF(MonthlyFAME!C557=0,"",MonthlyFAME!C557)</f>
        <v>100.8</v>
      </c>
      <c r="D555" s="21">
        <f>IF(MonthlyFAME!D557=0,"",MonthlyFAME!D557)</f>
        <v>78.804199999999994</v>
      </c>
      <c r="E555" s="21">
        <f>IF(MonthlyFAME!F557=0,"",MonthlyFAME!F557)</f>
        <v>25462</v>
      </c>
      <c r="F555" s="21">
        <f>IF(MonthlyFAME!G557=0,"",MonthlyFAME!G557)</f>
        <v>31076</v>
      </c>
      <c r="G555" s="21">
        <f>IF(MonthlyFAME!H557=0,"",MonthlyFAME!H557)</f>
        <v>5.0562167137878884</v>
      </c>
      <c r="H555" s="21">
        <f>IF(MonthlyFAME!I557=0,"",MonthlyFAME!I557)</f>
        <v>28880</v>
      </c>
      <c r="I555" s="21">
        <f>IF(MonthlyFAME!J557=0,"",MonthlyFAME!J557)</f>
        <v>928.4</v>
      </c>
      <c r="J555" s="21">
        <f>IF(MonthlyFAME!K557=0,"",MonthlyFAME!K557)</f>
        <v>606</v>
      </c>
      <c r="K555" s="21">
        <f>IF(MonthlyFAME!L557=0,"",MonthlyFAME!L557)</f>
        <v>389.77780603270401</v>
      </c>
      <c r="L555" s="21">
        <f>IF(MonthlyFAME!M557=0,"",MonthlyFAME!M557)</f>
        <v>900.9</v>
      </c>
      <c r="M555" s="21" t="str">
        <f>IF(MonthlyFAME!N557=0,"",MonthlyFAME!N557)</f>
        <v/>
      </c>
      <c r="N555" s="21" t="str">
        <f>IF(MonthlyFAME!O557=0,"",MonthlyFAME!O557)</f>
        <v/>
      </c>
      <c r="O555" s="21" t="str">
        <f>IF(MonthlyFAME!P557=0,"",MonthlyFAME!P557)</f>
        <v/>
      </c>
      <c r="P555" s="21" t="str">
        <f>IF(MonthlyFAME!Q557=0,"",MonthlyFAME!Q557)</f>
        <v/>
      </c>
      <c r="Q555" s="21" t="str">
        <f>IF(MonthlyFAME!R557=0,"",MonthlyFAME!R557)</f>
        <v/>
      </c>
      <c r="R555" s="21" t="str">
        <f>IF(MonthlyFAME!S557=0,"",MonthlyFAME!S557)</f>
        <v/>
      </c>
      <c r="S555" s="21" t="str">
        <f>IF(MonthlyFAME!T557=0,"",MonthlyFAME!T557)</f>
        <v/>
      </c>
      <c r="T555" s="21">
        <f>IF(MonthlyFAME!U557=0,"",MonthlyFAME!U557)</f>
        <v>55.230454545454563</v>
      </c>
    </row>
    <row r="556" spans="1:20" x14ac:dyDescent="0.2">
      <c r="A556" s="23">
        <f>IF(MonthlyFAME!A558=0,"",MonthlyFAME!A558)</f>
        <v>38717</v>
      </c>
      <c r="B556" s="21">
        <f>IF(MonthlyFAME!B558=0,"",MonthlyFAME!B558)</f>
        <v>83.6</v>
      </c>
      <c r="C556" s="21">
        <f>IF(MonthlyFAME!C558=0,"",MonthlyFAME!C558)</f>
        <v>104.2</v>
      </c>
      <c r="D556" s="21">
        <f>IF(MonthlyFAME!D558=0,"",MonthlyFAME!D558)</f>
        <v>79.134299999999996</v>
      </c>
      <c r="E556" s="21">
        <f>IF(MonthlyFAME!F558=0,"",MonthlyFAME!F558)</f>
        <v>26237</v>
      </c>
      <c r="F556" s="21">
        <f>IF(MonthlyFAME!G558=0,"",MonthlyFAME!G558)</f>
        <v>31840</v>
      </c>
      <c r="G556" s="21">
        <f>IF(MonthlyFAME!H558=0,"",MonthlyFAME!H558)</f>
        <v>5.1466482740499888</v>
      </c>
      <c r="H556" s="21">
        <f>IF(MonthlyFAME!I558=0,"",MonthlyFAME!I558)</f>
        <v>28880</v>
      </c>
      <c r="I556" s="21">
        <f>IF(MonthlyFAME!J558=0,"",MonthlyFAME!J558)</f>
        <v>929.3</v>
      </c>
      <c r="J556" s="21">
        <f>IF(MonthlyFAME!K558=0,"",MonthlyFAME!K558)</f>
        <v>609</v>
      </c>
      <c r="K556" s="21">
        <f>IF(MonthlyFAME!L558=0,"",MonthlyFAME!L558)</f>
        <v>389.88062755603698</v>
      </c>
      <c r="L556" s="21">
        <f>IF(MonthlyFAME!M558=0,"",MonthlyFAME!M558)</f>
        <v>908.1</v>
      </c>
      <c r="M556" s="21" t="str">
        <f>IF(MonthlyFAME!N558=0,"",MonthlyFAME!N558)</f>
        <v/>
      </c>
      <c r="N556" s="21" t="str">
        <f>IF(MonthlyFAME!O558=0,"",MonthlyFAME!O558)</f>
        <v/>
      </c>
      <c r="O556" s="21" t="str">
        <f>IF(MonthlyFAME!P558=0,"",MonthlyFAME!P558)</f>
        <v/>
      </c>
      <c r="P556" s="21" t="str">
        <f>IF(MonthlyFAME!Q558=0,"",MonthlyFAME!Q558)</f>
        <v/>
      </c>
      <c r="Q556" s="21" t="str">
        <f>IF(MonthlyFAME!R558=0,"",MonthlyFAME!R558)</f>
        <v/>
      </c>
      <c r="R556" s="21" t="str">
        <f>IF(MonthlyFAME!S558=0,"",MonthlyFAME!S558)</f>
        <v/>
      </c>
      <c r="S556" s="21" t="str">
        <f>IF(MonthlyFAME!T558=0,"",MonthlyFAME!T558)</f>
        <v/>
      </c>
      <c r="T556" s="21">
        <f>IF(MonthlyFAME!U558=0,"",MonthlyFAME!U558)</f>
        <v>56.84</v>
      </c>
    </row>
    <row r="557" spans="1:20" x14ac:dyDescent="0.2">
      <c r="A557" s="23">
        <f>IF(MonthlyFAME!A559=0,"",MonthlyFAME!A559)</f>
        <v>38748</v>
      </c>
      <c r="B557" s="21">
        <f>IF(MonthlyFAME!B559=0,"",MonthlyFAME!B559)</f>
        <v>83.3</v>
      </c>
      <c r="C557" s="21">
        <f>IF(MonthlyFAME!C559=0,"",MonthlyFAME!C559)</f>
        <v>102.8</v>
      </c>
      <c r="D557" s="21">
        <f>IF(MonthlyFAME!D559=0,"",MonthlyFAME!D559)</f>
        <v>78.946100000000001</v>
      </c>
      <c r="E557" s="21">
        <f>IF(MonthlyFAME!F559=0,"",MonthlyFAME!F559)</f>
        <v>27538</v>
      </c>
      <c r="F557" s="21">
        <f>IF(MonthlyFAME!G559=0,"",MonthlyFAME!G559)</f>
        <v>33919</v>
      </c>
      <c r="G557" s="21">
        <f>IF(MonthlyFAME!H559=0,"",MonthlyFAME!H559)</f>
        <v>5.0877480728226994</v>
      </c>
      <c r="H557" s="21">
        <f>IF(MonthlyFAME!I559=0,"",MonthlyFAME!I559)</f>
        <v>28934</v>
      </c>
      <c r="I557" s="21">
        <f>IF(MonthlyFAME!J559=0,"",MonthlyFAME!J559)</f>
        <v>931.3</v>
      </c>
      <c r="J557" s="21">
        <f>IF(MonthlyFAME!K559=0,"",MonthlyFAME!K559)</f>
        <v>615</v>
      </c>
      <c r="K557" s="21">
        <f>IF(MonthlyFAME!L559=0,"",MonthlyFAME!L559)</f>
        <v>391.16368664586099</v>
      </c>
      <c r="L557" s="21">
        <f>IF(MonthlyFAME!M559=0,"",MonthlyFAME!M559)</f>
        <v>913.5</v>
      </c>
      <c r="M557" s="21" t="str">
        <f>IF(MonthlyFAME!N559=0,"",MonthlyFAME!N559)</f>
        <v/>
      </c>
      <c r="N557" s="21" t="str">
        <f>IF(MonthlyFAME!O559=0,"",MonthlyFAME!O559)</f>
        <v/>
      </c>
      <c r="O557" s="21" t="str">
        <f>IF(MonthlyFAME!P559=0,"",MonthlyFAME!P559)</f>
        <v/>
      </c>
      <c r="P557" s="21" t="str">
        <f>IF(MonthlyFAME!Q559=0,"",MonthlyFAME!Q559)</f>
        <v/>
      </c>
      <c r="Q557" s="21" t="str">
        <f>IF(MonthlyFAME!R559=0,"",MonthlyFAME!R559)</f>
        <v/>
      </c>
      <c r="R557" s="21" t="str">
        <f>IF(MonthlyFAME!S559=0,"",MonthlyFAME!S559)</f>
        <v/>
      </c>
      <c r="S557" s="21" t="str">
        <f>IF(MonthlyFAME!T559=0,"",MonthlyFAME!T559)</f>
        <v/>
      </c>
      <c r="T557" s="21">
        <f>IF(MonthlyFAME!U559=0,"",MonthlyFAME!U559)</f>
        <v>62.900454545454551</v>
      </c>
    </row>
    <row r="558" spans="1:20" x14ac:dyDescent="0.2">
      <c r="A558" s="23">
        <f>IF(MonthlyFAME!A560=0,"",MonthlyFAME!A560)</f>
        <v>38776</v>
      </c>
      <c r="B558" s="21">
        <f>IF(MonthlyFAME!B560=0,"",MonthlyFAME!B560)</f>
        <v>83.1</v>
      </c>
      <c r="C558" s="21">
        <f>IF(MonthlyFAME!C560=0,"",MonthlyFAME!C560)</f>
        <v>102.7</v>
      </c>
      <c r="D558" s="21">
        <f>IF(MonthlyFAME!D560=0,"",MonthlyFAME!D560)</f>
        <v>78.760999999999996</v>
      </c>
      <c r="E558" s="21">
        <f>IF(MonthlyFAME!F560=0,"",MonthlyFAME!F560)</f>
        <v>29812</v>
      </c>
      <c r="F558" s="21">
        <f>IF(MonthlyFAME!G560=0,"",MonthlyFAME!G560)</f>
        <v>35209</v>
      </c>
      <c r="G558" s="21">
        <f>IF(MonthlyFAME!H560=0,"",MonthlyFAME!H560)</f>
        <v>5.1812115661389511</v>
      </c>
      <c r="H558" s="21">
        <f>IF(MonthlyFAME!I560=0,"",MonthlyFAME!I560)</f>
        <v>28988</v>
      </c>
      <c r="I558" s="21">
        <f>IF(MonthlyFAME!J560=0,"",MonthlyFAME!J560)</f>
        <v>932.1</v>
      </c>
      <c r="J558" s="21">
        <f>IF(MonthlyFAME!K560=0,"",MonthlyFAME!K560)</f>
        <v>612</v>
      </c>
      <c r="K558" s="21">
        <f>IF(MonthlyFAME!L560=0,"",MonthlyFAME!L560)</f>
        <v>391.75205452405299</v>
      </c>
      <c r="L558" s="21">
        <f>IF(MonthlyFAME!M560=0,"",MonthlyFAME!M560)</f>
        <v>923.8</v>
      </c>
      <c r="M558" s="21" t="str">
        <f>IF(MonthlyFAME!N560=0,"",MonthlyFAME!N560)</f>
        <v/>
      </c>
      <c r="N558" s="21" t="str">
        <f>IF(MonthlyFAME!O560=0,"",MonthlyFAME!O560)</f>
        <v/>
      </c>
      <c r="O558" s="21" t="str">
        <f>IF(MonthlyFAME!P560=0,"",MonthlyFAME!P560)</f>
        <v/>
      </c>
      <c r="P558" s="21" t="str">
        <f>IF(MonthlyFAME!Q560=0,"",MonthlyFAME!Q560)</f>
        <v/>
      </c>
      <c r="Q558" s="21" t="str">
        <f>IF(MonthlyFAME!R560=0,"",MonthlyFAME!R560)</f>
        <v/>
      </c>
      <c r="R558" s="21" t="str">
        <f>IF(MonthlyFAME!S560=0,"",MonthlyFAME!S560)</f>
        <v/>
      </c>
      <c r="S558" s="21" t="str">
        <f>IF(MonthlyFAME!T560=0,"",MonthlyFAME!T560)</f>
        <v/>
      </c>
      <c r="T558" s="21">
        <f>IF(MonthlyFAME!U560=0,"",MonthlyFAME!U560)</f>
        <v>60.230500000000006</v>
      </c>
    </row>
    <row r="559" spans="1:20" x14ac:dyDescent="0.2">
      <c r="A559" s="23">
        <f>IF(MonthlyFAME!A561=0,"",MonthlyFAME!A561)</f>
        <v>38807</v>
      </c>
      <c r="B559" s="21">
        <f>IF(MonthlyFAME!B561=0,"",MonthlyFAME!B561)</f>
        <v>83.5</v>
      </c>
      <c r="C559" s="21">
        <f>IF(MonthlyFAME!C561=0,"",MonthlyFAME!C561)</f>
        <v>103.9</v>
      </c>
      <c r="D559" s="21">
        <f>IF(MonthlyFAME!D561=0,"",MonthlyFAME!D561)</f>
        <v>79.0047</v>
      </c>
      <c r="E559" s="21">
        <f>IF(MonthlyFAME!F561=0,"",MonthlyFAME!F561)</f>
        <v>32813</v>
      </c>
      <c r="F559" s="21">
        <f>IF(MonthlyFAME!G561=0,"",MonthlyFAME!G561)</f>
        <v>36939</v>
      </c>
      <c r="G559" s="21">
        <f>IF(MonthlyFAME!H561=0,"",MonthlyFAME!H561)</f>
        <v>5.2329374918439253</v>
      </c>
      <c r="H559" s="21">
        <f>IF(MonthlyFAME!I561=0,"",MonthlyFAME!I561)</f>
        <v>29048</v>
      </c>
      <c r="I559" s="21">
        <f>IF(MonthlyFAME!J561=0,"",MonthlyFAME!J561)</f>
        <v>931.7</v>
      </c>
      <c r="J559" s="21">
        <f>IF(MonthlyFAME!K561=0,"",MonthlyFAME!K561)</f>
        <v>600</v>
      </c>
      <c r="K559" s="21">
        <f>IF(MonthlyFAME!L561=0,"",MonthlyFAME!L561)</f>
        <v>398.09676579834002</v>
      </c>
      <c r="L559" s="21">
        <f>IF(MonthlyFAME!M561=0,"",MonthlyFAME!M561)</f>
        <v>935.8</v>
      </c>
      <c r="M559" s="21" t="str">
        <f>IF(MonthlyFAME!N561=0,"",MonthlyFAME!N561)</f>
        <v/>
      </c>
      <c r="N559" s="21" t="str">
        <f>IF(MonthlyFAME!O561=0,"",MonthlyFAME!O561)</f>
        <v/>
      </c>
      <c r="O559" s="21" t="str">
        <f>IF(MonthlyFAME!P561=0,"",MonthlyFAME!P561)</f>
        <v/>
      </c>
      <c r="P559" s="21" t="str">
        <f>IF(MonthlyFAME!Q561=0,"",MonthlyFAME!Q561)</f>
        <v/>
      </c>
      <c r="Q559" s="21" t="str">
        <f>IF(MonthlyFAME!R561=0,"",MonthlyFAME!R561)</f>
        <v/>
      </c>
      <c r="R559" s="21" t="str">
        <f>IF(MonthlyFAME!S561=0,"",MonthlyFAME!S561)</f>
        <v/>
      </c>
      <c r="S559" s="21" t="str">
        <f>IF(MonthlyFAME!T561=0,"",MonthlyFAME!T561)</f>
        <v/>
      </c>
      <c r="T559" s="21">
        <f>IF(MonthlyFAME!U561=0,"",MonthlyFAME!U561)</f>
        <v>62.161304347826096</v>
      </c>
    </row>
    <row r="560" spans="1:20" x14ac:dyDescent="0.2">
      <c r="A560" s="23">
        <f>IF(MonthlyFAME!A562=0,"",MonthlyFAME!A562)</f>
        <v>38837</v>
      </c>
      <c r="B560" s="21">
        <f>IF(MonthlyFAME!B562=0,"",MonthlyFAME!B562)</f>
        <v>83.3</v>
      </c>
      <c r="C560" s="21">
        <f>IF(MonthlyFAME!C562=0,"",MonthlyFAME!C562)</f>
        <v>104.1</v>
      </c>
      <c r="D560" s="21">
        <f>IF(MonthlyFAME!D562=0,"",MonthlyFAME!D562)</f>
        <v>78.703400000000002</v>
      </c>
      <c r="E560" s="21">
        <f>IF(MonthlyFAME!F562=0,"",MonthlyFAME!F562)</f>
        <v>32338</v>
      </c>
      <c r="F560" s="21">
        <f>IF(MonthlyFAME!G562=0,"",MonthlyFAME!G562)</f>
        <v>36410</v>
      </c>
      <c r="G560" s="21">
        <f>IF(MonthlyFAME!H562=0,"",MonthlyFAME!H562)</f>
        <v>5.3161013086789506</v>
      </c>
      <c r="H560" s="21">
        <f>IF(MonthlyFAME!I562=0,"",MonthlyFAME!I562)</f>
        <v>29085</v>
      </c>
      <c r="I560" s="21">
        <f>IF(MonthlyFAME!J562=0,"",MonthlyFAME!J562)</f>
        <v>932</v>
      </c>
      <c r="J560" s="21">
        <f>IF(MonthlyFAME!K562=0,"",MonthlyFAME!K562)</f>
        <v>598</v>
      </c>
      <c r="K560" s="21">
        <f>IF(MonthlyFAME!L562=0,"",MonthlyFAME!L562)</f>
        <v>395.25862097644699</v>
      </c>
      <c r="L560" s="21">
        <f>IF(MonthlyFAME!M562=0,"",MonthlyFAME!M562)</f>
        <v>945.4</v>
      </c>
      <c r="M560" s="21" t="str">
        <f>IF(MonthlyFAME!N562=0,"",MonthlyFAME!N562)</f>
        <v/>
      </c>
      <c r="N560" s="21" t="str">
        <f>IF(MonthlyFAME!O562=0,"",MonthlyFAME!O562)</f>
        <v/>
      </c>
      <c r="O560" s="21" t="str">
        <f>IF(MonthlyFAME!P562=0,"",MonthlyFAME!P562)</f>
        <v/>
      </c>
      <c r="P560" s="21" t="str">
        <f>IF(MonthlyFAME!Q562=0,"",MonthlyFAME!Q562)</f>
        <v/>
      </c>
      <c r="Q560" s="21" t="str">
        <f>IF(MonthlyFAME!R562=0,"",MonthlyFAME!R562)</f>
        <v/>
      </c>
      <c r="R560" s="21" t="str">
        <f>IF(MonthlyFAME!S562=0,"",MonthlyFAME!S562)</f>
        <v/>
      </c>
      <c r="S560" s="21" t="str">
        <f>IF(MonthlyFAME!T562=0,"",MonthlyFAME!T562)</f>
        <v/>
      </c>
      <c r="T560" s="21">
        <f>IF(MonthlyFAME!U562=0,"",MonthlyFAME!U562)</f>
        <v>70.289999999999992</v>
      </c>
    </row>
    <row r="561" spans="1:20" x14ac:dyDescent="0.2">
      <c r="A561" s="23">
        <f>IF(MonthlyFAME!A563=0,"",MonthlyFAME!A563)</f>
        <v>38868</v>
      </c>
      <c r="B561" s="21">
        <f>IF(MonthlyFAME!B563=0,"",MonthlyFAME!B563)</f>
        <v>83.6</v>
      </c>
      <c r="C561" s="21">
        <f>IF(MonthlyFAME!C563=0,"",MonthlyFAME!C563)</f>
        <v>105</v>
      </c>
      <c r="D561" s="21">
        <f>IF(MonthlyFAME!D563=0,"",MonthlyFAME!D563)</f>
        <v>78.957099999999997</v>
      </c>
      <c r="E561" s="21">
        <f>IF(MonthlyFAME!F563=0,"",MonthlyFAME!F563)</f>
        <v>32366</v>
      </c>
      <c r="F561" s="21">
        <f>IF(MonthlyFAME!G563=0,"",MonthlyFAME!G563)</f>
        <v>37631</v>
      </c>
      <c r="G561" s="21">
        <f>IF(MonthlyFAME!H563=0,"",MonthlyFAME!H563)</f>
        <v>5.4154326813551599</v>
      </c>
      <c r="H561" s="21">
        <f>IF(MonthlyFAME!I563=0,"",MonthlyFAME!I563)</f>
        <v>29063</v>
      </c>
      <c r="I561" s="21">
        <f>IF(MonthlyFAME!J563=0,"",MonthlyFAME!J563)</f>
        <v>931.1</v>
      </c>
      <c r="J561" s="21">
        <f>IF(MonthlyFAME!K563=0,"",MonthlyFAME!K563)</f>
        <v>597</v>
      </c>
      <c r="K561" s="21">
        <f>IF(MonthlyFAME!L563=0,"",MonthlyFAME!L563)</f>
        <v>397.19422019410098</v>
      </c>
      <c r="L561" s="21">
        <f>IF(MonthlyFAME!M563=0,"",MonthlyFAME!M563)</f>
        <v>950.8</v>
      </c>
      <c r="M561" s="21" t="str">
        <f>IF(MonthlyFAME!N563=0,"",MonthlyFAME!N563)</f>
        <v/>
      </c>
      <c r="N561" s="21" t="str">
        <f>IF(MonthlyFAME!O563=0,"",MonthlyFAME!O563)</f>
        <v/>
      </c>
      <c r="O561" s="21" t="str">
        <f>IF(MonthlyFAME!P563=0,"",MonthlyFAME!P563)</f>
        <v/>
      </c>
      <c r="P561" s="21" t="str">
        <f>IF(MonthlyFAME!Q563=0,"",MonthlyFAME!Q563)</f>
        <v/>
      </c>
      <c r="Q561" s="21" t="str">
        <f>IF(MonthlyFAME!R563=0,"",MonthlyFAME!R563)</f>
        <v/>
      </c>
      <c r="R561" s="21" t="str">
        <f>IF(MonthlyFAME!S563=0,"",MonthlyFAME!S563)</f>
        <v/>
      </c>
      <c r="S561" s="21" t="str">
        <f>IF(MonthlyFAME!T563=0,"",MonthlyFAME!T563)</f>
        <v/>
      </c>
      <c r="T561" s="21">
        <f>IF(MonthlyFAME!U563=0,"",MonthlyFAME!U563)</f>
        <v>69.872608695652147</v>
      </c>
    </row>
    <row r="562" spans="1:20" x14ac:dyDescent="0.2">
      <c r="A562" s="23">
        <f>IF(MonthlyFAME!A564=0,"",MonthlyFAME!A564)</f>
        <v>38898</v>
      </c>
      <c r="B562" s="21">
        <f>IF(MonthlyFAME!B564=0,"",MonthlyFAME!B564)</f>
        <v>83.9</v>
      </c>
      <c r="C562" s="21">
        <f>IF(MonthlyFAME!C564=0,"",MonthlyFAME!C564)</f>
        <v>105.6</v>
      </c>
      <c r="D562" s="21">
        <f>IF(MonthlyFAME!D564=0,"",MonthlyFAME!D564)</f>
        <v>79.170400000000001</v>
      </c>
      <c r="E562" s="21">
        <f>IF(MonthlyFAME!F564=0,"",MonthlyFAME!F564)</f>
        <v>30235</v>
      </c>
      <c r="F562" s="21">
        <f>IF(MonthlyFAME!G564=0,"",MonthlyFAME!G564)</f>
        <v>35324</v>
      </c>
      <c r="G562" s="21">
        <f>IF(MonthlyFAME!H564=0,"",MonthlyFAME!H564)</f>
        <v>5.4723782923581563</v>
      </c>
      <c r="H562" s="21">
        <f>IF(MonthlyFAME!I564=0,"",MonthlyFAME!I564)</f>
        <v>29106</v>
      </c>
      <c r="I562" s="21">
        <f>IF(MonthlyFAME!J564=0,"",MonthlyFAME!J564)</f>
        <v>930.5</v>
      </c>
      <c r="J562" s="21">
        <f>IF(MonthlyFAME!K564=0,"",MonthlyFAME!K564)</f>
        <v>604</v>
      </c>
      <c r="K562" s="21">
        <f>IF(MonthlyFAME!L564=0,"",MonthlyFAME!L564)</f>
        <v>400.72106565498501</v>
      </c>
      <c r="L562" s="21">
        <f>IF(MonthlyFAME!M564=0,"",MonthlyFAME!M564)</f>
        <v>955.7</v>
      </c>
      <c r="M562" s="21" t="str">
        <f>IF(MonthlyFAME!N564=0,"",MonthlyFAME!N564)</f>
        <v/>
      </c>
      <c r="N562" s="21" t="str">
        <f>IF(MonthlyFAME!O564=0,"",MonthlyFAME!O564)</f>
        <v/>
      </c>
      <c r="O562" s="21" t="str">
        <f>IF(MonthlyFAME!P564=0,"",MonthlyFAME!P564)</f>
        <v/>
      </c>
      <c r="P562" s="21" t="str">
        <f>IF(MonthlyFAME!Q564=0,"",MonthlyFAME!Q564)</f>
        <v/>
      </c>
      <c r="Q562" s="21" t="str">
        <f>IF(MonthlyFAME!R564=0,"",MonthlyFAME!R564)</f>
        <v/>
      </c>
      <c r="R562" s="21" t="str">
        <f>IF(MonthlyFAME!S564=0,"",MonthlyFAME!S564)</f>
        <v/>
      </c>
      <c r="S562" s="21" t="str">
        <f>IF(MonthlyFAME!T564=0,"",MonthlyFAME!T564)</f>
        <v/>
      </c>
      <c r="T562" s="21">
        <f>IF(MonthlyFAME!U564=0,"",MonthlyFAME!U564)</f>
        <v>68.690454545454557</v>
      </c>
    </row>
    <row r="563" spans="1:20" x14ac:dyDescent="0.2">
      <c r="A563" s="23">
        <f>IF(MonthlyFAME!A565=0,"",MonthlyFAME!A565)</f>
        <v>38929</v>
      </c>
      <c r="B563" s="21">
        <f>IF(MonthlyFAME!B565=0,"",MonthlyFAME!B565)</f>
        <v>83.4</v>
      </c>
      <c r="C563" s="21">
        <f>IF(MonthlyFAME!C565=0,"",MonthlyFAME!C565)</f>
        <v>104.5</v>
      </c>
      <c r="D563" s="21">
        <f>IF(MonthlyFAME!D565=0,"",MonthlyFAME!D565)</f>
        <v>78.790400000000005</v>
      </c>
      <c r="E563" s="21">
        <f>IF(MonthlyFAME!F565=0,"",MonthlyFAME!F565)</f>
        <v>24568</v>
      </c>
      <c r="F563" s="21">
        <f>IF(MonthlyFAME!G565=0,"",MonthlyFAME!G565)</f>
        <v>31181</v>
      </c>
      <c r="G563" s="21">
        <f>IF(MonthlyFAME!H565=0,"",MonthlyFAME!H565)</f>
        <v>5.5061936571762109</v>
      </c>
      <c r="H563" s="21">
        <f>IF(MonthlyFAME!I565=0,"",MonthlyFAME!I565)</f>
        <v>29140</v>
      </c>
      <c r="I563" s="21">
        <f>IF(MonthlyFAME!J565=0,"",MonthlyFAME!J565)</f>
        <v>931.8</v>
      </c>
      <c r="J563" s="21">
        <f>IF(MonthlyFAME!K565=0,"",MonthlyFAME!K565)</f>
        <v>607</v>
      </c>
      <c r="K563" s="21">
        <f>IF(MonthlyFAME!L565=0,"",MonthlyFAME!L565)</f>
        <v>400.77256455920002</v>
      </c>
      <c r="L563" s="21">
        <f>IF(MonthlyFAME!M565=0,"",MonthlyFAME!M565)</f>
        <v>956.7</v>
      </c>
      <c r="M563" s="21" t="str">
        <f>IF(MonthlyFAME!N565=0,"",MonthlyFAME!N565)</f>
        <v/>
      </c>
      <c r="N563" s="21" t="str">
        <f>IF(MonthlyFAME!O565=0,"",MonthlyFAME!O565)</f>
        <v/>
      </c>
      <c r="O563" s="21" t="str">
        <f>IF(MonthlyFAME!P565=0,"",MonthlyFAME!P565)</f>
        <v/>
      </c>
      <c r="P563" s="21" t="str">
        <f>IF(MonthlyFAME!Q565=0,"",MonthlyFAME!Q565)</f>
        <v/>
      </c>
      <c r="Q563" s="21" t="str">
        <f>IF(MonthlyFAME!R565=0,"",MonthlyFAME!R565)</f>
        <v/>
      </c>
      <c r="R563" s="21" t="str">
        <f>IF(MonthlyFAME!S565=0,"",MonthlyFAME!S565)</f>
        <v/>
      </c>
      <c r="S563" s="21" t="str">
        <f>IF(MonthlyFAME!T565=0,"",MonthlyFAME!T565)</f>
        <v/>
      </c>
      <c r="T563" s="21">
        <f>IF(MonthlyFAME!U565=0,"",MonthlyFAME!U565)</f>
        <v>73.682380952380953</v>
      </c>
    </row>
    <row r="564" spans="1:20" x14ac:dyDescent="0.2">
      <c r="A564" s="23">
        <f>IF(MonthlyFAME!A566=0,"",MonthlyFAME!A566)</f>
        <v>38960</v>
      </c>
      <c r="B564" s="21">
        <f>IF(MonthlyFAME!B566=0,"",MonthlyFAME!B566)</f>
        <v>83.7</v>
      </c>
      <c r="C564" s="21">
        <f>IF(MonthlyFAME!C566=0,"",MonthlyFAME!C566)</f>
        <v>105.4</v>
      </c>
      <c r="D564" s="21">
        <f>IF(MonthlyFAME!D566=0,"",MonthlyFAME!D566)</f>
        <v>79.049499999999995</v>
      </c>
      <c r="E564" s="21">
        <f>IF(MonthlyFAME!F566=0,"",MonthlyFAME!F566)</f>
        <v>25278</v>
      </c>
      <c r="F564" s="21">
        <f>IF(MonthlyFAME!G566=0,"",MonthlyFAME!G566)</f>
        <v>32116</v>
      </c>
      <c r="G564" s="21">
        <f>IF(MonthlyFAME!H566=0,"",MonthlyFAME!H566)</f>
        <v>5.466778805719092</v>
      </c>
      <c r="H564" s="21">
        <f>IF(MonthlyFAME!I566=0,"",MonthlyFAME!I566)</f>
        <v>29224</v>
      </c>
      <c r="I564" s="21">
        <f>IF(MonthlyFAME!J566=0,"",MonthlyFAME!J566)</f>
        <v>934.3</v>
      </c>
      <c r="J564" s="21">
        <f>IF(MonthlyFAME!K566=0,"",MonthlyFAME!K566)</f>
        <v>611</v>
      </c>
      <c r="K564" s="21">
        <f>IF(MonthlyFAME!L566=0,"",MonthlyFAME!L566)</f>
        <v>400.88835160071898</v>
      </c>
      <c r="L564" s="21">
        <f>IF(MonthlyFAME!M566=0,"",MonthlyFAME!M566)</f>
        <v>951.4</v>
      </c>
      <c r="M564" s="21" t="str">
        <f>IF(MonthlyFAME!N566=0,"",MonthlyFAME!N566)</f>
        <v/>
      </c>
      <c r="N564" s="21" t="str">
        <f>IF(MonthlyFAME!O566=0,"",MonthlyFAME!O566)</f>
        <v/>
      </c>
      <c r="O564" s="21" t="str">
        <f>IF(MonthlyFAME!P566=0,"",MonthlyFAME!P566)</f>
        <v/>
      </c>
      <c r="P564" s="21" t="str">
        <f>IF(MonthlyFAME!Q566=0,"",MonthlyFAME!Q566)</f>
        <v/>
      </c>
      <c r="Q564" s="21" t="str">
        <f>IF(MonthlyFAME!R566=0,"",MonthlyFAME!R566)</f>
        <v/>
      </c>
      <c r="R564" s="21" t="str">
        <f>IF(MonthlyFAME!S566=0,"",MonthlyFAME!S566)</f>
        <v/>
      </c>
      <c r="S564" s="21" t="str">
        <f>IF(MonthlyFAME!T566=0,"",MonthlyFAME!T566)</f>
        <v/>
      </c>
      <c r="T564" s="21">
        <f>IF(MonthlyFAME!U566=0,"",MonthlyFAME!U566)</f>
        <v>73.185217391304349</v>
      </c>
    </row>
    <row r="565" spans="1:20" x14ac:dyDescent="0.2">
      <c r="A565" s="23">
        <f>IF(MonthlyFAME!A567=0,"",MonthlyFAME!A567)</f>
        <v>38990</v>
      </c>
      <c r="B565" s="21">
        <f>IF(MonthlyFAME!B567=0,"",MonthlyFAME!B567)</f>
        <v>84.1</v>
      </c>
      <c r="C565" s="21">
        <f>IF(MonthlyFAME!C567=0,"",MonthlyFAME!C567)</f>
        <v>105.7</v>
      </c>
      <c r="D565" s="21">
        <f>IF(MonthlyFAME!D567=0,"",MonthlyFAME!D567)</f>
        <v>79.384</v>
      </c>
      <c r="E565" s="21">
        <f>IF(MonthlyFAME!F567=0,"",MonthlyFAME!F567)</f>
        <v>24742</v>
      </c>
      <c r="F565" s="21">
        <f>IF(MonthlyFAME!G567=0,"",MonthlyFAME!G567)</f>
        <v>31251</v>
      </c>
      <c r="G565" s="21">
        <f>IF(MonthlyFAME!H567=0,"",MonthlyFAME!H567)</f>
        <v>5.4832232154424148</v>
      </c>
      <c r="H565" s="21">
        <f>IF(MonthlyFAME!I567=0,"",MonthlyFAME!I567)</f>
        <v>29183</v>
      </c>
      <c r="I565" s="21">
        <f>IF(MonthlyFAME!J567=0,"",MonthlyFAME!J567)</f>
        <v>931.8</v>
      </c>
      <c r="J565" s="21">
        <f>IF(MonthlyFAME!K567=0,"",MonthlyFAME!K567)</f>
        <v>611</v>
      </c>
      <c r="K565" s="21">
        <f>IF(MonthlyFAME!L567=0,"",MonthlyFAME!L567)</f>
        <v>401.84033061169902</v>
      </c>
      <c r="L565" s="21">
        <f>IF(MonthlyFAME!M567=0,"",MonthlyFAME!M567)</f>
        <v>958.1</v>
      </c>
      <c r="M565" s="21" t="str">
        <f>IF(MonthlyFAME!N567=0,"",MonthlyFAME!N567)</f>
        <v/>
      </c>
      <c r="N565" s="21" t="str">
        <f>IF(MonthlyFAME!O567=0,"",MonthlyFAME!O567)</f>
        <v/>
      </c>
      <c r="O565" s="21" t="str">
        <f>IF(MonthlyFAME!P567=0,"",MonthlyFAME!P567)</f>
        <v/>
      </c>
      <c r="P565" s="21" t="str">
        <f>IF(MonthlyFAME!Q567=0,"",MonthlyFAME!Q567)</f>
        <v/>
      </c>
      <c r="Q565" s="21" t="str">
        <f>IF(MonthlyFAME!R567=0,"",MonthlyFAME!R567)</f>
        <v/>
      </c>
      <c r="R565" s="21" t="str">
        <f>IF(MonthlyFAME!S567=0,"",MonthlyFAME!S567)</f>
        <v/>
      </c>
      <c r="S565" s="21" t="str">
        <f>IF(MonthlyFAME!T567=0,"",MonthlyFAME!T567)</f>
        <v/>
      </c>
      <c r="T565" s="21">
        <f>IF(MonthlyFAME!U567=0,"",MonthlyFAME!U567)</f>
        <v>61.797142857142859</v>
      </c>
    </row>
    <row r="566" spans="1:20" x14ac:dyDescent="0.2">
      <c r="A566" s="23">
        <f>IF(MonthlyFAME!A568=0,"",MonthlyFAME!A568)</f>
        <v>39021</v>
      </c>
      <c r="B566" s="21">
        <f>IF(MonthlyFAME!B568=0,"",MonthlyFAME!B568)</f>
        <v>83.7</v>
      </c>
      <c r="C566" s="21">
        <f>IF(MonthlyFAME!C568=0,"",MonthlyFAME!C568)</f>
        <v>104.6</v>
      </c>
      <c r="D566" s="21">
        <f>IF(MonthlyFAME!D568=0,"",MonthlyFAME!D568)</f>
        <v>79.109399999999994</v>
      </c>
      <c r="E566" s="21">
        <f>IF(MonthlyFAME!F568=0,"",MonthlyFAME!F568)</f>
        <v>24663</v>
      </c>
      <c r="F566" s="21">
        <f>IF(MonthlyFAME!G568=0,"",MonthlyFAME!G568)</f>
        <v>30866</v>
      </c>
      <c r="G566" s="21">
        <f>IF(MonthlyFAME!H568=0,"",MonthlyFAME!H568)</f>
        <v>5.4760362694300522</v>
      </c>
      <c r="H566" s="21">
        <f>IF(MonthlyFAME!I568=0,"",MonthlyFAME!I568)</f>
        <v>29189</v>
      </c>
      <c r="I566" s="21">
        <f>IF(MonthlyFAME!J568=0,"",MonthlyFAME!J568)</f>
        <v>932</v>
      </c>
      <c r="J566" s="21">
        <f>IF(MonthlyFAME!K568=0,"",MonthlyFAME!K568)</f>
        <v>618</v>
      </c>
      <c r="K566" s="21">
        <f>IF(MonthlyFAME!L568=0,"",MonthlyFAME!L568)</f>
        <v>405.07759523812098</v>
      </c>
      <c r="L566" s="21">
        <f>IF(MonthlyFAME!M568=0,"",MonthlyFAME!M568)</f>
        <v>958.5</v>
      </c>
      <c r="M566" s="21" t="str">
        <f>IF(MonthlyFAME!N568=0,"",MonthlyFAME!N568)</f>
        <v/>
      </c>
      <c r="N566" s="21" t="str">
        <f>IF(MonthlyFAME!O568=0,"",MonthlyFAME!O568)</f>
        <v/>
      </c>
      <c r="O566" s="21" t="str">
        <f>IF(MonthlyFAME!P568=0,"",MonthlyFAME!P568)</f>
        <v/>
      </c>
      <c r="P566" s="21" t="str">
        <f>IF(MonthlyFAME!Q568=0,"",MonthlyFAME!Q568)</f>
        <v/>
      </c>
      <c r="Q566" s="21" t="str">
        <f>IF(MonthlyFAME!R568=0,"",MonthlyFAME!R568)</f>
        <v/>
      </c>
      <c r="R566" s="21" t="str">
        <f>IF(MonthlyFAME!S568=0,"",MonthlyFAME!S568)</f>
        <v/>
      </c>
      <c r="S566" s="21" t="str">
        <f>IF(MonthlyFAME!T568=0,"",MonthlyFAME!T568)</f>
        <v/>
      </c>
      <c r="T566" s="21">
        <f>IF(MonthlyFAME!U568=0,"",MonthlyFAME!U568)</f>
        <v>57.883636363636356</v>
      </c>
    </row>
    <row r="567" spans="1:20" x14ac:dyDescent="0.2">
      <c r="A567" s="23">
        <f>IF(MonthlyFAME!A569=0,"",MonthlyFAME!A569)</f>
        <v>39051</v>
      </c>
      <c r="B567" s="21">
        <f>IF(MonthlyFAME!B569=0,"",MonthlyFAME!B569)</f>
        <v>84.1</v>
      </c>
      <c r="C567" s="21">
        <f>IF(MonthlyFAME!C569=0,"",MonthlyFAME!C569)</f>
        <v>105.3</v>
      </c>
      <c r="D567" s="21">
        <f>IF(MonthlyFAME!D569=0,"",MonthlyFAME!D569)</f>
        <v>79.446200000000005</v>
      </c>
      <c r="E567" s="21">
        <f>IF(MonthlyFAME!F569=0,"",MonthlyFAME!F569)</f>
        <v>25171</v>
      </c>
      <c r="F567" s="21">
        <f>IF(MonthlyFAME!G569=0,"",MonthlyFAME!G569)</f>
        <v>31773</v>
      </c>
      <c r="G567" s="21">
        <f>IF(MonthlyFAME!H569=0,"",MonthlyFAME!H569)</f>
        <v>5.4213355787291926</v>
      </c>
      <c r="H567" s="21">
        <f>IF(MonthlyFAME!I569=0,"",MonthlyFAME!I569)</f>
        <v>29204</v>
      </c>
      <c r="I567" s="21">
        <f>IF(MonthlyFAME!J569=0,"",MonthlyFAME!J569)</f>
        <v>932.6</v>
      </c>
      <c r="J567" s="21">
        <f>IF(MonthlyFAME!K569=0,"",MonthlyFAME!K569)</f>
        <v>620</v>
      </c>
      <c r="K567" s="21">
        <f>IF(MonthlyFAME!L569=0,"",MonthlyFAME!L569)</f>
        <v>406.71558565096302</v>
      </c>
      <c r="L567" s="21">
        <f>IF(MonthlyFAME!M569=0,"",MonthlyFAME!M569)</f>
        <v>949.2</v>
      </c>
      <c r="M567" s="21" t="str">
        <f>IF(MonthlyFAME!N569=0,"",MonthlyFAME!N569)</f>
        <v/>
      </c>
      <c r="N567" s="21" t="str">
        <f>IF(MonthlyFAME!O569=0,"",MonthlyFAME!O569)</f>
        <v/>
      </c>
      <c r="O567" s="21" t="str">
        <f>IF(MonthlyFAME!P569=0,"",MonthlyFAME!P569)</f>
        <v/>
      </c>
      <c r="P567" s="21" t="str">
        <f>IF(MonthlyFAME!Q569=0,"",MonthlyFAME!Q569)</f>
        <v/>
      </c>
      <c r="Q567" s="21" t="str">
        <f>IF(MonthlyFAME!R569=0,"",MonthlyFAME!R569)</f>
        <v/>
      </c>
      <c r="R567" s="21" t="str">
        <f>IF(MonthlyFAME!S569=0,"",MonthlyFAME!S569)</f>
        <v/>
      </c>
      <c r="S567" s="21" t="str">
        <f>IF(MonthlyFAME!T569=0,"",MonthlyFAME!T569)</f>
        <v/>
      </c>
      <c r="T567" s="21">
        <f>IF(MonthlyFAME!U569=0,"",MonthlyFAME!U569)</f>
        <v>58.921363636363637</v>
      </c>
    </row>
    <row r="568" spans="1:20" x14ac:dyDescent="0.2">
      <c r="A568" s="23">
        <f>IF(MonthlyFAME!A570=0,"",MonthlyFAME!A570)</f>
        <v>39082</v>
      </c>
      <c r="B568" s="21">
        <f>IF(MonthlyFAME!B570=0,"",MonthlyFAME!B570)</f>
        <v>84.7</v>
      </c>
      <c r="C568" s="21">
        <f>IF(MonthlyFAME!C570=0,"",MonthlyFAME!C570)</f>
        <v>104.6</v>
      </c>
      <c r="D568" s="21">
        <f>IF(MonthlyFAME!D570=0,"",MonthlyFAME!D570)</f>
        <v>80.316699999999997</v>
      </c>
      <c r="E568" s="21">
        <f>IF(MonthlyFAME!F570=0,"",MonthlyFAME!F570)</f>
        <v>24862</v>
      </c>
      <c r="F568" s="21">
        <f>IF(MonthlyFAME!G570=0,"",MonthlyFAME!G570)</f>
        <v>31298</v>
      </c>
      <c r="G568" s="21">
        <f>IF(MonthlyFAME!H570=0,"",MonthlyFAME!H570)</f>
        <v>5.5021834061135371</v>
      </c>
      <c r="H568" s="21">
        <f>IF(MonthlyFAME!I570=0,"",MonthlyFAME!I570)</f>
        <v>29214</v>
      </c>
      <c r="I568" s="21">
        <f>IF(MonthlyFAME!J570=0,"",MonthlyFAME!J570)</f>
        <v>935.6</v>
      </c>
      <c r="J568" s="21">
        <f>IF(MonthlyFAME!K570=0,"",MonthlyFAME!K570)</f>
        <v>620</v>
      </c>
      <c r="K568" s="21">
        <f>IF(MonthlyFAME!L570=0,"",MonthlyFAME!L570)</f>
        <v>412.49284630168802</v>
      </c>
      <c r="L568" s="21">
        <f>IF(MonthlyFAME!M570=0,"",MonthlyFAME!M570)</f>
        <v>939.9</v>
      </c>
      <c r="M568" s="21" t="str">
        <f>IF(MonthlyFAME!N570=0,"",MonthlyFAME!N570)</f>
        <v/>
      </c>
      <c r="N568" s="21" t="str">
        <f>IF(MonthlyFAME!O570=0,"",MonthlyFAME!O570)</f>
        <v/>
      </c>
      <c r="O568" s="21" t="str">
        <f>IF(MonthlyFAME!P570=0,"",MonthlyFAME!P570)</f>
        <v/>
      </c>
      <c r="P568" s="21" t="str">
        <f>IF(MonthlyFAME!Q570=0,"",MonthlyFAME!Q570)</f>
        <v/>
      </c>
      <c r="Q568" s="21" t="str">
        <f>IF(MonthlyFAME!R570=0,"",MonthlyFAME!R570)</f>
        <v/>
      </c>
      <c r="R568" s="21" t="str">
        <f>IF(MonthlyFAME!S570=0,"",MonthlyFAME!S570)</f>
        <v/>
      </c>
      <c r="S568" s="21" t="str">
        <f>IF(MonthlyFAME!T570=0,"",MonthlyFAME!T570)</f>
        <v/>
      </c>
      <c r="T568" s="21">
        <f>IF(MonthlyFAME!U570=0,"",MonthlyFAME!U570)</f>
        <v>62.272380952380956</v>
      </c>
    </row>
    <row r="569" spans="1:20" x14ac:dyDescent="0.2">
      <c r="A569" s="23">
        <f>IF(MonthlyFAME!A571=0,"",MonthlyFAME!A571)</f>
        <v>39113</v>
      </c>
      <c r="B569" s="21">
        <f>IF(MonthlyFAME!B571=0,"",MonthlyFAME!B571)</f>
        <v>84.7</v>
      </c>
      <c r="C569" s="21">
        <f>IF(MonthlyFAME!C571=0,"",MonthlyFAME!C571)</f>
        <v>105</v>
      </c>
      <c r="D569" s="21">
        <f>IF(MonthlyFAME!D571=0,"",MonthlyFAME!D571)</f>
        <v>80.351600000000005</v>
      </c>
      <c r="E569" s="21">
        <f>IF(MonthlyFAME!F571=0,"",MonthlyFAME!F571)</f>
        <v>24526</v>
      </c>
      <c r="F569" s="21">
        <f>IF(MonthlyFAME!G571=0,"",MonthlyFAME!G571)</f>
        <v>31671</v>
      </c>
      <c r="G569" s="21">
        <f>IF(MonthlyFAME!H571=0,"",MonthlyFAME!H571)</f>
        <v>5.5104352046594398</v>
      </c>
      <c r="H569" s="21">
        <f>IF(MonthlyFAME!I571=0,"",MonthlyFAME!I571)</f>
        <v>29202</v>
      </c>
      <c r="I569" s="21">
        <f>IF(MonthlyFAME!J571=0,"",MonthlyFAME!J571)</f>
        <v>938.2</v>
      </c>
      <c r="J569" s="21">
        <f>IF(MonthlyFAME!K571=0,"",MonthlyFAME!K571)</f>
        <v>619</v>
      </c>
      <c r="K569" s="21">
        <f>IF(MonthlyFAME!L571=0,"",MonthlyFAME!L571)</f>
        <v>414.748269091162</v>
      </c>
      <c r="L569" s="21">
        <f>IF(MonthlyFAME!M571=0,"",MonthlyFAME!M571)</f>
        <v>925.6</v>
      </c>
      <c r="M569" s="21" t="str">
        <f>IF(MonthlyFAME!N571=0,"",MonthlyFAME!N571)</f>
        <v/>
      </c>
      <c r="N569" s="21" t="str">
        <f>IF(MonthlyFAME!O571=0,"",MonthlyFAME!O571)</f>
        <v/>
      </c>
      <c r="O569" s="21" t="str">
        <f>IF(MonthlyFAME!P571=0,"",MonthlyFAME!P571)</f>
        <v/>
      </c>
      <c r="P569" s="21" t="str">
        <f>IF(MonthlyFAME!Q571=0,"",MonthlyFAME!Q571)</f>
        <v/>
      </c>
      <c r="Q569" s="21" t="str">
        <f>IF(MonthlyFAME!R571=0,"",MonthlyFAME!R571)</f>
        <v/>
      </c>
      <c r="R569" s="21" t="str">
        <f>IF(MonthlyFAME!S571=0,"",MonthlyFAME!S571)</f>
        <v/>
      </c>
      <c r="S569" s="21" t="str">
        <f>IF(MonthlyFAME!T571=0,"",MonthlyFAME!T571)</f>
        <v/>
      </c>
      <c r="T569" s="21">
        <f>IF(MonthlyFAME!U571=0,"",MonthlyFAME!U571)</f>
        <v>53.876956521739125</v>
      </c>
    </row>
    <row r="570" spans="1:20" x14ac:dyDescent="0.2">
      <c r="A570" s="23">
        <f>IF(MonthlyFAME!A572=0,"",MonthlyFAME!A572)</f>
        <v>39141</v>
      </c>
      <c r="B570" s="21">
        <f>IF(MonthlyFAME!B572=0,"",MonthlyFAME!B572)</f>
        <v>85</v>
      </c>
      <c r="C570" s="21">
        <f>IF(MonthlyFAME!C572=0,"",MonthlyFAME!C572)</f>
        <v>103.6</v>
      </c>
      <c r="D570" s="21">
        <f>IF(MonthlyFAME!D572=0,"",MonthlyFAME!D572)</f>
        <v>80.951099999999997</v>
      </c>
      <c r="E570" s="21">
        <f>IF(MonthlyFAME!F572=0,"",MonthlyFAME!F572)</f>
        <v>24302</v>
      </c>
      <c r="F570" s="21">
        <f>IF(MonthlyFAME!G572=0,"",MonthlyFAME!G572)</f>
        <v>32069</v>
      </c>
      <c r="G570" s="21">
        <f>IF(MonthlyFAME!H572=0,"",MonthlyFAME!H572)</f>
        <v>5.5305507884596707</v>
      </c>
      <c r="H570" s="21">
        <f>IF(MonthlyFAME!I572=0,"",MonthlyFAME!I572)</f>
        <v>29175</v>
      </c>
      <c r="I570" s="21">
        <f>IF(MonthlyFAME!J572=0,"",MonthlyFAME!J572)</f>
        <v>937.3</v>
      </c>
      <c r="J570" s="21">
        <f>IF(MonthlyFAME!K572=0,"",MonthlyFAME!K572)</f>
        <v>629</v>
      </c>
      <c r="K570" s="21">
        <f>IF(MonthlyFAME!L572=0,"",MonthlyFAME!L572)</f>
        <v>418.51778443260201</v>
      </c>
      <c r="L570" s="21">
        <f>IF(MonthlyFAME!M572=0,"",MonthlyFAME!M572)</f>
        <v>911.5</v>
      </c>
      <c r="M570" s="21" t="str">
        <f>IF(MonthlyFAME!N572=0,"",MonthlyFAME!N572)</f>
        <v/>
      </c>
      <c r="N570" s="21" t="str">
        <f>IF(MonthlyFAME!O572=0,"",MonthlyFAME!O572)</f>
        <v/>
      </c>
      <c r="O570" s="21" t="str">
        <f>IF(MonthlyFAME!P572=0,"",MonthlyFAME!P572)</f>
        <v/>
      </c>
      <c r="P570" s="21" t="str">
        <f>IF(MonthlyFAME!Q572=0,"",MonthlyFAME!Q572)</f>
        <v/>
      </c>
      <c r="Q570" s="21" t="str">
        <f>IF(MonthlyFAME!R572=0,"",MonthlyFAME!R572)</f>
        <v/>
      </c>
      <c r="R570" s="21" t="str">
        <f>IF(MonthlyFAME!S572=0,"",MonthlyFAME!S572)</f>
        <v/>
      </c>
      <c r="S570" s="21" t="str">
        <f>IF(MonthlyFAME!T572=0,"",MonthlyFAME!T572)</f>
        <v/>
      </c>
      <c r="T570" s="21">
        <f>IF(MonthlyFAME!U572=0,"",MonthlyFAME!U572)</f>
        <v>57.447999999999993</v>
      </c>
    </row>
    <row r="571" spans="1:20" x14ac:dyDescent="0.2">
      <c r="A571" s="23">
        <f>IF(MonthlyFAME!A573=0,"",MonthlyFAME!A573)</f>
        <v>39172</v>
      </c>
      <c r="B571" s="21">
        <f>IF(MonthlyFAME!B573=0,"",MonthlyFAME!B573)</f>
        <v>85.3</v>
      </c>
      <c r="C571" s="21">
        <f>IF(MonthlyFAME!C573=0,"",MonthlyFAME!C573)</f>
        <v>103.3</v>
      </c>
      <c r="D571" s="21">
        <f>IF(MonthlyFAME!D573=0,"",MonthlyFAME!D573)</f>
        <v>81.282499999999999</v>
      </c>
      <c r="E571" s="21">
        <f>IF(MonthlyFAME!F573=0,"",MonthlyFAME!F573)</f>
        <v>25432</v>
      </c>
      <c r="F571" s="21">
        <f>IF(MonthlyFAME!G573=0,"",MonthlyFAME!G573)</f>
        <v>33551</v>
      </c>
      <c r="G571" s="21">
        <f>IF(MonthlyFAME!H573=0,"",MonthlyFAME!H573)</f>
        <v>5.5149200595507804</v>
      </c>
      <c r="H571" s="21">
        <f>IF(MonthlyFAME!I573=0,"",MonthlyFAME!I573)</f>
        <v>29194</v>
      </c>
      <c r="I571" s="21">
        <f>IF(MonthlyFAME!J573=0,"",MonthlyFAME!J573)</f>
        <v>937.1</v>
      </c>
      <c r="J571" s="21">
        <f>IF(MonthlyFAME!K573=0,"",MonthlyFAME!K573)</f>
        <v>642</v>
      </c>
      <c r="K571" s="21">
        <f>IF(MonthlyFAME!L573=0,"",MonthlyFAME!L573)</f>
        <v>416.52652303507</v>
      </c>
      <c r="L571" s="21">
        <f>IF(MonthlyFAME!M573=0,"",MonthlyFAME!M573)</f>
        <v>896.8</v>
      </c>
      <c r="M571" s="21" t="str">
        <f>IF(MonthlyFAME!N573=0,"",MonthlyFAME!N573)</f>
        <v/>
      </c>
      <c r="N571" s="21" t="str">
        <f>IF(MonthlyFAME!O573=0,"",MonthlyFAME!O573)</f>
        <v/>
      </c>
      <c r="O571" s="21" t="str">
        <f>IF(MonthlyFAME!P573=0,"",MonthlyFAME!P573)</f>
        <v/>
      </c>
      <c r="P571" s="21" t="str">
        <f>IF(MonthlyFAME!Q573=0,"",MonthlyFAME!Q573)</f>
        <v/>
      </c>
      <c r="Q571" s="21" t="str">
        <f>IF(MonthlyFAME!R573=0,"",MonthlyFAME!R573)</f>
        <v/>
      </c>
      <c r="R571" s="21" t="str">
        <f>IF(MonthlyFAME!S573=0,"",MonthlyFAME!S573)</f>
        <v/>
      </c>
      <c r="S571" s="21" t="str">
        <f>IF(MonthlyFAME!T573=0,"",MonthlyFAME!T573)</f>
        <v/>
      </c>
      <c r="T571" s="21">
        <f>IF(MonthlyFAME!U573=0,"",MonthlyFAME!U573)</f>
        <v>62.18863636363637</v>
      </c>
    </row>
    <row r="572" spans="1:20" x14ac:dyDescent="0.2">
      <c r="A572" s="23">
        <f>IF(MonthlyFAME!A574=0,"",MonthlyFAME!A574)</f>
        <v>39202</v>
      </c>
      <c r="B572" s="21">
        <f>IF(MonthlyFAME!B574=0,"",MonthlyFAME!B574)</f>
        <v>85.4</v>
      </c>
      <c r="C572" s="21">
        <f>IF(MonthlyFAME!C574=0,"",MonthlyFAME!C574)</f>
        <v>101.9</v>
      </c>
      <c r="D572" s="21">
        <f>IF(MonthlyFAME!D574=0,"",MonthlyFAME!D574)</f>
        <v>81.688999999999993</v>
      </c>
      <c r="E572" s="21">
        <f>IF(MonthlyFAME!F574=0,"",MonthlyFAME!F574)</f>
        <v>25679</v>
      </c>
      <c r="F572" s="21">
        <f>IF(MonthlyFAME!G574=0,"",MonthlyFAME!G574)</f>
        <v>31337</v>
      </c>
      <c r="G572" s="21">
        <f>IF(MonthlyFAME!H574=0,"",MonthlyFAME!H574)</f>
        <v>5.4714784633294524</v>
      </c>
      <c r="H572" s="21">
        <f>IF(MonthlyFAME!I574=0,"",MonthlyFAME!I574)</f>
        <v>29232</v>
      </c>
      <c r="I572" s="21">
        <f>IF(MonthlyFAME!J574=0,"",MonthlyFAME!J574)</f>
        <v>936.4</v>
      </c>
      <c r="J572" s="21">
        <f>IF(MonthlyFAME!K574=0,"",MonthlyFAME!K574)</f>
        <v>648</v>
      </c>
      <c r="K572" s="21">
        <f>IF(MonthlyFAME!L574=0,"",MonthlyFAME!L574)</f>
        <v>412.40017671750297</v>
      </c>
      <c r="L572" s="21">
        <f>IF(MonthlyFAME!M574=0,"",MonthlyFAME!M574)</f>
        <v>878.2</v>
      </c>
      <c r="M572" s="21" t="str">
        <f>IF(MonthlyFAME!N574=0,"",MonthlyFAME!N574)</f>
        <v/>
      </c>
      <c r="N572" s="21" t="str">
        <f>IF(MonthlyFAME!O574=0,"",MonthlyFAME!O574)</f>
        <v/>
      </c>
      <c r="O572" s="21" t="str">
        <f>IF(MonthlyFAME!P574=0,"",MonthlyFAME!P574)</f>
        <v/>
      </c>
      <c r="P572" s="21" t="str">
        <f>IF(MonthlyFAME!Q574=0,"",MonthlyFAME!Q574)</f>
        <v/>
      </c>
      <c r="Q572" s="21" t="str">
        <f>IF(MonthlyFAME!R574=0,"",MonthlyFAME!R574)</f>
        <v/>
      </c>
      <c r="R572" s="21" t="str">
        <f>IF(MonthlyFAME!S574=0,"",MonthlyFAME!S574)</f>
        <v/>
      </c>
      <c r="S572" s="21" t="str">
        <f>IF(MonthlyFAME!T574=0,"",MonthlyFAME!T574)</f>
        <v/>
      </c>
      <c r="T572" s="21">
        <f>IF(MonthlyFAME!U574=0,"",MonthlyFAME!U574)</f>
        <v>67.532857142857139</v>
      </c>
    </row>
    <row r="573" spans="1:20" x14ac:dyDescent="0.2">
      <c r="A573" s="23">
        <f>IF(MonthlyFAME!A575=0,"",MonthlyFAME!A575)</f>
        <v>39233</v>
      </c>
      <c r="B573" s="21">
        <f>IF(MonthlyFAME!B575=0,"",MonthlyFAME!B575)</f>
        <v>85.8</v>
      </c>
      <c r="C573" s="21">
        <f>IF(MonthlyFAME!C575=0,"",MonthlyFAME!C575)</f>
        <v>104</v>
      </c>
      <c r="D573" s="21">
        <f>IF(MonthlyFAME!D575=0,"",MonthlyFAME!D575)</f>
        <v>81.913399999999996</v>
      </c>
      <c r="E573" s="21">
        <f>IF(MonthlyFAME!F575=0,"",MonthlyFAME!F575)</f>
        <v>25491</v>
      </c>
      <c r="F573" s="21">
        <f>IF(MonthlyFAME!G575=0,"",MonthlyFAME!G575)</f>
        <v>31794</v>
      </c>
      <c r="G573" s="21">
        <f>IF(MonthlyFAME!H575=0,"",MonthlyFAME!H575)</f>
        <v>5.3898786470436351</v>
      </c>
      <c r="H573" s="21">
        <f>IF(MonthlyFAME!I575=0,"",MonthlyFAME!I575)</f>
        <v>29314</v>
      </c>
      <c r="I573" s="21">
        <f>IF(MonthlyFAME!J575=0,"",MonthlyFAME!J575)</f>
        <v>939.9</v>
      </c>
      <c r="J573" s="21">
        <f>IF(MonthlyFAME!K575=0,"",MonthlyFAME!K575)</f>
        <v>651</v>
      </c>
      <c r="K573" s="21">
        <f>IF(MonthlyFAME!L575=0,"",MonthlyFAME!L575)</f>
        <v>415.73474857286999</v>
      </c>
      <c r="L573" s="21">
        <f>IF(MonthlyFAME!M575=0,"",MonthlyFAME!M575)</f>
        <v>870.8</v>
      </c>
      <c r="M573" s="21" t="str">
        <f>IF(MonthlyFAME!N575=0,"",MonthlyFAME!N575)</f>
        <v/>
      </c>
      <c r="N573" s="21" t="str">
        <f>IF(MonthlyFAME!O575=0,"",MonthlyFAME!O575)</f>
        <v/>
      </c>
      <c r="O573" s="21" t="str">
        <f>IF(MonthlyFAME!P575=0,"",MonthlyFAME!P575)</f>
        <v/>
      </c>
      <c r="P573" s="21" t="str">
        <f>IF(MonthlyFAME!Q575=0,"",MonthlyFAME!Q575)</f>
        <v/>
      </c>
      <c r="Q573" s="21" t="str">
        <f>IF(MonthlyFAME!R575=0,"",MonthlyFAME!R575)</f>
        <v/>
      </c>
      <c r="R573" s="21" t="str">
        <f>IF(MonthlyFAME!S575=0,"",MonthlyFAME!S575)</f>
        <v/>
      </c>
      <c r="S573" s="21" t="str">
        <f>IF(MonthlyFAME!T575=0,"",MonthlyFAME!T575)</f>
        <v/>
      </c>
      <c r="T573" s="21">
        <f>IF(MonthlyFAME!U575=0,"",MonthlyFAME!U575)</f>
        <v>67.413043478260875</v>
      </c>
    </row>
    <row r="574" spans="1:20" x14ac:dyDescent="0.2">
      <c r="A574" s="23">
        <f>IF(MonthlyFAME!A576=0,"",MonthlyFAME!A576)</f>
        <v>39263</v>
      </c>
      <c r="B574" s="21">
        <f>IF(MonthlyFAME!B576=0,"",MonthlyFAME!B576)</f>
        <v>85.9</v>
      </c>
      <c r="C574" s="21">
        <f>IF(MonthlyFAME!C576=0,"",MonthlyFAME!C576)</f>
        <v>102.3</v>
      </c>
      <c r="D574" s="21">
        <f>IF(MonthlyFAME!D576=0,"",MonthlyFAME!D576)</f>
        <v>82.429100000000005</v>
      </c>
      <c r="E574" s="21">
        <f>IF(MonthlyFAME!F576=0,"",MonthlyFAME!F576)</f>
        <v>25796</v>
      </c>
      <c r="F574" s="21">
        <f>IF(MonthlyFAME!G576=0,"",MonthlyFAME!G576)</f>
        <v>33134</v>
      </c>
      <c r="G574" s="21">
        <f>IF(MonthlyFAME!H576=0,"",MonthlyFAME!H576)</f>
        <v>5.3518398967075536</v>
      </c>
      <c r="H574" s="21">
        <f>IF(MonthlyFAME!I576=0,"",MonthlyFAME!I576)</f>
        <v>29322</v>
      </c>
      <c r="I574" s="21">
        <f>IF(MonthlyFAME!J576=0,"",MonthlyFAME!J576)</f>
        <v>941.2</v>
      </c>
      <c r="J574" s="21">
        <f>IF(MonthlyFAME!K576=0,"",MonthlyFAME!K576)</f>
        <v>659</v>
      </c>
      <c r="K574" s="21">
        <f>IF(MonthlyFAME!L576=0,"",MonthlyFAME!L576)</f>
        <v>418.07133848451701</v>
      </c>
      <c r="L574" s="21">
        <f>IF(MonthlyFAME!M576=0,"",MonthlyFAME!M576)</f>
        <v>861.9</v>
      </c>
      <c r="M574" s="21" t="str">
        <f>IF(MonthlyFAME!N576=0,"",MonthlyFAME!N576)</f>
        <v/>
      </c>
      <c r="N574" s="21" t="str">
        <f>IF(MonthlyFAME!O576=0,"",MonthlyFAME!O576)</f>
        <v/>
      </c>
      <c r="O574" s="21" t="str">
        <f>IF(MonthlyFAME!P576=0,"",MonthlyFAME!P576)</f>
        <v/>
      </c>
      <c r="P574" s="21" t="str">
        <f>IF(MonthlyFAME!Q576=0,"",MonthlyFAME!Q576)</f>
        <v/>
      </c>
      <c r="Q574" s="21" t="str">
        <f>IF(MonthlyFAME!R576=0,"",MonthlyFAME!R576)</f>
        <v/>
      </c>
      <c r="R574" s="21" t="str">
        <f>IF(MonthlyFAME!S576=0,"",MonthlyFAME!S576)</f>
        <v/>
      </c>
      <c r="S574" s="21" t="str">
        <f>IF(MonthlyFAME!T576=0,"",MonthlyFAME!T576)</f>
        <v/>
      </c>
      <c r="T574" s="21">
        <f>IF(MonthlyFAME!U576=0,"",MonthlyFAME!U576)</f>
        <v>71.238571428571433</v>
      </c>
    </row>
    <row r="575" spans="1:20" x14ac:dyDescent="0.2">
      <c r="A575" s="23">
        <f>IF(MonthlyFAME!A577=0,"",MonthlyFAME!A577)</f>
        <v>39294</v>
      </c>
      <c r="B575" s="21">
        <f>IF(MonthlyFAME!B577=0,"",MonthlyFAME!B577)</f>
        <v>85.9</v>
      </c>
      <c r="C575" s="21">
        <f>IF(MonthlyFAME!C577=0,"",MonthlyFAME!C577)</f>
        <v>101.8</v>
      </c>
      <c r="D575" s="21">
        <f>IF(MonthlyFAME!D577=0,"",MonthlyFAME!D577)</f>
        <v>82.522599999999997</v>
      </c>
      <c r="E575" s="21">
        <f>IF(MonthlyFAME!F577=0,"",MonthlyFAME!F577)</f>
        <v>25307</v>
      </c>
      <c r="F575" s="21">
        <f>IF(MonthlyFAME!G577=0,"",MonthlyFAME!G577)</f>
        <v>33588</v>
      </c>
      <c r="G575" s="21">
        <f>IF(MonthlyFAME!H577=0,"",MonthlyFAME!H577)</f>
        <v>5.306965190179695</v>
      </c>
      <c r="H575" s="21">
        <f>IF(MonthlyFAME!I577=0,"",MonthlyFAME!I577)</f>
        <v>29352</v>
      </c>
      <c r="I575" s="21">
        <f>IF(MonthlyFAME!J577=0,"",MonthlyFAME!J577)</f>
        <v>941.2</v>
      </c>
      <c r="J575" s="21">
        <f>IF(MonthlyFAME!K577=0,"",MonthlyFAME!K577)</f>
        <v>670</v>
      </c>
      <c r="K575" s="21">
        <f>IF(MonthlyFAME!L577=0,"",MonthlyFAME!L577)</f>
        <v>420.26046639588799</v>
      </c>
      <c r="L575" s="21">
        <f>IF(MonthlyFAME!M577=0,"",MonthlyFAME!M577)</f>
        <v>856.3</v>
      </c>
      <c r="M575" s="21" t="str">
        <f>IF(MonthlyFAME!N577=0,"",MonthlyFAME!N577)</f>
        <v/>
      </c>
      <c r="N575" s="21" t="str">
        <f>IF(MonthlyFAME!O577=0,"",MonthlyFAME!O577)</f>
        <v/>
      </c>
      <c r="O575" s="21" t="str">
        <f>IF(MonthlyFAME!P577=0,"",MonthlyFAME!P577)</f>
        <v/>
      </c>
      <c r="P575" s="21" t="str">
        <f>IF(MonthlyFAME!Q577=0,"",MonthlyFAME!Q577)</f>
        <v/>
      </c>
      <c r="Q575" s="21" t="str">
        <f>IF(MonthlyFAME!R577=0,"",MonthlyFAME!R577)</f>
        <v/>
      </c>
      <c r="R575" s="21" t="str">
        <f>IF(MonthlyFAME!S577=0,"",MonthlyFAME!S577)</f>
        <v/>
      </c>
      <c r="S575" s="21" t="str">
        <f>IF(MonthlyFAME!T577=0,"",MonthlyFAME!T577)</f>
        <v/>
      </c>
      <c r="T575" s="21">
        <f>IF(MonthlyFAME!U577=0,"",MonthlyFAME!U577)</f>
        <v>76.985000000000014</v>
      </c>
    </row>
    <row r="576" spans="1:20" x14ac:dyDescent="0.2">
      <c r="A576" s="23">
        <f>IF(MonthlyFAME!A578=0,"",MonthlyFAME!A578)</f>
        <v>39325</v>
      </c>
      <c r="B576" s="21">
        <f>IF(MonthlyFAME!B578=0,"",MonthlyFAME!B578)</f>
        <v>86.4</v>
      </c>
      <c r="C576" s="21">
        <f>IF(MonthlyFAME!C578=0,"",MonthlyFAME!C578)</f>
        <v>103.1</v>
      </c>
      <c r="D576" s="21">
        <f>IF(MonthlyFAME!D578=0,"",MonthlyFAME!D578)</f>
        <v>82.958600000000004</v>
      </c>
      <c r="E576" s="21">
        <f>IF(MonthlyFAME!F578=0,"",MonthlyFAME!F578)</f>
        <v>25719</v>
      </c>
      <c r="F576" s="21">
        <f>IF(MonthlyFAME!G578=0,"",MonthlyFAME!G578)</f>
        <v>33521</v>
      </c>
      <c r="G576" s="21">
        <f>IF(MonthlyFAME!H578=0,"",MonthlyFAME!H578)</f>
        <v>5.3028593533412849</v>
      </c>
      <c r="H576" s="21">
        <f>IF(MonthlyFAME!I578=0,"",MonthlyFAME!I578)</f>
        <v>29376</v>
      </c>
      <c r="I576" s="21">
        <f>IF(MonthlyFAME!J578=0,"",MonthlyFAME!J578)</f>
        <v>943</v>
      </c>
      <c r="J576" s="21">
        <f>IF(MonthlyFAME!K578=0,"",MonthlyFAME!K578)</f>
        <v>681</v>
      </c>
      <c r="K576" s="21">
        <f>IF(MonthlyFAME!L578=0,"",MonthlyFAME!L578)</f>
        <v>421.92091145814999</v>
      </c>
      <c r="L576" s="21">
        <f>IF(MonthlyFAME!M578=0,"",MonthlyFAME!M578)</f>
        <v>851.3</v>
      </c>
      <c r="M576" s="21" t="str">
        <f>IF(MonthlyFAME!N578=0,"",MonthlyFAME!N578)</f>
        <v/>
      </c>
      <c r="N576" s="21" t="str">
        <f>IF(MonthlyFAME!O578=0,"",MonthlyFAME!O578)</f>
        <v/>
      </c>
      <c r="O576" s="21" t="str">
        <f>IF(MonthlyFAME!P578=0,"",MonthlyFAME!P578)</f>
        <v/>
      </c>
      <c r="P576" s="21" t="str">
        <f>IF(MonthlyFAME!Q578=0,"",MonthlyFAME!Q578)</f>
        <v/>
      </c>
      <c r="Q576" s="21" t="str">
        <f>IF(MonthlyFAME!R578=0,"",MonthlyFAME!R578)</f>
        <v/>
      </c>
      <c r="R576" s="21" t="str">
        <f>IF(MonthlyFAME!S578=0,"",MonthlyFAME!S578)</f>
        <v/>
      </c>
      <c r="S576" s="21" t="str">
        <f>IF(MonthlyFAME!T578=0,"",MonthlyFAME!T578)</f>
        <v/>
      </c>
      <c r="T576" s="21">
        <f>IF(MonthlyFAME!U578=0,"",MonthlyFAME!U578)</f>
        <v>70.748260869565229</v>
      </c>
    </row>
    <row r="577" spans="1:20" x14ac:dyDescent="0.2">
      <c r="A577" s="23">
        <f>IF(MonthlyFAME!A579=0,"",MonthlyFAME!A579)</f>
        <v>39355</v>
      </c>
      <c r="B577" s="21">
        <f>IF(MonthlyFAME!B579=0,"",MonthlyFAME!B579)</f>
        <v>86.5</v>
      </c>
      <c r="C577" s="21">
        <f>IF(MonthlyFAME!C579=0,"",MonthlyFAME!C579)</f>
        <v>101.8</v>
      </c>
      <c r="D577" s="21">
        <f>IF(MonthlyFAME!D579=0,"",MonthlyFAME!D579)</f>
        <v>83.266800000000003</v>
      </c>
      <c r="E577" s="21">
        <f>IF(MonthlyFAME!F579=0,"",MonthlyFAME!F579)</f>
        <v>24882</v>
      </c>
      <c r="F577" s="21">
        <f>IF(MonthlyFAME!G579=0,"",MonthlyFAME!G579)</f>
        <v>33395</v>
      </c>
      <c r="G577" s="21">
        <f>IF(MonthlyFAME!H579=0,"",MonthlyFAME!H579)</f>
        <v>5.3105889925973608</v>
      </c>
      <c r="H577" s="21">
        <f>IF(MonthlyFAME!I579=0,"",MonthlyFAME!I579)</f>
        <v>29420</v>
      </c>
      <c r="I577" s="21">
        <f>IF(MonthlyFAME!J579=0,"",MonthlyFAME!J579)</f>
        <v>943.1</v>
      </c>
      <c r="J577" s="21">
        <f>IF(MonthlyFAME!K579=0,"",MonthlyFAME!K579)</f>
        <v>683</v>
      </c>
      <c r="K577" s="21">
        <f>IF(MonthlyFAME!L579=0,"",MonthlyFAME!L579)</f>
        <v>424.012486256209</v>
      </c>
      <c r="L577" s="21">
        <f>IF(MonthlyFAME!M579=0,"",MonthlyFAME!M579)</f>
        <v>844.5</v>
      </c>
      <c r="M577" s="21" t="str">
        <f>IF(MonthlyFAME!N579=0,"",MonthlyFAME!N579)</f>
        <v/>
      </c>
      <c r="N577" s="21" t="str">
        <f>IF(MonthlyFAME!O579=0,"",MonthlyFAME!O579)</f>
        <v/>
      </c>
      <c r="O577" s="21" t="str">
        <f>IF(MonthlyFAME!P579=0,"",MonthlyFAME!P579)</f>
        <v/>
      </c>
      <c r="P577" s="21" t="str">
        <f>IF(MonthlyFAME!Q579=0,"",MonthlyFAME!Q579)</f>
        <v/>
      </c>
      <c r="Q577" s="21" t="str">
        <f>IF(MonthlyFAME!R579=0,"",MonthlyFAME!R579)</f>
        <v/>
      </c>
      <c r="R577" s="21" t="str">
        <f>IF(MonthlyFAME!S579=0,"",MonthlyFAME!S579)</f>
        <v/>
      </c>
      <c r="S577" s="21" t="str">
        <f>IF(MonthlyFAME!T579=0,"",MonthlyFAME!T579)</f>
        <v/>
      </c>
      <c r="T577" s="21">
        <f>IF(MonthlyFAME!U579=0,"",MonthlyFAME!U579)</f>
        <v>76.856000000000009</v>
      </c>
    </row>
    <row r="578" spans="1:20" x14ac:dyDescent="0.2">
      <c r="A578" s="23">
        <f>IF(MonthlyFAME!A580=0,"",MonthlyFAME!A580)</f>
        <v>39386</v>
      </c>
      <c r="B578" s="21">
        <f>IF(MonthlyFAME!B580=0,"",MonthlyFAME!B580)</f>
        <v>86.2</v>
      </c>
      <c r="C578" s="21">
        <f>IF(MonthlyFAME!C580=0,"",MonthlyFAME!C580)</f>
        <v>102.4</v>
      </c>
      <c r="D578" s="21">
        <f>IF(MonthlyFAME!D580=0,"",MonthlyFAME!D580)</f>
        <v>82.887200000000007</v>
      </c>
      <c r="E578" s="21">
        <f>IF(MonthlyFAME!F580=0,"",MonthlyFAME!F580)</f>
        <v>25619</v>
      </c>
      <c r="F578" s="21">
        <f>IF(MonthlyFAME!G580=0,"",MonthlyFAME!G580)</f>
        <v>33367</v>
      </c>
      <c r="G578" s="21">
        <f>IF(MonthlyFAME!H580=0,"",MonthlyFAME!H580)</f>
        <v>5.2381105501784626</v>
      </c>
      <c r="H578" s="21">
        <f>IF(MonthlyFAME!I580=0,"",MonthlyFAME!I580)</f>
        <v>29470</v>
      </c>
      <c r="I578" s="21">
        <f>IF(MonthlyFAME!J580=0,"",MonthlyFAME!J580)</f>
        <v>944.9</v>
      </c>
      <c r="J578" s="21">
        <f>IF(MonthlyFAME!K580=0,"",MonthlyFAME!K580)</f>
        <v>686</v>
      </c>
      <c r="K578" s="21">
        <f>IF(MonthlyFAME!L580=0,"",MonthlyFAME!L580)</f>
        <v>422.64946139945602</v>
      </c>
      <c r="L578" s="21">
        <f>IF(MonthlyFAME!M580=0,"",MonthlyFAME!M580)</f>
        <v>836.3</v>
      </c>
      <c r="M578" s="21" t="str">
        <f>IF(MonthlyFAME!N580=0,"",MonthlyFAME!N580)</f>
        <v/>
      </c>
      <c r="N578" s="21" t="str">
        <f>IF(MonthlyFAME!O580=0,"",MonthlyFAME!O580)</f>
        <v/>
      </c>
      <c r="O578" s="21" t="str">
        <f>IF(MonthlyFAME!P580=0,"",MonthlyFAME!P580)</f>
        <v/>
      </c>
      <c r="P578" s="21" t="str">
        <f>IF(MonthlyFAME!Q580=0,"",MonthlyFAME!Q580)</f>
        <v/>
      </c>
      <c r="Q578" s="21" t="str">
        <f>IF(MonthlyFAME!R580=0,"",MonthlyFAME!R580)</f>
        <v/>
      </c>
      <c r="R578" s="21" t="str">
        <f>IF(MonthlyFAME!S580=0,"",MonthlyFAME!S580)</f>
        <v/>
      </c>
      <c r="S578" s="21" t="str">
        <f>IF(MonthlyFAME!T580=0,"",MonthlyFAME!T580)</f>
        <v/>
      </c>
      <c r="T578" s="21">
        <f>IF(MonthlyFAME!U580=0,"",MonthlyFAME!U580)</f>
        <v>82.466521739130442</v>
      </c>
    </row>
    <row r="579" spans="1:20" x14ac:dyDescent="0.2">
      <c r="A579" s="23">
        <f>IF(MonthlyFAME!A581=0,"",MonthlyFAME!A581)</f>
        <v>39416</v>
      </c>
      <c r="B579" s="21">
        <f>IF(MonthlyFAME!B581=0,"",MonthlyFAME!B581)</f>
        <v>86.7</v>
      </c>
      <c r="C579" s="21">
        <f>IF(MonthlyFAME!C581=0,"",MonthlyFAME!C581)</f>
        <v>102.6</v>
      </c>
      <c r="D579" s="21">
        <f>IF(MonthlyFAME!D581=0,"",MonthlyFAME!D581)</f>
        <v>83.431799999999996</v>
      </c>
      <c r="E579" s="21">
        <f>IF(MonthlyFAME!F581=0,"",MonthlyFAME!F581)</f>
        <v>26526</v>
      </c>
      <c r="F579" s="21">
        <f>IF(MonthlyFAME!G581=0,"",MonthlyFAME!G581)</f>
        <v>33705</v>
      </c>
      <c r="G579" s="21">
        <f>IF(MonthlyFAME!H581=0,"",MonthlyFAME!H581)</f>
        <v>5.2406931964056485</v>
      </c>
      <c r="H579" s="21">
        <f>IF(MonthlyFAME!I581=0,"",MonthlyFAME!I581)</f>
        <v>29527</v>
      </c>
      <c r="I579" s="21">
        <f>IF(MonthlyFAME!J581=0,"",MonthlyFAME!J581)</f>
        <v>944.7</v>
      </c>
      <c r="J579" s="21">
        <f>IF(MonthlyFAME!K581=0,"",MonthlyFAME!K581)</f>
        <v>691</v>
      </c>
      <c r="K579" s="21">
        <f>IF(MonthlyFAME!L581=0,"",MonthlyFAME!L581)</f>
        <v>425.88267690437402</v>
      </c>
      <c r="L579" s="21">
        <f>IF(MonthlyFAME!M581=0,"",MonthlyFAME!M581)</f>
        <v>825.2</v>
      </c>
      <c r="M579" s="21" t="str">
        <f>IF(MonthlyFAME!N581=0,"",MonthlyFAME!N581)</f>
        <v/>
      </c>
      <c r="N579" s="21" t="str">
        <f>IF(MonthlyFAME!O581=0,"",MonthlyFAME!O581)</f>
        <v/>
      </c>
      <c r="O579" s="21" t="str">
        <f>IF(MonthlyFAME!P581=0,"",MonthlyFAME!P581)</f>
        <v/>
      </c>
      <c r="P579" s="21" t="str">
        <f>IF(MonthlyFAME!Q581=0,"",MonthlyFAME!Q581)</f>
        <v/>
      </c>
      <c r="Q579" s="21" t="str">
        <f>IF(MonthlyFAME!R581=0,"",MonthlyFAME!R581)</f>
        <v/>
      </c>
      <c r="R579" s="21" t="str">
        <f>IF(MonthlyFAME!S581=0,"",MonthlyFAME!S581)</f>
        <v/>
      </c>
      <c r="S579" s="21" t="str">
        <f>IF(MonthlyFAME!T581=0,"",MonthlyFAME!T581)</f>
        <v/>
      </c>
      <c r="T579" s="21">
        <f>IF(MonthlyFAME!U581=0,"",MonthlyFAME!U581)</f>
        <v>92.587272727272719</v>
      </c>
    </row>
    <row r="580" spans="1:20" x14ac:dyDescent="0.2">
      <c r="A580" s="23">
        <f>IF(MonthlyFAME!A582=0,"",MonthlyFAME!A582)</f>
        <v>39447</v>
      </c>
      <c r="B580" s="21">
        <f>IF(MonthlyFAME!B582=0,"",MonthlyFAME!B582)</f>
        <v>87.1</v>
      </c>
      <c r="C580" s="21">
        <f>IF(MonthlyFAME!C582=0,"",MonthlyFAME!C582)</f>
        <v>102.1</v>
      </c>
      <c r="D580" s="21">
        <f>IF(MonthlyFAME!D582=0,"",MonthlyFAME!D582)</f>
        <v>83.911799999999999</v>
      </c>
      <c r="E580" s="21">
        <f>IF(MonthlyFAME!F582=0,"",MonthlyFAME!F582)</f>
        <v>24988</v>
      </c>
      <c r="F580" s="21">
        <f>IF(MonthlyFAME!G582=0,"",MonthlyFAME!G582)</f>
        <v>32090</v>
      </c>
      <c r="G580" s="21">
        <f>IF(MonthlyFAME!H582=0,"",MonthlyFAME!H582)</f>
        <v>5.1564905079527961</v>
      </c>
      <c r="H580" s="21">
        <f>IF(MonthlyFAME!I582=0,"",MonthlyFAME!I582)</f>
        <v>29576</v>
      </c>
      <c r="I580" s="21">
        <f>IF(MonthlyFAME!J582=0,"",MonthlyFAME!J582)</f>
        <v>943.1</v>
      </c>
      <c r="J580" s="21">
        <f>IF(MonthlyFAME!K582=0,"",MonthlyFAME!K582)</f>
        <v>687</v>
      </c>
      <c r="K580" s="21">
        <f>IF(MonthlyFAME!L582=0,"",MonthlyFAME!L582)</f>
        <v>425.58553925298997</v>
      </c>
      <c r="L580" s="21">
        <f>IF(MonthlyFAME!M582=0,"",MonthlyFAME!M582)</f>
        <v>815.2</v>
      </c>
      <c r="M580" s="21" t="str">
        <f>IF(MonthlyFAME!N582=0,"",MonthlyFAME!N582)</f>
        <v/>
      </c>
      <c r="N580" s="21" t="str">
        <f>IF(MonthlyFAME!O582=0,"",MonthlyFAME!O582)</f>
        <v/>
      </c>
      <c r="O580" s="21" t="str">
        <f>IF(MonthlyFAME!P582=0,"",MonthlyFAME!P582)</f>
        <v/>
      </c>
      <c r="P580" s="21" t="str">
        <f>IF(MonthlyFAME!Q582=0,"",MonthlyFAME!Q582)</f>
        <v/>
      </c>
      <c r="Q580" s="21" t="str">
        <f>IF(MonthlyFAME!R582=0,"",MonthlyFAME!R582)</f>
        <v/>
      </c>
      <c r="R580" s="21" t="str">
        <f>IF(MonthlyFAME!S582=0,"",MonthlyFAME!S582)</f>
        <v/>
      </c>
      <c r="S580" s="21" t="str">
        <f>IF(MonthlyFAME!T582=0,"",MonthlyFAME!T582)</f>
        <v/>
      </c>
      <c r="T580" s="21">
        <f>IF(MonthlyFAME!U582=0,"",MonthlyFAME!U582)</f>
        <v>91.243333333333339</v>
      </c>
    </row>
    <row r="581" spans="1:20" x14ac:dyDescent="0.2">
      <c r="A581" s="23">
        <f>IF(MonthlyFAME!A583=0,"",MonthlyFAME!A583)</f>
        <v>39478</v>
      </c>
      <c r="B581" s="21">
        <f>IF(MonthlyFAME!B583=0,"",MonthlyFAME!B583)</f>
        <v>87.2</v>
      </c>
      <c r="C581" s="21">
        <f>IF(MonthlyFAME!C583=0,"",MonthlyFAME!C583)</f>
        <v>102</v>
      </c>
      <c r="D581" s="21">
        <f>IF(MonthlyFAME!D583=0,"",MonthlyFAME!D583)</f>
        <v>83.983099999999993</v>
      </c>
      <c r="E581" s="21">
        <f>IF(MonthlyFAME!F583=0,"",MonthlyFAME!F583)</f>
        <v>25384</v>
      </c>
      <c r="F581" s="21">
        <f>IF(MonthlyFAME!G583=0,"",MonthlyFAME!G583)</f>
        <v>33024</v>
      </c>
      <c r="G581" s="21">
        <f>IF(MonthlyFAME!H583=0,"",MonthlyFAME!H583)</f>
        <v>5.1775479491530847</v>
      </c>
      <c r="H581" s="21">
        <f>IF(MonthlyFAME!I583=0,"",MonthlyFAME!I583)</f>
        <v>29614</v>
      </c>
      <c r="I581" s="21">
        <f>IF(MonthlyFAME!J583=0,"",MonthlyFAME!J583)</f>
        <v>943.1</v>
      </c>
      <c r="J581" s="21">
        <f>IF(MonthlyFAME!K583=0,"",MonthlyFAME!K583)</f>
        <v>678</v>
      </c>
      <c r="K581" s="21">
        <f>IF(MonthlyFAME!L583=0,"",MonthlyFAME!L583)</f>
        <v>429.19783802743098</v>
      </c>
      <c r="L581" s="21">
        <f>IF(MonthlyFAME!M583=0,"",MonthlyFAME!M583)</f>
        <v>792</v>
      </c>
      <c r="M581" s="21" t="str">
        <f>IF(MonthlyFAME!N583=0,"",MonthlyFAME!N583)</f>
        <v/>
      </c>
      <c r="N581" s="21" t="str">
        <f>IF(MonthlyFAME!O583=0,"",MonthlyFAME!O583)</f>
        <v/>
      </c>
      <c r="O581" s="21" t="str">
        <f>IF(MonthlyFAME!P583=0,"",MonthlyFAME!P583)</f>
        <v/>
      </c>
      <c r="P581" s="21" t="str">
        <f>IF(MonthlyFAME!Q583=0,"",MonthlyFAME!Q583)</f>
        <v/>
      </c>
      <c r="Q581" s="21" t="str">
        <f>IF(MonthlyFAME!R583=0,"",MonthlyFAME!R583)</f>
        <v/>
      </c>
      <c r="R581" s="21" t="str">
        <f>IF(MonthlyFAME!S583=0,"",MonthlyFAME!S583)</f>
        <v/>
      </c>
      <c r="S581" s="21" t="str">
        <f>IF(MonthlyFAME!T583=0,"",MonthlyFAME!T583)</f>
        <v/>
      </c>
      <c r="T581" s="21">
        <f>IF(MonthlyFAME!U583=0,"",MonthlyFAME!U583)</f>
        <v>92.061739130434788</v>
      </c>
    </row>
    <row r="582" spans="1:20" x14ac:dyDescent="0.2">
      <c r="A582" s="23">
        <f>IF(MonthlyFAME!A584=0,"",MonthlyFAME!A584)</f>
        <v>39507</v>
      </c>
      <c r="B582" s="21">
        <f>IF(MonthlyFAME!B584=0,"",MonthlyFAME!B584)</f>
        <v>87.6</v>
      </c>
      <c r="C582" s="21">
        <f>IF(MonthlyFAME!C584=0,"",MonthlyFAME!C584)</f>
        <v>103.3</v>
      </c>
      <c r="D582" s="21">
        <f>IF(MonthlyFAME!D584=0,"",MonthlyFAME!D584)</f>
        <v>84.225200000000001</v>
      </c>
      <c r="E582" s="21">
        <f>IF(MonthlyFAME!F584=0,"",MonthlyFAME!F584)</f>
        <v>26006</v>
      </c>
      <c r="F582" s="21">
        <f>IF(MonthlyFAME!G584=0,"",MonthlyFAME!G584)</f>
        <v>33317</v>
      </c>
      <c r="G582" s="21">
        <f>IF(MonthlyFAME!H584=0,"",MonthlyFAME!H584)</f>
        <v>5.1824397725094258</v>
      </c>
      <c r="H582" s="21">
        <f>IF(MonthlyFAME!I584=0,"",MonthlyFAME!I584)</f>
        <v>29676</v>
      </c>
      <c r="I582" s="21">
        <f>IF(MonthlyFAME!J584=0,"",MonthlyFAME!J584)</f>
        <v>946.2</v>
      </c>
      <c r="J582" s="21">
        <f>IF(MonthlyFAME!K584=0,"",MonthlyFAME!K584)</f>
        <v>687</v>
      </c>
      <c r="K582" s="21">
        <f>IF(MonthlyFAME!L584=0,"",MonthlyFAME!L584)</f>
        <v>435.27415486665097</v>
      </c>
      <c r="L582" s="21">
        <f>IF(MonthlyFAME!M584=0,"",MonthlyFAME!M584)</f>
        <v>778.4</v>
      </c>
      <c r="M582" s="21" t="str">
        <f>IF(MonthlyFAME!N584=0,"",MonthlyFAME!N584)</f>
        <v/>
      </c>
      <c r="N582" s="21" t="str">
        <f>IF(MonthlyFAME!O584=0,"",MonthlyFAME!O584)</f>
        <v/>
      </c>
      <c r="O582" s="21" t="str">
        <f>IF(MonthlyFAME!P584=0,"",MonthlyFAME!P584)</f>
        <v/>
      </c>
      <c r="P582" s="21" t="str">
        <f>IF(MonthlyFAME!Q584=0,"",MonthlyFAME!Q584)</f>
        <v/>
      </c>
      <c r="Q582" s="21" t="str">
        <f>IF(MonthlyFAME!R584=0,"",MonthlyFAME!R584)</f>
        <v/>
      </c>
      <c r="R582" s="21" t="str">
        <f>IF(MonthlyFAME!S584=0,"",MonthlyFAME!S584)</f>
        <v/>
      </c>
      <c r="S582" s="21" t="str">
        <f>IF(MonthlyFAME!T584=0,"",MonthlyFAME!T584)</f>
        <v/>
      </c>
      <c r="T582" s="21">
        <f>IF(MonthlyFAME!U584=0,"",MonthlyFAME!U584)</f>
        <v>94.992857142857133</v>
      </c>
    </row>
    <row r="583" spans="1:20" x14ac:dyDescent="0.2">
      <c r="A583" s="23">
        <f>IF(MonthlyFAME!A585=0,"",MonthlyFAME!A585)</f>
        <v>39538</v>
      </c>
      <c r="B583" s="21">
        <f>IF(MonthlyFAME!B585=0,"",MonthlyFAME!B585)</f>
        <v>87</v>
      </c>
      <c r="C583" s="21">
        <f>IF(MonthlyFAME!C585=0,"",MonthlyFAME!C585)</f>
        <v>100.4</v>
      </c>
      <c r="D583" s="21">
        <f>IF(MonthlyFAME!D585=0,"",MonthlyFAME!D585)</f>
        <v>83.942300000000003</v>
      </c>
      <c r="E583" s="21">
        <f>IF(MonthlyFAME!F585=0,"",MonthlyFAME!F585)</f>
        <v>25457</v>
      </c>
      <c r="F583" s="21">
        <f>IF(MonthlyFAME!G585=0,"",MonthlyFAME!G585)</f>
        <v>32659</v>
      </c>
      <c r="G583" s="21">
        <f>IF(MonthlyFAME!H585=0,"",MonthlyFAME!H585)</f>
        <v>5.1811154411294957</v>
      </c>
      <c r="H583" s="21">
        <f>IF(MonthlyFAME!I585=0,"",MonthlyFAME!I585)</f>
        <v>29684</v>
      </c>
      <c r="I583" s="21">
        <f>IF(MonthlyFAME!J585=0,"",MonthlyFAME!J585)</f>
        <v>955.1</v>
      </c>
      <c r="J583" s="21">
        <f>IF(MonthlyFAME!K585=0,"",MonthlyFAME!K585)</f>
        <v>697</v>
      </c>
      <c r="K583" s="21">
        <f>IF(MonthlyFAME!L585=0,"",MonthlyFAME!L585)</f>
        <v>437.037044913454</v>
      </c>
      <c r="L583" s="21">
        <f>IF(MonthlyFAME!M585=0,"",MonthlyFAME!M585)</f>
        <v>778.5</v>
      </c>
      <c r="M583" s="21" t="str">
        <f>IF(MonthlyFAME!N585=0,"",MonthlyFAME!N585)</f>
        <v/>
      </c>
      <c r="N583" s="21" t="str">
        <f>IF(MonthlyFAME!O585=0,"",MonthlyFAME!O585)</f>
        <v/>
      </c>
      <c r="O583" s="21" t="str">
        <f>IF(MonthlyFAME!P585=0,"",MonthlyFAME!P585)</f>
        <v/>
      </c>
      <c r="P583" s="21" t="str">
        <f>IF(MonthlyFAME!Q585=0,"",MonthlyFAME!Q585)</f>
        <v/>
      </c>
      <c r="Q583" s="21" t="str">
        <f>IF(MonthlyFAME!R585=0,"",MonthlyFAME!R585)</f>
        <v/>
      </c>
      <c r="R583" s="21" t="str">
        <f>IF(MonthlyFAME!S585=0,"",MonthlyFAME!S585)</f>
        <v/>
      </c>
      <c r="S583" s="21" t="str">
        <f>IF(MonthlyFAME!T585=0,"",MonthlyFAME!T585)</f>
        <v/>
      </c>
      <c r="T583" s="21">
        <f>IF(MonthlyFAME!U585=0,"",MonthlyFAME!U585)</f>
        <v>103.40047619047618</v>
      </c>
    </row>
    <row r="584" spans="1:20" x14ac:dyDescent="0.2">
      <c r="A584" s="23">
        <f>IF(MonthlyFAME!A586=0,"",MonthlyFAME!A586)</f>
        <v>39568</v>
      </c>
      <c r="B584" s="21">
        <f>IF(MonthlyFAME!B586=0,"",MonthlyFAME!B586)</f>
        <v>87.5</v>
      </c>
      <c r="C584" s="21">
        <f>IF(MonthlyFAME!C586=0,"",MonthlyFAME!C586)</f>
        <v>101.9</v>
      </c>
      <c r="D584" s="21">
        <f>IF(MonthlyFAME!D586=0,"",MonthlyFAME!D586)</f>
        <v>84.410899999999998</v>
      </c>
      <c r="E584" s="21">
        <f>IF(MonthlyFAME!F586=0,"",MonthlyFAME!F586)</f>
        <v>26454</v>
      </c>
      <c r="F584" s="21">
        <f>IF(MonthlyFAME!G586=0,"",MonthlyFAME!G586)</f>
        <v>33516</v>
      </c>
      <c r="G584" s="21">
        <f>IF(MonthlyFAME!H586=0,"",MonthlyFAME!H586)</f>
        <v>5.3134861186370443</v>
      </c>
      <c r="H584" s="21">
        <f>IF(MonthlyFAME!I586=0,"",MonthlyFAME!I586)</f>
        <v>29706</v>
      </c>
      <c r="I584" s="21">
        <f>IF(MonthlyFAME!J586=0,"",MonthlyFAME!J586)</f>
        <v>950.9</v>
      </c>
      <c r="J584" s="21">
        <f>IF(MonthlyFAME!K586=0,"",MonthlyFAME!K586)</f>
        <v>696</v>
      </c>
      <c r="K584" s="21">
        <f>IF(MonthlyFAME!L586=0,"",MonthlyFAME!L586)</f>
        <v>432.138261949487</v>
      </c>
      <c r="L584" s="21">
        <f>IF(MonthlyFAME!M586=0,"",MonthlyFAME!M586)</f>
        <v>792.4</v>
      </c>
      <c r="M584" s="21" t="str">
        <f>IF(MonthlyFAME!N586=0,"",MonthlyFAME!N586)</f>
        <v/>
      </c>
      <c r="N584" s="21" t="str">
        <f>IF(MonthlyFAME!O586=0,"",MonthlyFAME!O586)</f>
        <v/>
      </c>
      <c r="O584" s="21" t="str">
        <f>IF(MonthlyFAME!P586=0,"",MonthlyFAME!P586)</f>
        <v/>
      </c>
      <c r="P584" s="21" t="str">
        <f>IF(MonthlyFAME!Q586=0,"",MonthlyFAME!Q586)</f>
        <v/>
      </c>
      <c r="Q584" s="21" t="str">
        <f>IF(MonthlyFAME!R586=0,"",MonthlyFAME!R586)</f>
        <v/>
      </c>
      <c r="R584" s="21" t="str">
        <f>IF(MonthlyFAME!S586=0,"",MonthlyFAME!S586)</f>
        <v/>
      </c>
      <c r="S584" s="21" t="str">
        <f>IF(MonthlyFAME!T586=0,"",MonthlyFAME!T586)</f>
        <v/>
      </c>
      <c r="T584" s="21">
        <f>IF(MonthlyFAME!U586=0,"",MonthlyFAME!U586)</f>
        <v>108.98727272727274</v>
      </c>
    </row>
    <row r="585" spans="1:20" x14ac:dyDescent="0.2">
      <c r="A585" s="23">
        <f>IF(MonthlyFAME!A587=0,"",MonthlyFAME!A587)</f>
        <v>39599</v>
      </c>
      <c r="B585" s="21">
        <f>IF(MonthlyFAME!B587=0,"",MonthlyFAME!B587)</f>
        <v>86.7</v>
      </c>
      <c r="C585" s="21">
        <f>IF(MonthlyFAME!C587=0,"",MonthlyFAME!C587)</f>
        <v>101.1</v>
      </c>
      <c r="D585" s="21">
        <f>IF(MonthlyFAME!D587=0,"",MonthlyFAME!D587)</f>
        <v>83.608000000000004</v>
      </c>
      <c r="E585" s="21">
        <f>IF(MonthlyFAME!F587=0,"",MonthlyFAME!F587)</f>
        <v>26065</v>
      </c>
      <c r="F585" s="21">
        <f>IF(MonthlyFAME!G587=0,"",MonthlyFAME!G587)</f>
        <v>32634</v>
      </c>
      <c r="G585" s="21">
        <f>IF(MonthlyFAME!H587=0,"",MonthlyFAME!H587)</f>
        <v>5.1794479505322881</v>
      </c>
      <c r="H585" s="21">
        <f>IF(MonthlyFAME!I587=0,"",MonthlyFAME!I587)</f>
        <v>29749</v>
      </c>
      <c r="I585" s="21">
        <f>IF(MonthlyFAME!J587=0,"",MonthlyFAME!J587)</f>
        <v>951.2</v>
      </c>
      <c r="J585" s="21">
        <f>IF(MonthlyFAME!K587=0,"",MonthlyFAME!K587)</f>
        <v>679</v>
      </c>
      <c r="K585" s="21">
        <f>IF(MonthlyFAME!L587=0,"",MonthlyFAME!L587)</f>
        <v>433.60335696195398</v>
      </c>
      <c r="L585" s="21">
        <f>IF(MonthlyFAME!M587=0,"",MonthlyFAME!M587)</f>
        <v>814.7</v>
      </c>
      <c r="M585" s="21" t="str">
        <f>IF(MonthlyFAME!N587=0,"",MonthlyFAME!N587)</f>
        <v/>
      </c>
      <c r="N585" s="21" t="str">
        <f>IF(MonthlyFAME!O587=0,"",MonthlyFAME!O587)</f>
        <v/>
      </c>
      <c r="O585" s="21" t="str">
        <f>IF(MonthlyFAME!P587=0,"",MonthlyFAME!P587)</f>
        <v/>
      </c>
      <c r="P585" s="21" t="str">
        <f>IF(MonthlyFAME!Q587=0,"",MonthlyFAME!Q587)</f>
        <v/>
      </c>
      <c r="Q585" s="21" t="str">
        <f>IF(MonthlyFAME!R587=0,"",MonthlyFAME!R587)</f>
        <v/>
      </c>
      <c r="R585" s="21" t="str">
        <f>IF(MonthlyFAME!S587=0,"",MonthlyFAME!S587)</f>
        <v/>
      </c>
      <c r="S585" s="21" t="str">
        <f>IF(MonthlyFAME!T587=0,"",MonthlyFAME!T587)</f>
        <v/>
      </c>
      <c r="T585" s="21">
        <f>IF(MonthlyFAME!U587=0,"",MonthlyFAME!U587)</f>
        <v>123.04181818181819</v>
      </c>
    </row>
    <row r="586" spans="1:20" x14ac:dyDescent="0.2">
      <c r="A586" s="23">
        <f>IF(MonthlyFAME!A588=0,"",MonthlyFAME!A588)</f>
        <v>39629</v>
      </c>
      <c r="B586" s="21">
        <f>IF(MonthlyFAME!B588=0,"",MonthlyFAME!B588)</f>
        <v>86.6</v>
      </c>
      <c r="C586" s="21">
        <f>IF(MonthlyFAME!C588=0,"",MonthlyFAME!C588)</f>
        <v>100.7</v>
      </c>
      <c r="D586" s="21">
        <f>IF(MonthlyFAME!D588=0,"",MonthlyFAME!D588)</f>
        <v>83.623000000000005</v>
      </c>
      <c r="E586" s="21">
        <f>IF(MonthlyFAME!F588=0,"",MonthlyFAME!F588)</f>
        <v>25825</v>
      </c>
      <c r="F586" s="21">
        <f>IF(MonthlyFAME!G588=0,"",MonthlyFAME!G588)</f>
        <v>34416</v>
      </c>
      <c r="G586" s="21">
        <f>IF(MonthlyFAME!H588=0,"",MonthlyFAME!H588)</f>
        <v>5.3499777084262146</v>
      </c>
      <c r="H586" s="21">
        <f>IF(MonthlyFAME!I588=0,"",MonthlyFAME!I588)</f>
        <v>29722</v>
      </c>
      <c r="I586" s="21">
        <f>IF(MonthlyFAME!J588=0,"",MonthlyFAME!J588)</f>
        <v>944.6</v>
      </c>
      <c r="J586" s="21">
        <f>IF(MonthlyFAME!K588=0,"",MonthlyFAME!K588)</f>
        <v>657</v>
      </c>
      <c r="K586" s="21">
        <f>IF(MonthlyFAME!L588=0,"",MonthlyFAME!L588)</f>
        <v>432.58638164412298</v>
      </c>
      <c r="L586" s="21">
        <f>IF(MonthlyFAME!M588=0,"",MonthlyFAME!M588)</f>
        <v>848.7</v>
      </c>
      <c r="M586" s="21" t="str">
        <f>IF(MonthlyFAME!N588=0,"",MonthlyFAME!N588)</f>
        <v/>
      </c>
      <c r="N586" s="21" t="str">
        <f>IF(MonthlyFAME!O588=0,"",MonthlyFAME!O588)</f>
        <v/>
      </c>
      <c r="O586" s="21" t="str">
        <f>IF(MonthlyFAME!P588=0,"",MonthlyFAME!P588)</f>
        <v/>
      </c>
      <c r="P586" s="21" t="str">
        <f>IF(MonthlyFAME!Q588=0,"",MonthlyFAME!Q588)</f>
        <v/>
      </c>
      <c r="Q586" s="21" t="str">
        <f>IF(MonthlyFAME!R588=0,"",MonthlyFAME!R588)</f>
        <v/>
      </c>
      <c r="R586" s="21" t="str">
        <f>IF(MonthlyFAME!S588=0,"",MonthlyFAME!S588)</f>
        <v/>
      </c>
      <c r="S586" s="21" t="str">
        <f>IF(MonthlyFAME!T588=0,"",MonthlyFAME!T588)</f>
        <v/>
      </c>
      <c r="T586" s="21">
        <f>IF(MonthlyFAME!U588=0,"",MonthlyFAME!U588)</f>
        <v>132.36095238095237</v>
      </c>
    </row>
    <row r="587" spans="1:20" x14ac:dyDescent="0.2">
      <c r="A587" s="23">
        <f>IF(MonthlyFAME!A589=0,"",MonthlyFAME!A589)</f>
        <v>39660</v>
      </c>
      <c r="B587" s="21">
        <f>IF(MonthlyFAME!B589=0,"",MonthlyFAME!B589)</f>
        <v>86.1</v>
      </c>
      <c r="C587" s="21">
        <f>IF(MonthlyFAME!C589=0,"",MonthlyFAME!C589)</f>
        <v>101.5</v>
      </c>
      <c r="D587" s="21">
        <f>IF(MonthlyFAME!D589=0,"",MonthlyFAME!D589)</f>
        <v>82.991200000000006</v>
      </c>
      <c r="E587" s="21">
        <f>IF(MonthlyFAME!F589=0,"",MonthlyFAME!F589)</f>
        <v>26563</v>
      </c>
      <c r="F587" s="21">
        <f>IF(MonthlyFAME!G589=0,"",MonthlyFAME!G589)</f>
        <v>33583</v>
      </c>
      <c r="G587" s="21">
        <f>IF(MonthlyFAME!H589=0,"",MonthlyFAME!H589)</f>
        <v>5.486950986632718</v>
      </c>
      <c r="H587" s="21">
        <f>IF(MonthlyFAME!I589=0,"",MonthlyFAME!I589)</f>
        <v>29696</v>
      </c>
      <c r="I587" s="21">
        <f>IF(MonthlyFAME!J589=0,"",MonthlyFAME!J589)</f>
        <v>950.1</v>
      </c>
      <c r="J587" s="21">
        <f>IF(MonthlyFAME!K589=0,"",MonthlyFAME!K589)</f>
        <v>643</v>
      </c>
      <c r="K587" s="21">
        <f>IF(MonthlyFAME!L589=0,"",MonthlyFAME!L589)</f>
        <v>434.49290680147698</v>
      </c>
      <c r="L587" s="21">
        <f>IF(MonthlyFAME!M589=0,"",MonthlyFAME!M589)</f>
        <v>882.7</v>
      </c>
      <c r="M587" s="21" t="str">
        <f>IF(MonthlyFAME!N589=0,"",MonthlyFAME!N589)</f>
        <v/>
      </c>
      <c r="N587" s="21" t="str">
        <f>IF(MonthlyFAME!O589=0,"",MonthlyFAME!O589)</f>
        <v/>
      </c>
      <c r="O587" s="21" t="str">
        <f>IF(MonthlyFAME!P589=0,"",MonthlyFAME!P589)</f>
        <v/>
      </c>
      <c r="P587" s="21" t="str">
        <f>IF(MonthlyFAME!Q589=0,"",MonthlyFAME!Q589)</f>
        <v/>
      </c>
      <c r="Q587" s="21" t="str">
        <f>IF(MonthlyFAME!R589=0,"",MonthlyFAME!R589)</f>
        <v/>
      </c>
      <c r="R587" s="21" t="str">
        <f>IF(MonthlyFAME!S589=0,"",MonthlyFAME!S589)</f>
        <v/>
      </c>
      <c r="S587" s="21" t="str">
        <f>IF(MonthlyFAME!T589=0,"",MonthlyFAME!T589)</f>
        <v/>
      </c>
      <c r="T587" s="21">
        <f>IF(MonthlyFAME!U589=0,"",MonthlyFAME!U589)</f>
        <v>133.1</v>
      </c>
    </row>
    <row r="588" spans="1:20" x14ac:dyDescent="0.2">
      <c r="A588" s="23">
        <f>IF(MonthlyFAME!A590=0,"",MonthlyFAME!A590)</f>
        <v>39691</v>
      </c>
      <c r="B588" s="21">
        <f>IF(MonthlyFAME!B590=0,"",MonthlyFAME!B590)</f>
        <v>85.8</v>
      </c>
      <c r="C588" s="21">
        <f>IF(MonthlyFAME!C590=0,"",MonthlyFAME!C590)</f>
        <v>100.8</v>
      </c>
      <c r="D588" s="21">
        <f>IF(MonthlyFAME!D590=0,"",MonthlyFAME!D590)</f>
        <v>82.769599999999997</v>
      </c>
      <c r="E588" s="21">
        <f>IF(MonthlyFAME!F590=0,"",MonthlyFAME!F590)</f>
        <v>25413</v>
      </c>
      <c r="F588" s="21">
        <f>IF(MonthlyFAME!G590=0,"",MonthlyFAME!G590)</f>
        <v>32189</v>
      </c>
      <c r="G588" s="21">
        <f>IF(MonthlyFAME!H590=0,"",MonthlyFAME!H590)</f>
        <v>5.7092819614711035</v>
      </c>
      <c r="H588" s="21">
        <f>IF(MonthlyFAME!I590=0,"",MonthlyFAME!I590)</f>
        <v>29612</v>
      </c>
      <c r="I588" s="21">
        <f>IF(MonthlyFAME!J590=0,"",MonthlyFAME!J590)</f>
        <v>948</v>
      </c>
      <c r="J588" s="21">
        <f>IF(MonthlyFAME!K590=0,"",MonthlyFAME!K590)</f>
        <v>624</v>
      </c>
      <c r="K588" s="21">
        <f>IF(MonthlyFAME!L590=0,"",MonthlyFAME!L590)</f>
        <v>435.065588880978</v>
      </c>
      <c r="L588" s="21">
        <f>IF(MonthlyFAME!M590=0,"",MonthlyFAME!M590)</f>
        <v>924.9</v>
      </c>
      <c r="M588" s="21" t="str">
        <f>IF(MonthlyFAME!N590=0,"",MonthlyFAME!N590)</f>
        <v/>
      </c>
      <c r="N588" s="21" t="str">
        <f>IF(MonthlyFAME!O590=0,"",MonthlyFAME!O590)</f>
        <v/>
      </c>
      <c r="O588" s="21" t="str">
        <f>IF(MonthlyFAME!P590=0,"",MonthlyFAME!P590)</f>
        <v/>
      </c>
      <c r="P588" s="21" t="str">
        <f>IF(MonthlyFAME!Q590=0,"",MonthlyFAME!Q590)</f>
        <v/>
      </c>
      <c r="Q588" s="21" t="str">
        <f>IF(MonthlyFAME!R590=0,"",MonthlyFAME!R590)</f>
        <v/>
      </c>
      <c r="R588" s="21" t="str">
        <f>IF(MonthlyFAME!S590=0,"",MonthlyFAME!S590)</f>
        <v/>
      </c>
      <c r="S588" s="21" t="str">
        <f>IF(MonthlyFAME!T590=0,"",MonthlyFAME!T590)</f>
        <v/>
      </c>
      <c r="T588" s="21">
        <f>IF(MonthlyFAME!U590=0,"",MonthlyFAME!U590)</f>
        <v>113.01714285714282</v>
      </c>
    </row>
    <row r="589" spans="1:20" x14ac:dyDescent="0.2">
      <c r="A589" s="23">
        <f>IF(MonthlyFAME!A591=0,"",MonthlyFAME!A591)</f>
        <v>39721</v>
      </c>
      <c r="B589" s="21">
        <f>IF(MonthlyFAME!B591=0,"",MonthlyFAME!B591)</f>
        <v>84.8</v>
      </c>
      <c r="C589" s="21">
        <f>IF(MonthlyFAME!C591=0,"",MonthlyFAME!C591)</f>
        <v>100.4</v>
      </c>
      <c r="D589" s="21">
        <f>IF(MonthlyFAME!D591=0,"",MonthlyFAME!D591)</f>
        <v>81.758399999999995</v>
      </c>
      <c r="E589" s="21">
        <f>IF(MonthlyFAME!F591=0,"",MonthlyFAME!F591)</f>
        <v>26162</v>
      </c>
      <c r="F589" s="21">
        <f>IF(MonthlyFAME!G591=0,"",MonthlyFAME!G591)</f>
        <v>32406</v>
      </c>
      <c r="G589" s="21">
        <f>IF(MonthlyFAME!H591=0,"",MonthlyFAME!H591)</f>
        <v>5.8561425843411836</v>
      </c>
      <c r="H589" s="21">
        <f>IF(MonthlyFAME!I591=0,"",MonthlyFAME!I591)</f>
        <v>29580</v>
      </c>
      <c r="I589" s="21">
        <f>IF(MonthlyFAME!J591=0,"",MonthlyFAME!J591)</f>
        <v>945.2</v>
      </c>
      <c r="J589" s="21">
        <f>IF(MonthlyFAME!K591=0,"",MonthlyFAME!K591)</f>
        <v>615</v>
      </c>
      <c r="K589" s="21">
        <f>IF(MonthlyFAME!L591=0,"",MonthlyFAME!L591)</f>
        <v>435.29284157741603</v>
      </c>
      <c r="L589" s="21">
        <f>IF(MonthlyFAME!M591=0,"",MonthlyFAME!M591)</f>
        <v>968.6</v>
      </c>
      <c r="M589" s="21" t="str">
        <f>IF(MonthlyFAME!N591=0,"",MonthlyFAME!N591)</f>
        <v/>
      </c>
      <c r="N589" s="21" t="str">
        <f>IF(MonthlyFAME!O591=0,"",MonthlyFAME!O591)</f>
        <v/>
      </c>
      <c r="O589" s="21" t="str">
        <f>IF(MonthlyFAME!P591=0,"",MonthlyFAME!P591)</f>
        <v/>
      </c>
      <c r="P589" s="21" t="str">
        <f>IF(MonthlyFAME!Q591=0,"",MonthlyFAME!Q591)</f>
        <v/>
      </c>
      <c r="Q589" s="21" t="str">
        <f>IF(MonthlyFAME!R591=0,"",MonthlyFAME!R591)</f>
        <v/>
      </c>
      <c r="R589" s="21" t="str">
        <f>IF(MonthlyFAME!S591=0,"",MonthlyFAME!S591)</f>
        <v/>
      </c>
      <c r="S589" s="21" t="str">
        <f>IF(MonthlyFAME!T591=0,"",MonthlyFAME!T591)</f>
        <v/>
      </c>
      <c r="T589" s="21">
        <f>IF(MonthlyFAME!U591=0,"",MonthlyFAME!U591)</f>
        <v>98.084545454545463</v>
      </c>
    </row>
    <row r="590" spans="1:20" x14ac:dyDescent="0.2">
      <c r="A590" s="23">
        <f>IF(MonthlyFAME!A592=0,"",MonthlyFAME!A592)</f>
        <v>39752</v>
      </c>
      <c r="B590" s="21">
        <f>IF(MonthlyFAME!B592=0,"",MonthlyFAME!B592)</f>
        <v>84.6</v>
      </c>
      <c r="C590" s="21">
        <f>IF(MonthlyFAME!C592=0,"",MonthlyFAME!C592)</f>
        <v>100.3</v>
      </c>
      <c r="D590" s="21">
        <f>IF(MonthlyFAME!D592=0,"",MonthlyFAME!D592)</f>
        <v>81.529799999999994</v>
      </c>
      <c r="E590" s="21">
        <f>IF(MonthlyFAME!F592=0,"",MonthlyFAME!F592)</f>
        <v>25368</v>
      </c>
      <c r="F590" s="21">
        <f>IF(MonthlyFAME!G592=0,"",MonthlyFAME!G592)</f>
        <v>31690</v>
      </c>
      <c r="G590" s="21">
        <f>IF(MonthlyFAME!H592=0,"",MonthlyFAME!H592)</f>
        <v>5.9694364851957973</v>
      </c>
      <c r="H590" s="21">
        <f>IF(MonthlyFAME!I592=0,"",MonthlyFAME!I592)</f>
        <v>29535</v>
      </c>
      <c r="I590" s="21">
        <f>IF(MonthlyFAME!J592=0,"",MonthlyFAME!J592)</f>
        <v>942.1</v>
      </c>
      <c r="J590" s="21">
        <f>IF(MonthlyFAME!K592=0,"",MonthlyFAME!K592)</f>
        <v>596</v>
      </c>
      <c r="K590" s="21">
        <f>IF(MonthlyFAME!L592=0,"",MonthlyFAME!L592)</f>
        <v>437.314417859223</v>
      </c>
      <c r="L590" s="21">
        <f>IF(MonthlyFAME!M592=0,"",MonthlyFAME!M592)</f>
        <v>1012.3</v>
      </c>
      <c r="M590" s="21" t="str">
        <f>IF(MonthlyFAME!N592=0,"",MonthlyFAME!N592)</f>
        <v/>
      </c>
      <c r="N590" s="21" t="str">
        <f>IF(MonthlyFAME!O592=0,"",MonthlyFAME!O592)</f>
        <v/>
      </c>
      <c r="O590" s="21" t="str">
        <f>IF(MonthlyFAME!P592=0,"",MonthlyFAME!P592)</f>
        <v/>
      </c>
      <c r="P590" s="21" t="str">
        <f>IF(MonthlyFAME!Q592=0,"",MonthlyFAME!Q592)</f>
        <v/>
      </c>
      <c r="Q590" s="21" t="str">
        <f>IF(MonthlyFAME!R592=0,"",MonthlyFAME!R592)</f>
        <v/>
      </c>
      <c r="R590" s="21" t="str">
        <f>IF(MonthlyFAME!S592=0,"",MonthlyFAME!S592)</f>
        <v/>
      </c>
      <c r="S590" s="21" t="str">
        <f>IF(MonthlyFAME!T592=0,"",MonthlyFAME!T592)</f>
        <v/>
      </c>
      <c r="T590" s="21">
        <f>IF(MonthlyFAME!U592=0,"",MonthlyFAME!U592)</f>
        <v>71.879565217391303</v>
      </c>
    </row>
    <row r="591" spans="1:20" x14ac:dyDescent="0.2">
      <c r="A591" s="23">
        <f>IF(MonthlyFAME!A593=0,"",MonthlyFAME!A593)</f>
        <v>39782</v>
      </c>
      <c r="B591" s="21">
        <f>IF(MonthlyFAME!B593=0,"",MonthlyFAME!B593)</f>
        <v>83.4</v>
      </c>
      <c r="C591" s="21">
        <f>IF(MonthlyFAME!C593=0,"",MonthlyFAME!C593)</f>
        <v>96.1</v>
      </c>
      <c r="D591" s="21">
        <f>IF(MonthlyFAME!D593=0,"",MonthlyFAME!D593)</f>
        <v>80.9773</v>
      </c>
      <c r="E591" s="21">
        <f>IF(MonthlyFAME!F593=0,"",MonthlyFAME!F593)</f>
        <v>23701</v>
      </c>
      <c r="F591" s="21">
        <f>IF(MonthlyFAME!G593=0,"",MonthlyFAME!G593)</f>
        <v>30605</v>
      </c>
      <c r="G591" s="21">
        <f>IF(MonthlyFAME!H593=0,"",MonthlyFAME!H593)</f>
        <v>6.1624916658729401</v>
      </c>
      <c r="H591" s="21">
        <f>IF(MonthlyFAME!I593=0,"",MonthlyFAME!I593)</f>
        <v>29556</v>
      </c>
      <c r="I591" s="21">
        <f>IF(MonthlyFAME!J593=0,"",MonthlyFAME!J593)</f>
        <v>941</v>
      </c>
      <c r="J591" s="21">
        <f>IF(MonthlyFAME!K593=0,"",MonthlyFAME!K593)</f>
        <v>562</v>
      </c>
      <c r="K591" s="21">
        <f>IF(MonthlyFAME!L593=0,"",MonthlyFAME!L593)</f>
        <v>435.82723164437903</v>
      </c>
      <c r="L591" s="21">
        <f>IF(MonthlyFAME!M593=0,"",MonthlyFAME!M593)</f>
        <v>1100.4000000000001</v>
      </c>
      <c r="M591" s="21" t="str">
        <f>IF(MonthlyFAME!N593=0,"",MonthlyFAME!N593)</f>
        <v/>
      </c>
      <c r="N591" s="21" t="str">
        <f>IF(MonthlyFAME!O593=0,"",MonthlyFAME!O593)</f>
        <v/>
      </c>
      <c r="O591" s="21" t="str">
        <f>IF(MonthlyFAME!P593=0,"",MonthlyFAME!P593)</f>
        <v/>
      </c>
      <c r="P591" s="21" t="str">
        <f>IF(MonthlyFAME!Q593=0,"",MonthlyFAME!Q593)</f>
        <v/>
      </c>
      <c r="Q591" s="21" t="str">
        <f>IF(MonthlyFAME!R593=0,"",MonthlyFAME!R593)</f>
        <v/>
      </c>
      <c r="R591" s="21" t="str">
        <f>IF(MonthlyFAME!S593=0,"",MonthlyFAME!S593)</f>
        <v/>
      </c>
      <c r="S591" s="21" t="str">
        <f>IF(MonthlyFAME!T593=0,"",MonthlyFAME!T593)</f>
        <v/>
      </c>
      <c r="T591" s="21">
        <f>IF(MonthlyFAME!U593=0,"",MonthlyFAME!U593)</f>
        <v>52.581500000000005</v>
      </c>
    </row>
    <row r="592" spans="1:20" x14ac:dyDescent="0.2">
      <c r="A592" s="23">
        <f>IF(MonthlyFAME!A594=0,"",MonthlyFAME!A594)</f>
        <v>39813</v>
      </c>
      <c r="B592" s="21">
        <f>IF(MonthlyFAME!B594=0,"",MonthlyFAME!B594)</f>
        <v>83.2</v>
      </c>
      <c r="C592" s="21">
        <f>IF(MonthlyFAME!C594=0,"",MonthlyFAME!C594)</f>
        <v>96.2</v>
      </c>
      <c r="D592" s="21">
        <f>IF(MonthlyFAME!D594=0,"",MonthlyFAME!D594)</f>
        <v>80.91</v>
      </c>
      <c r="E592" s="21">
        <f>IF(MonthlyFAME!F594=0,"",MonthlyFAME!F594)</f>
        <v>23635</v>
      </c>
      <c r="F592" s="21">
        <f>IF(MonthlyFAME!G594=0,"",MonthlyFAME!G594)</f>
        <v>29402</v>
      </c>
      <c r="G592" s="21">
        <f>IF(MonthlyFAME!H594=0,"",MonthlyFAME!H594)</f>
        <v>6.3524785132092223</v>
      </c>
      <c r="H592" s="21">
        <f>IF(MonthlyFAME!I594=0,"",MonthlyFAME!I594)</f>
        <v>29528</v>
      </c>
      <c r="I592" s="21">
        <f>IF(MonthlyFAME!J594=0,"",MonthlyFAME!J594)</f>
        <v>939.5</v>
      </c>
      <c r="J592" s="21">
        <f>IF(MonthlyFAME!K594=0,"",MonthlyFAME!K594)</f>
        <v>527</v>
      </c>
      <c r="K592" s="21">
        <f>IF(MonthlyFAME!L594=0,"",MonthlyFAME!L594)</f>
        <v>436.33894186415</v>
      </c>
      <c r="L592" s="21">
        <f>IF(MonthlyFAME!M594=0,"",MonthlyFAME!M594)</f>
        <v>1179.4000000000001</v>
      </c>
      <c r="M592" s="21" t="str">
        <f>IF(MonthlyFAME!N594=0,"",MonthlyFAME!N594)</f>
        <v/>
      </c>
      <c r="N592" s="21" t="str">
        <f>IF(MonthlyFAME!O594=0,"",MonthlyFAME!O594)</f>
        <v/>
      </c>
      <c r="O592" s="21" t="str">
        <f>IF(MonthlyFAME!P594=0,"",MonthlyFAME!P594)</f>
        <v/>
      </c>
      <c r="P592" s="21" t="str">
        <f>IF(MonthlyFAME!Q594=0,"",MonthlyFAME!Q594)</f>
        <v/>
      </c>
      <c r="Q592" s="21" t="str">
        <f>IF(MonthlyFAME!R594=0,"",MonthlyFAME!R594)</f>
        <v/>
      </c>
      <c r="R592" s="21" t="str">
        <f>IF(MonthlyFAME!S594=0,"",MonthlyFAME!S594)</f>
        <v/>
      </c>
      <c r="S592" s="21" t="str">
        <f>IF(MonthlyFAME!T594=0,"",MonthlyFAME!T594)</f>
        <v/>
      </c>
      <c r="T592" s="21">
        <f>IF(MonthlyFAME!U594=0,"",MonthlyFAME!U594)</f>
        <v>39.818695652173922</v>
      </c>
    </row>
    <row r="593" spans="1:20" x14ac:dyDescent="0.2">
      <c r="A593" s="23">
        <f>IF(MonthlyFAME!A595=0,"",MonthlyFAME!A595)</f>
        <v>39844</v>
      </c>
      <c r="B593" s="21">
        <f>IF(MonthlyFAME!B595=0,"",MonthlyFAME!B595)</f>
        <v>82.4</v>
      </c>
      <c r="C593" s="21">
        <f>IF(MonthlyFAME!C595=0,"",MonthlyFAME!C595)</f>
        <v>93.9</v>
      </c>
      <c r="D593" s="21">
        <f>IF(MonthlyFAME!D595=0,"",MonthlyFAME!D595)</f>
        <v>80.528400000000005</v>
      </c>
      <c r="E593" s="21">
        <f>IF(MonthlyFAME!F595=0,"",MonthlyFAME!F595)</f>
        <v>22651</v>
      </c>
      <c r="F593" s="21">
        <f>IF(MonthlyFAME!G595=0,"",MonthlyFAME!G595)</f>
        <v>28884</v>
      </c>
      <c r="G593" s="21">
        <f>IF(MonthlyFAME!H595=0,"",MonthlyFAME!H595)</f>
        <v>6.5103177617419927</v>
      </c>
      <c r="H593" s="21">
        <f>IF(MonthlyFAME!I595=0,"",MonthlyFAME!I595)</f>
        <v>29539</v>
      </c>
      <c r="I593" s="21">
        <f>IF(MonthlyFAME!J595=0,"",MonthlyFAME!J595)</f>
        <v>936.8</v>
      </c>
      <c r="J593" s="21">
        <f>IF(MonthlyFAME!K595=0,"",MonthlyFAME!K595)</f>
        <v>497</v>
      </c>
      <c r="K593" s="21">
        <f>IF(MonthlyFAME!L595=0,"",MonthlyFAME!L595)</f>
        <v>421.362506309769</v>
      </c>
      <c r="L593" s="21">
        <f>IF(MonthlyFAME!M595=0,"",MonthlyFAME!M595)</f>
        <v>1240.8</v>
      </c>
      <c r="M593" s="21" t="str">
        <f>IF(MonthlyFAME!N595=0,"",MonthlyFAME!N595)</f>
        <v/>
      </c>
      <c r="N593" s="21" t="str">
        <f>IF(MonthlyFAME!O595=0,"",MonthlyFAME!O595)</f>
        <v/>
      </c>
      <c r="O593" s="21" t="str">
        <f>IF(MonthlyFAME!P595=0,"",MonthlyFAME!P595)</f>
        <v/>
      </c>
      <c r="P593" s="21" t="str">
        <f>IF(MonthlyFAME!Q595=0,"",MonthlyFAME!Q595)</f>
        <v/>
      </c>
      <c r="Q593" s="21" t="str">
        <f>IF(MonthlyFAME!R595=0,"",MonthlyFAME!R595)</f>
        <v/>
      </c>
      <c r="R593" s="21" t="str">
        <f>IF(MonthlyFAME!S595=0,"",MonthlyFAME!S595)</f>
        <v/>
      </c>
      <c r="S593" s="21" t="str">
        <f>IF(MonthlyFAME!T595=0,"",MonthlyFAME!T595)</f>
        <v/>
      </c>
      <c r="T593" s="21">
        <f>IF(MonthlyFAME!U595=0,"",MonthlyFAME!U595)</f>
        <v>43.375909090909097</v>
      </c>
    </row>
    <row r="594" spans="1:20" x14ac:dyDescent="0.2">
      <c r="A594" s="23">
        <f>IF(MonthlyFAME!A596=0,"",MonthlyFAME!A596)</f>
        <v>39872</v>
      </c>
      <c r="B594" s="21">
        <f>IF(MonthlyFAME!B596=0,"",MonthlyFAME!B596)</f>
        <v>82.3</v>
      </c>
      <c r="C594" s="21">
        <f>IF(MonthlyFAME!C596=0,"",MonthlyFAME!C596)</f>
        <v>93.9</v>
      </c>
      <c r="D594" s="21">
        <f>IF(MonthlyFAME!D596=0,"",MonthlyFAME!D596)</f>
        <v>80.547499999999999</v>
      </c>
      <c r="E594" s="21">
        <f>IF(MonthlyFAME!F596=0,"",MonthlyFAME!F596)</f>
        <v>22773</v>
      </c>
      <c r="F594" s="21">
        <f>IF(MonthlyFAME!G596=0,"",MonthlyFAME!G596)</f>
        <v>28789</v>
      </c>
      <c r="G594" s="21">
        <f>IF(MonthlyFAME!H596=0,"",MonthlyFAME!H596)</f>
        <v>6.743353297208226</v>
      </c>
      <c r="H594" s="21">
        <f>IF(MonthlyFAME!I596=0,"",MonthlyFAME!I596)</f>
        <v>29429</v>
      </c>
      <c r="I594" s="21">
        <f>IF(MonthlyFAME!J596=0,"",MonthlyFAME!J596)</f>
        <v>928.2</v>
      </c>
      <c r="J594" s="21">
        <f>IF(MonthlyFAME!K596=0,"",MonthlyFAME!K596)</f>
        <v>478</v>
      </c>
      <c r="K594" s="21">
        <f>IF(MonthlyFAME!L596=0,"",MonthlyFAME!L596)</f>
        <v>409.231087076297</v>
      </c>
      <c r="L594" s="21">
        <f>IF(MonthlyFAME!M596=0,"",MonthlyFAME!M596)</f>
        <v>1383.6</v>
      </c>
      <c r="M594" s="21" t="str">
        <f>IF(MonthlyFAME!N596=0,"",MonthlyFAME!N596)</f>
        <v/>
      </c>
      <c r="N594" s="21" t="str">
        <f>IF(MonthlyFAME!O596=0,"",MonthlyFAME!O596)</f>
        <v/>
      </c>
      <c r="O594" s="21" t="str">
        <f>IF(MonthlyFAME!P596=0,"",MonthlyFAME!P596)</f>
        <v/>
      </c>
      <c r="P594" s="21" t="str">
        <f>IF(MonthlyFAME!Q596=0,"",MonthlyFAME!Q596)</f>
        <v/>
      </c>
      <c r="Q594" s="21" t="str">
        <f>IF(MonthlyFAME!R596=0,"",MonthlyFAME!R596)</f>
        <v/>
      </c>
      <c r="R594" s="21" t="str">
        <f>IF(MonthlyFAME!S596=0,"",MonthlyFAME!S596)</f>
        <v/>
      </c>
      <c r="S594" s="21" t="str">
        <f>IF(MonthlyFAME!T596=0,"",MonthlyFAME!T596)</f>
        <v/>
      </c>
      <c r="T594" s="21">
        <f>IF(MonthlyFAME!U596=0,"",MonthlyFAME!U596)</f>
        <v>43.052000000000007</v>
      </c>
    </row>
    <row r="595" spans="1:20" x14ac:dyDescent="0.2">
      <c r="A595" s="23">
        <f>IF(MonthlyFAME!A597=0,"",MonthlyFAME!A597)</f>
        <v>39903</v>
      </c>
      <c r="B595" s="21">
        <f>IF(MonthlyFAME!B597=0,"",MonthlyFAME!B597)</f>
        <v>81.5</v>
      </c>
      <c r="C595" s="21">
        <f>IF(MonthlyFAME!C597=0,"",MonthlyFAME!C597)</f>
        <v>93.2</v>
      </c>
      <c r="D595" s="21">
        <f>IF(MonthlyFAME!D597=0,"",MonthlyFAME!D597)</f>
        <v>79.837299999999999</v>
      </c>
      <c r="E595" s="21">
        <f>IF(MonthlyFAME!F597=0,"",MonthlyFAME!F597)</f>
        <v>22130</v>
      </c>
      <c r="F595" s="21">
        <f>IF(MonthlyFAME!G597=0,"",MonthlyFAME!G597)</f>
        <v>29812</v>
      </c>
      <c r="G595" s="21">
        <f>IF(MonthlyFAME!H597=0,"",MonthlyFAME!H597)</f>
        <v>7.0725609949052242</v>
      </c>
      <c r="H595" s="21">
        <f>IF(MonthlyFAME!I597=0,"",MonthlyFAME!I597)</f>
        <v>29366</v>
      </c>
      <c r="I595" s="21">
        <f>IF(MonthlyFAME!J597=0,"",MonthlyFAME!J597)</f>
        <v>923.5</v>
      </c>
      <c r="J595" s="21">
        <f>IF(MonthlyFAME!K597=0,"",MonthlyFAME!K597)</f>
        <v>465</v>
      </c>
      <c r="K595" s="21">
        <f>IF(MonthlyFAME!L597=0,"",MonthlyFAME!L597)</f>
        <v>433.30723603815301</v>
      </c>
      <c r="L595" s="21">
        <f>IF(MonthlyFAME!M597=0,"",MonthlyFAME!M597)</f>
        <v>1457.1</v>
      </c>
      <c r="M595" s="21" t="str">
        <f>IF(MonthlyFAME!N597=0,"",MonthlyFAME!N597)</f>
        <v/>
      </c>
      <c r="N595" s="21" t="str">
        <f>IF(MonthlyFAME!O597=0,"",MonthlyFAME!O597)</f>
        <v/>
      </c>
      <c r="O595" s="21" t="str">
        <f>IF(MonthlyFAME!P597=0,"",MonthlyFAME!P597)</f>
        <v/>
      </c>
      <c r="P595" s="21" t="str">
        <f>IF(MonthlyFAME!Q597=0,"",MonthlyFAME!Q597)</f>
        <v/>
      </c>
      <c r="Q595" s="21" t="str">
        <f>IF(MonthlyFAME!R597=0,"",MonthlyFAME!R597)</f>
        <v/>
      </c>
      <c r="R595" s="21" t="str">
        <f>IF(MonthlyFAME!S597=0,"",MonthlyFAME!S597)</f>
        <v/>
      </c>
      <c r="S595" s="21" t="str">
        <f>IF(MonthlyFAME!T597=0,"",MonthlyFAME!T597)</f>
        <v/>
      </c>
      <c r="T595" s="21">
        <f>IF(MonthlyFAME!U597=0,"",MonthlyFAME!U597)</f>
        <v>46.478636363636376</v>
      </c>
    </row>
    <row r="596" spans="1:20" x14ac:dyDescent="0.2">
      <c r="A596" s="23">
        <f>IF(MonthlyFAME!A598=0,"",MonthlyFAME!A598)</f>
        <v>39933</v>
      </c>
      <c r="B596" s="21">
        <f>IF(MonthlyFAME!B598=0,"",MonthlyFAME!B598)</f>
        <v>82.3</v>
      </c>
      <c r="C596" s="21">
        <f>IF(MonthlyFAME!C598=0,"",MonthlyFAME!C598)</f>
        <v>94.5</v>
      </c>
      <c r="D596" s="21">
        <f>IF(MonthlyFAME!D598=0,"",MonthlyFAME!D598)</f>
        <v>80.575000000000003</v>
      </c>
      <c r="E596" s="21">
        <f>IF(MonthlyFAME!F598=0,"",MonthlyFAME!F598)</f>
        <v>23102</v>
      </c>
      <c r="F596" s="21">
        <f>IF(MonthlyFAME!G598=0,"",MonthlyFAME!G598)</f>
        <v>30338</v>
      </c>
      <c r="G596" s="21">
        <f>IF(MonthlyFAME!H598=0,"",MonthlyFAME!H598)</f>
        <v>7.2731880385200203</v>
      </c>
      <c r="H596" s="21">
        <f>IF(MonthlyFAME!I598=0,"",MonthlyFAME!I598)</f>
        <v>29272</v>
      </c>
      <c r="I596" s="21">
        <f>IF(MonthlyFAME!J598=0,"",MonthlyFAME!J598)</f>
        <v>924.3</v>
      </c>
      <c r="J596" s="21">
        <f>IF(MonthlyFAME!K598=0,"",MonthlyFAME!K598)</f>
        <v>455</v>
      </c>
      <c r="K596" s="21">
        <f>IF(MonthlyFAME!L598=0,"",MonthlyFAME!L598)</f>
        <v>438.17735482126</v>
      </c>
      <c r="L596" s="21">
        <f>IF(MonthlyFAME!M598=0,"",MonthlyFAME!M598)</f>
        <v>1510.8</v>
      </c>
      <c r="M596" s="21" t="str">
        <f>IF(MonthlyFAME!N598=0,"",MonthlyFAME!N598)</f>
        <v/>
      </c>
      <c r="N596" s="21" t="str">
        <f>IF(MonthlyFAME!O598=0,"",MonthlyFAME!O598)</f>
        <v/>
      </c>
      <c r="O596" s="21" t="str">
        <f>IF(MonthlyFAME!P598=0,"",MonthlyFAME!P598)</f>
        <v/>
      </c>
      <c r="P596" s="21" t="str">
        <f>IF(MonthlyFAME!Q598=0,"",MonthlyFAME!Q598)</f>
        <v/>
      </c>
      <c r="Q596" s="21" t="str">
        <f>IF(MonthlyFAME!R598=0,"",MonthlyFAME!R598)</f>
        <v/>
      </c>
      <c r="R596" s="21" t="str">
        <f>IF(MonthlyFAME!S598=0,"",MonthlyFAME!S598)</f>
        <v/>
      </c>
      <c r="S596" s="21" t="str">
        <f>IF(MonthlyFAME!T598=0,"",MonthlyFAME!T598)</f>
        <v/>
      </c>
      <c r="T596" s="21">
        <f>IF(MonthlyFAME!U598=0,"",MonthlyFAME!U598)</f>
        <v>50.486363636363627</v>
      </c>
    </row>
    <row r="597" spans="1:20" x14ac:dyDescent="0.2">
      <c r="A597" s="23">
        <f>IF(MonthlyFAME!A599=0,"",MonthlyFAME!A599)</f>
        <v>39964</v>
      </c>
      <c r="B597" s="21">
        <f>IF(MonthlyFAME!B599=0,"",MonthlyFAME!B599)</f>
        <v>81.3</v>
      </c>
      <c r="C597" s="21">
        <f>IF(MonthlyFAME!C599=0,"",MonthlyFAME!C599)</f>
        <v>93.1</v>
      </c>
      <c r="D597" s="21">
        <f>IF(MonthlyFAME!D599=0,"",MonthlyFAME!D599)</f>
        <v>79.626900000000006</v>
      </c>
      <c r="E597" s="21">
        <f>IF(MonthlyFAME!F599=0,"",MonthlyFAME!F599)</f>
        <v>21616</v>
      </c>
      <c r="F597" s="21">
        <f>IF(MonthlyFAME!G599=0,"",MonthlyFAME!G599)</f>
        <v>27914</v>
      </c>
      <c r="G597" s="21">
        <f>IF(MonthlyFAME!H599=0,"",MonthlyFAME!H599)</f>
        <v>7.5911251980982568</v>
      </c>
      <c r="H597" s="21">
        <f>IF(MonthlyFAME!I599=0,"",MonthlyFAME!I599)</f>
        <v>29155</v>
      </c>
      <c r="I597" s="21">
        <f>IF(MonthlyFAME!J599=0,"",MonthlyFAME!J599)</f>
        <v>923.4</v>
      </c>
      <c r="J597" s="21">
        <f>IF(MonthlyFAME!K599=0,"",MonthlyFAME!K599)</f>
        <v>443</v>
      </c>
      <c r="K597" s="21">
        <f>IF(MonthlyFAME!L599=0,"",MonthlyFAME!L599)</f>
        <v>437.36997497130699</v>
      </c>
      <c r="L597" s="21">
        <f>IF(MonthlyFAME!M599=0,"",MonthlyFAME!M599)</f>
        <v>1549.4</v>
      </c>
      <c r="M597" s="21" t="str">
        <f>IF(MonthlyFAME!N599=0,"",MonthlyFAME!N599)</f>
        <v/>
      </c>
      <c r="N597" s="21" t="str">
        <f>IF(MonthlyFAME!O599=0,"",MonthlyFAME!O599)</f>
        <v/>
      </c>
      <c r="O597" s="21" t="str">
        <f>IF(MonthlyFAME!P599=0,"",MonthlyFAME!P599)</f>
        <v/>
      </c>
      <c r="P597" s="21" t="str">
        <f>IF(MonthlyFAME!Q599=0,"",MonthlyFAME!Q599)</f>
        <v/>
      </c>
      <c r="Q597" s="21" t="str">
        <f>IF(MonthlyFAME!R599=0,"",MonthlyFAME!R599)</f>
        <v/>
      </c>
      <c r="R597" s="21" t="str">
        <f>IF(MonthlyFAME!S599=0,"",MonthlyFAME!S599)</f>
        <v/>
      </c>
      <c r="S597" s="21" t="str">
        <f>IF(MonthlyFAME!T599=0,"",MonthlyFAME!T599)</f>
        <v/>
      </c>
      <c r="T597" s="21">
        <f>IF(MonthlyFAME!U599=0,"",MonthlyFAME!U599)</f>
        <v>57.32</v>
      </c>
    </row>
    <row r="598" spans="1:20" x14ac:dyDescent="0.2">
      <c r="A598" s="23">
        <f>IF(MonthlyFAME!A600=0,"",MonthlyFAME!A600)</f>
        <v>39994</v>
      </c>
      <c r="B598" s="21">
        <f>IF(MonthlyFAME!B600=0,"",MonthlyFAME!B600)</f>
        <v>81.599999999999994</v>
      </c>
      <c r="C598" s="21">
        <f>IF(MonthlyFAME!C600=0,"",MonthlyFAME!C600)</f>
        <v>93.6</v>
      </c>
      <c r="D598" s="21">
        <f>IF(MonthlyFAME!D600=0,"",MonthlyFAME!D600)</f>
        <v>79.835499999999996</v>
      </c>
      <c r="E598" s="21">
        <f>IF(MonthlyFAME!F600=0,"",MonthlyFAME!F600)</f>
        <v>21922</v>
      </c>
      <c r="F598" s="21">
        <f>IF(MonthlyFAME!G600=0,"",MonthlyFAME!G600)</f>
        <v>29503</v>
      </c>
      <c r="G598" s="21">
        <f>IF(MonthlyFAME!H600=0,"",MonthlyFAME!H600)</f>
        <v>7.762803234501348</v>
      </c>
      <c r="H598" s="21">
        <f>IF(MonthlyFAME!I600=0,"",MonthlyFAME!I600)</f>
        <v>29087</v>
      </c>
      <c r="I598" s="21">
        <f>IF(MonthlyFAME!J600=0,"",MonthlyFAME!J600)</f>
        <v>920.1</v>
      </c>
      <c r="J598" s="21">
        <f>IF(MonthlyFAME!K600=0,"",MonthlyFAME!K600)</f>
        <v>431</v>
      </c>
      <c r="K598" s="21">
        <f>IF(MonthlyFAME!L600=0,"",MonthlyFAME!L600)</f>
        <v>437.582188734422</v>
      </c>
      <c r="L598" s="21">
        <f>IF(MonthlyFAME!M600=0,"",MonthlyFAME!M600)</f>
        <v>1571.9</v>
      </c>
      <c r="M598" s="21" t="str">
        <f>IF(MonthlyFAME!N600=0,"",MonthlyFAME!N600)</f>
        <v/>
      </c>
      <c r="N598" s="21" t="str">
        <f>IF(MonthlyFAME!O600=0,"",MonthlyFAME!O600)</f>
        <v/>
      </c>
      <c r="O598" s="21" t="str">
        <f>IF(MonthlyFAME!P600=0,"",MonthlyFAME!P600)</f>
        <v/>
      </c>
      <c r="P598" s="21" t="str">
        <f>IF(MonthlyFAME!Q600=0,"",MonthlyFAME!Q600)</f>
        <v/>
      </c>
      <c r="Q598" s="21" t="str">
        <f>IF(MonthlyFAME!R600=0,"",MonthlyFAME!R600)</f>
        <v/>
      </c>
      <c r="R598" s="21" t="str">
        <f>IF(MonthlyFAME!S600=0,"",MonthlyFAME!S600)</f>
        <v/>
      </c>
      <c r="S598" s="21" t="str">
        <f>IF(MonthlyFAME!T600=0,"",MonthlyFAME!T600)</f>
        <v/>
      </c>
      <c r="T598" s="21">
        <f>IF(MonthlyFAME!U600=0,"",MonthlyFAME!U600)</f>
        <v>68.508636363636356</v>
      </c>
    </row>
    <row r="599" spans="1:20" x14ac:dyDescent="0.2">
      <c r="A599" s="23">
        <f>IF(MonthlyFAME!A601=0,"",MonthlyFAME!A601)</f>
        <v>40025</v>
      </c>
      <c r="B599" s="21">
        <f>IF(MonthlyFAME!B601=0,"",MonthlyFAME!B601)</f>
        <v>82.1</v>
      </c>
      <c r="C599" s="21">
        <f>IF(MonthlyFAME!C601=0,"",MonthlyFAME!C601)</f>
        <v>94.5</v>
      </c>
      <c r="D599" s="21">
        <f>IF(MonthlyFAME!D601=0,"",MonthlyFAME!D601)</f>
        <v>80.254000000000005</v>
      </c>
      <c r="E599" s="21">
        <f>IF(MonthlyFAME!F601=0,"",MonthlyFAME!F601)</f>
        <v>23124</v>
      </c>
      <c r="F599" s="21">
        <f>IF(MonthlyFAME!G601=0,"",MonthlyFAME!G601)</f>
        <v>30633</v>
      </c>
      <c r="G599" s="21">
        <f>IF(MonthlyFAME!H601=0,"",MonthlyFAME!H601)</f>
        <v>7.867665735331471</v>
      </c>
      <c r="H599" s="21">
        <f>IF(MonthlyFAME!I601=0,"",MonthlyFAME!I601)</f>
        <v>29018</v>
      </c>
      <c r="I599" s="21">
        <f>IF(MonthlyFAME!J601=0,"",MonthlyFAME!J601)</f>
        <v>913.7</v>
      </c>
      <c r="J599" s="21">
        <f>IF(MonthlyFAME!K601=0,"",MonthlyFAME!K601)</f>
        <v>430</v>
      </c>
      <c r="K599" s="21">
        <f>IF(MonthlyFAME!L601=0,"",MonthlyFAME!L601)</f>
        <v>436.73905111943702</v>
      </c>
      <c r="L599" s="21">
        <f>IF(MonthlyFAME!M601=0,"",MonthlyFAME!M601)</f>
        <v>1585.8</v>
      </c>
      <c r="M599" s="21" t="str">
        <f>IF(MonthlyFAME!N601=0,"",MonthlyFAME!N601)</f>
        <v/>
      </c>
      <c r="N599" s="21" t="str">
        <f>IF(MonthlyFAME!O601=0,"",MonthlyFAME!O601)</f>
        <v/>
      </c>
      <c r="O599" s="21" t="str">
        <f>IF(MonthlyFAME!P601=0,"",MonthlyFAME!P601)</f>
        <v/>
      </c>
      <c r="P599" s="21" t="str">
        <f>IF(MonthlyFAME!Q601=0,"",MonthlyFAME!Q601)</f>
        <v/>
      </c>
      <c r="Q599" s="21" t="str">
        <f>IF(MonthlyFAME!R601=0,"",MonthlyFAME!R601)</f>
        <v/>
      </c>
      <c r="R599" s="21" t="str">
        <f>IF(MonthlyFAME!S601=0,"",MonthlyFAME!S601)</f>
        <v/>
      </c>
      <c r="S599" s="21" t="str">
        <f>IF(MonthlyFAME!T601=0,"",MonthlyFAME!T601)</f>
        <v/>
      </c>
      <c r="T599" s="21">
        <f>IF(MonthlyFAME!U601=0,"",MonthlyFAME!U601)</f>
        <v>64.604782608695643</v>
      </c>
    </row>
    <row r="600" spans="1:20" x14ac:dyDescent="0.2">
      <c r="A600" s="23">
        <f>IF(MonthlyFAME!A602=0,"",MonthlyFAME!A602)</f>
        <v>40056</v>
      </c>
      <c r="B600" s="21">
        <f>IF(MonthlyFAME!B602=0,"",MonthlyFAME!B602)</f>
        <v>81.599999999999994</v>
      </c>
      <c r="C600" s="21">
        <f>IF(MonthlyFAME!C602=0,"",MonthlyFAME!C602)</f>
        <v>92.6</v>
      </c>
      <c r="D600" s="21">
        <f>IF(MonthlyFAME!D602=0,"",MonthlyFAME!D602)</f>
        <v>79.979799999999997</v>
      </c>
      <c r="E600" s="21">
        <f>IF(MonthlyFAME!F602=0,"",MonthlyFAME!F602)</f>
        <v>21950</v>
      </c>
      <c r="F600" s="21">
        <f>IF(MonthlyFAME!G602=0,"",MonthlyFAME!G602)</f>
        <v>29427</v>
      </c>
      <c r="G600" s="21">
        <f>IF(MonthlyFAME!H602=0,"",MonthlyFAME!H602)</f>
        <v>7.8707224334600756</v>
      </c>
      <c r="H600" s="21">
        <f>IF(MonthlyFAME!I602=0,"",MonthlyFAME!I602)</f>
        <v>29076</v>
      </c>
      <c r="I600" s="21">
        <f>IF(MonthlyFAME!J602=0,"",MonthlyFAME!J602)</f>
        <v>910.7</v>
      </c>
      <c r="J600" s="21">
        <f>IF(MonthlyFAME!K602=0,"",MonthlyFAME!K602)</f>
        <v>438</v>
      </c>
      <c r="K600" s="21">
        <f>IF(MonthlyFAME!L602=0,"",MonthlyFAME!L602)</f>
        <v>437.90031988469798</v>
      </c>
      <c r="L600" s="21">
        <f>IF(MonthlyFAME!M602=0,"",MonthlyFAME!M602)</f>
        <v>1600.8</v>
      </c>
      <c r="M600" s="21" t="str">
        <f>IF(MonthlyFAME!N602=0,"",MonthlyFAME!N602)</f>
        <v/>
      </c>
      <c r="N600" s="21" t="str">
        <f>IF(MonthlyFAME!O602=0,"",MonthlyFAME!O602)</f>
        <v/>
      </c>
      <c r="O600" s="21" t="str">
        <f>IF(MonthlyFAME!P602=0,"",MonthlyFAME!P602)</f>
        <v/>
      </c>
      <c r="P600" s="21" t="str">
        <f>IF(MonthlyFAME!Q602=0,"",MonthlyFAME!Q602)</f>
        <v/>
      </c>
      <c r="Q600" s="21" t="str">
        <f>IF(MonthlyFAME!R602=0,"",MonthlyFAME!R602)</f>
        <v/>
      </c>
      <c r="R600" s="21" t="str">
        <f>IF(MonthlyFAME!S602=0,"",MonthlyFAME!S602)</f>
        <v/>
      </c>
      <c r="S600" s="21" t="str">
        <f>IF(MonthlyFAME!T602=0,"",MonthlyFAME!T602)</f>
        <v/>
      </c>
      <c r="T600" s="21">
        <f>IF(MonthlyFAME!U602=0,"",MonthlyFAME!U602)</f>
        <v>72.569047619047637</v>
      </c>
    </row>
    <row r="601" spans="1:20" x14ac:dyDescent="0.2">
      <c r="A601" s="23">
        <f>IF(MonthlyFAME!A603=0,"",MonthlyFAME!A603)</f>
        <v>40086</v>
      </c>
      <c r="B601" s="21">
        <f>IF(MonthlyFAME!B603=0,"",MonthlyFAME!B603)</f>
        <v>81.7</v>
      </c>
      <c r="C601" s="21">
        <f>IF(MonthlyFAME!C603=0,"",MonthlyFAME!C603)</f>
        <v>92.6</v>
      </c>
      <c r="D601" s="21">
        <f>IF(MonthlyFAME!D603=0,"",MonthlyFAME!D603)</f>
        <v>80.146100000000004</v>
      </c>
      <c r="E601" s="21">
        <f>IF(MonthlyFAME!F603=0,"",MonthlyFAME!F603)</f>
        <v>23060</v>
      </c>
      <c r="F601" s="21">
        <f>IF(MonthlyFAME!G603=0,"",MonthlyFAME!G603)</f>
        <v>31084</v>
      </c>
      <c r="G601" s="21">
        <f>IF(MonthlyFAME!H603=0,"",MonthlyFAME!H603)</f>
        <v>7.846183109307634</v>
      </c>
      <c r="H601" s="21">
        <f>IF(MonthlyFAME!I603=0,"",MonthlyFAME!I603)</f>
        <v>29069</v>
      </c>
      <c r="I601" s="21">
        <f>IF(MonthlyFAME!J603=0,"",MonthlyFAME!J603)</f>
        <v>915.2</v>
      </c>
      <c r="J601" s="21">
        <f>IF(MonthlyFAME!K603=0,"",MonthlyFAME!K603)</f>
        <v>436</v>
      </c>
      <c r="K601" s="21">
        <f>IF(MonthlyFAME!L603=0,"",MonthlyFAME!L603)</f>
        <v>438.99425266208198</v>
      </c>
      <c r="L601" s="21">
        <f>IF(MonthlyFAME!M603=0,"",MonthlyFAME!M603)</f>
        <v>1609.7</v>
      </c>
      <c r="M601" s="21" t="str">
        <f>IF(MonthlyFAME!N603=0,"",MonthlyFAME!N603)</f>
        <v/>
      </c>
      <c r="N601" s="21" t="str">
        <f>IF(MonthlyFAME!O603=0,"",MonthlyFAME!O603)</f>
        <v/>
      </c>
      <c r="O601" s="21" t="str">
        <f>IF(MonthlyFAME!P603=0,"",MonthlyFAME!P603)</f>
        <v/>
      </c>
      <c r="P601" s="21" t="str">
        <f>IF(MonthlyFAME!Q603=0,"",MonthlyFAME!Q603)</f>
        <v/>
      </c>
      <c r="Q601" s="21" t="str">
        <f>IF(MonthlyFAME!R603=0,"",MonthlyFAME!R603)</f>
        <v/>
      </c>
      <c r="R601" s="21" t="str">
        <f>IF(MonthlyFAME!S603=0,"",MonthlyFAME!S603)</f>
        <v/>
      </c>
      <c r="S601" s="21" t="str">
        <f>IF(MonthlyFAME!T603=0,"",MonthlyFAME!T603)</f>
        <v/>
      </c>
      <c r="T601" s="21">
        <f>IF(MonthlyFAME!U603=0,"",MonthlyFAME!U603)</f>
        <v>67.464090909090928</v>
      </c>
    </row>
    <row r="602" spans="1:20" x14ac:dyDescent="0.2">
      <c r="A602" s="23">
        <f>IF(MonthlyFAME!A604=0,"",MonthlyFAME!A604)</f>
        <v>40117</v>
      </c>
      <c r="B602" s="21">
        <f>IF(MonthlyFAME!B604=0,"",MonthlyFAME!B604)</f>
        <v>81.900000000000006</v>
      </c>
      <c r="C602" s="21">
        <f>IF(MonthlyFAME!C604=0,"",MonthlyFAME!C604)</f>
        <v>92.8</v>
      </c>
      <c r="D602" s="21">
        <f>IF(MonthlyFAME!D604=0,"",MonthlyFAME!D604)</f>
        <v>80.433599999999998</v>
      </c>
      <c r="E602" s="21">
        <f>IF(MonthlyFAME!F604=0,"",MonthlyFAME!F604)</f>
        <v>23964</v>
      </c>
      <c r="F602" s="21">
        <f>IF(MonthlyFAME!G604=0,"",MonthlyFAME!G604)</f>
        <v>31047</v>
      </c>
      <c r="G602" s="21">
        <f>IF(MonthlyFAME!H604=0,"",MonthlyFAME!H604)</f>
        <v>7.8687278256462241</v>
      </c>
      <c r="H602" s="21">
        <f>IF(MonthlyFAME!I604=0,"",MonthlyFAME!I604)</f>
        <v>29084</v>
      </c>
      <c r="I602" s="21">
        <f>IF(MonthlyFAME!J604=0,"",MonthlyFAME!J604)</f>
        <v>919.3</v>
      </c>
      <c r="J602" s="21">
        <f>IF(MonthlyFAME!K604=0,"",MonthlyFAME!K604)</f>
        <v>432</v>
      </c>
      <c r="K602" s="21">
        <f>IF(MonthlyFAME!L604=0,"",MonthlyFAME!L604)</f>
        <v>439.03257176944197</v>
      </c>
      <c r="L602" s="21">
        <f>IF(MonthlyFAME!M604=0,"",MonthlyFAME!M604)</f>
        <v>1618.5</v>
      </c>
      <c r="M602" s="21" t="str">
        <f>IF(MonthlyFAME!N604=0,"",MonthlyFAME!N604)</f>
        <v/>
      </c>
      <c r="N602" s="21" t="str">
        <f>IF(MonthlyFAME!O604=0,"",MonthlyFAME!O604)</f>
        <v/>
      </c>
      <c r="O602" s="21" t="str">
        <f>IF(MonthlyFAME!P604=0,"",MonthlyFAME!P604)</f>
        <v/>
      </c>
      <c r="P602" s="21" t="str">
        <f>IF(MonthlyFAME!Q604=0,"",MonthlyFAME!Q604)</f>
        <v/>
      </c>
      <c r="Q602" s="21" t="str">
        <f>IF(MonthlyFAME!R604=0,"",MonthlyFAME!R604)</f>
        <v/>
      </c>
      <c r="R602" s="21" t="str">
        <f>IF(MonthlyFAME!S604=0,"",MonthlyFAME!S604)</f>
        <v/>
      </c>
      <c r="S602" s="21" t="str">
        <f>IF(MonthlyFAME!T604=0,"",MonthlyFAME!T604)</f>
        <v/>
      </c>
      <c r="T602" s="21">
        <f>IF(MonthlyFAME!U604=0,"",MonthlyFAME!U604)</f>
        <v>72.822272727272718</v>
      </c>
    </row>
    <row r="603" spans="1:20" x14ac:dyDescent="0.2">
      <c r="A603" s="23">
        <f>IF(MonthlyFAME!A605=0,"",MonthlyFAME!A605)</f>
        <v>40147</v>
      </c>
      <c r="B603" s="21">
        <f>IF(MonthlyFAME!B605=0,"",MonthlyFAME!B605)</f>
        <v>81.900000000000006</v>
      </c>
      <c r="C603" s="21">
        <f>IF(MonthlyFAME!C605=0,"",MonthlyFAME!C605)</f>
        <v>92.6</v>
      </c>
      <c r="D603" s="21">
        <f>IF(MonthlyFAME!D605=0,"",MonthlyFAME!D605)</f>
        <v>80.537300000000002</v>
      </c>
      <c r="E603" s="21">
        <f>IF(MonthlyFAME!F605=0,"",MonthlyFAME!F605)</f>
        <v>23693</v>
      </c>
      <c r="F603" s="21">
        <f>IF(MonthlyFAME!G605=0,"",MonthlyFAME!G605)</f>
        <v>30384</v>
      </c>
      <c r="G603" s="21">
        <f>IF(MonthlyFAME!H605=0,"",MonthlyFAME!H605)</f>
        <v>7.7820394966240851</v>
      </c>
      <c r="H603" s="21">
        <f>IF(MonthlyFAME!I605=0,"",MonthlyFAME!I605)</f>
        <v>29092</v>
      </c>
      <c r="I603" s="21">
        <f>IF(MonthlyFAME!J605=0,"",MonthlyFAME!J605)</f>
        <v>916.2</v>
      </c>
      <c r="J603" s="21">
        <f>IF(MonthlyFAME!K605=0,"",MonthlyFAME!K605)</f>
        <v>437</v>
      </c>
      <c r="K603" s="21">
        <f>IF(MonthlyFAME!L605=0,"",MonthlyFAME!L605)</f>
        <v>439.83936991681799</v>
      </c>
      <c r="L603" s="21">
        <f>IF(MonthlyFAME!M605=0,"",MonthlyFAME!M605)</f>
        <v>1610.4</v>
      </c>
      <c r="M603" s="21" t="str">
        <f>IF(MonthlyFAME!N605=0,"",MonthlyFAME!N605)</f>
        <v/>
      </c>
      <c r="N603" s="21" t="str">
        <f>IF(MonthlyFAME!O605=0,"",MonthlyFAME!O605)</f>
        <v/>
      </c>
      <c r="O603" s="21" t="str">
        <f>IF(MonthlyFAME!P605=0,"",MonthlyFAME!P605)</f>
        <v/>
      </c>
      <c r="P603" s="21" t="str">
        <f>IF(MonthlyFAME!Q605=0,"",MonthlyFAME!Q605)</f>
        <v/>
      </c>
      <c r="Q603" s="21" t="str">
        <f>IF(MonthlyFAME!R605=0,"",MonthlyFAME!R605)</f>
        <v/>
      </c>
      <c r="R603" s="21" t="str">
        <f>IF(MonthlyFAME!S605=0,"",MonthlyFAME!S605)</f>
        <v/>
      </c>
      <c r="S603" s="21" t="str">
        <f>IF(MonthlyFAME!T605=0,"",MonthlyFAME!T605)</f>
        <v/>
      </c>
      <c r="T603" s="21">
        <f>IF(MonthlyFAME!U605=0,"",MonthlyFAME!U605)</f>
        <v>76.630476190476202</v>
      </c>
    </row>
    <row r="604" spans="1:20" x14ac:dyDescent="0.2">
      <c r="A604" s="23">
        <f>IF(MonthlyFAME!A606=0,"",MonthlyFAME!A606)</f>
        <v>40178</v>
      </c>
      <c r="B604" s="21">
        <f>IF(MonthlyFAME!B606=0,"",MonthlyFAME!B606)</f>
        <v>82.4</v>
      </c>
      <c r="C604" s="21">
        <f>IF(MonthlyFAME!C606=0,"",MonthlyFAME!C606)</f>
        <v>92.7</v>
      </c>
      <c r="D604" s="21">
        <f>IF(MonthlyFAME!D606=0,"",MonthlyFAME!D606)</f>
        <v>81.106399999999994</v>
      </c>
      <c r="E604" s="21">
        <f>IF(MonthlyFAME!F606=0,"",MonthlyFAME!F606)</f>
        <v>24137</v>
      </c>
      <c r="F604" s="21">
        <f>IF(MonthlyFAME!G606=0,"",MonthlyFAME!G606)</f>
        <v>31351</v>
      </c>
      <c r="G604" s="21">
        <f>IF(MonthlyFAME!H606=0,"",MonthlyFAME!H606)</f>
        <v>7.7737284107114561</v>
      </c>
      <c r="H604" s="21">
        <f>IF(MonthlyFAME!I606=0,"",MonthlyFAME!I606)</f>
        <v>29102</v>
      </c>
      <c r="I604" s="21">
        <f>IF(MonthlyFAME!J606=0,"",MonthlyFAME!J606)</f>
        <v>915.6</v>
      </c>
      <c r="J604" s="21">
        <f>IF(MonthlyFAME!K606=0,"",MonthlyFAME!K606)</f>
        <v>454</v>
      </c>
      <c r="K604" s="21">
        <f>IF(MonthlyFAME!L606=0,"",MonthlyFAME!L606)</f>
        <v>440.18665825569599</v>
      </c>
      <c r="L604" s="21">
        <f>IF(MonthlyFAME!M606=0,"",MonthlyFAME!M606)</f>
        <v>1593.4</v>
      </c>
      <c r="M604" s="21" t="str">
        <f>IF(MonthlyFAME!N606=0,"",MonthlyFAME!N606)</f>
        <v/>
      </c>
      <c r="N604" s="21" t="str">
        <f>IF(MonthlyFAME!O606=0,"",MonthlyFAME!O606)</f>
        <v/>
      </c>
      <c r="O604" s="21" t="str">
        <f>IF(MonthlyFAME!P606=0,"",MonthlyFAME!P606)</f>
        <v/>
      </c>
      <c r="P604" s="21" t="str">
        <f>IF(MonthlyFAME!Q606=0,"",MonthlyFAME!Q606)</f>
        <v/>
      </c>
      <c r="Q604" s="21" t="str">
        <f>IF(MonthlyFAME!R606=0,"",MonthlyFAME!R606)</f>
        <v/>
      </c>
      <c r="R604" s="21" t="str">
        <f>IF(MonthlyFAME!S606=0,"",MonthlyFAME!S606)</f>
        <v/>
      </c>
      <c r="S604" s="21" t="str">
        <f>IF(MonthlyFAME!T606=0,"",MonthlyFAME!T606)</f>
        <v/>
      </c>
      <c r="T604" s="21">
        <f>IF(MonthlyFAME!U606=0,"",MonthlyFAME!U606)</f>
        <v>74.380434782608717</v>
      </c>
    </row>
    <row r="605" spans="1:20" x14ac:dyDescent="0.2">
      <c r="A605" s="23">
        <f>IF(MonthlyFAME!A607=0,"",MonthlyFAME!A607)</f>
        <v>40209</v>
      </c>
      <c r="B605" s="21">
        <f>IF(MonthlyFAME!B607=0,"",MonthlyFAME!B607)</f>
        <v>81.900000000000006</v>
      </c>
      <c r="C605" s="21">
        <f>IF(MonthlyFAME!C607=0,"",MonthlyFAME!C607)</f>
        <v>92.2</v>
      </c>
      <c r="D605" s="21">
        <f>IF(MonthlyFAME!D607=0,"",MonthlyFAME!D607)</f>
        <v>80.489800000000002</v>
      </c>
      <c r="E605" s="21">
        <f>IF(MonthlyFAME!F607=0,"",MonthlyFAME!F607)</f>
        <v>22869</v>
      </c>
      <c r="F605" s="21">
        <f>IF(MonthlyFAME!G607=0,"",MonthlyFAME!G607)</f>
        <v>31131</v>
      </c>
      <c r="G605" s="21">
        <f>IF(MonthlyFAME!H607=0,"",MonthlyFAME!H607)</f>
        <v>7.729192467689181</v>
      </c>
      <c r="H605" s="21">
        <f>IF(MonthlyFAME!I607=0,"",MonthlyFAME!I607)</f>
        <v>29057</v>
      </c>
      <c r="I605" s="21">
        <f>IF(MonthlyFAME!J607=0,"",MonthlyFAME!J607)</f>
        <v>914.4</v>
      </c>
      <c r="J605" s="21">
        <f>IF(MonthlyFAME!K607=0,"",MonthlyFAME!K607)</f>
        <v>463</v>
      </c>
      <c r="K605" s="21">
        <f>IF(MonthlyFAME!L607=0,"",MonthlyFAME!L607)</f>
        <v>439.34623969893801</v>
      </c>
      <c r="L605" s="21">
        <f>IF(MonthlyFAME!M607=0,"",MonthlyFAME!M607)</f>
        <v>1609</v>
      </c>
      <c r="M605" s="21" t="str">
        <f>IF(MonthlyFAME!N607=0,"",MonthlyFAME!N607)</f>
        <v/>
      </c>
      <c r="N605" s="21" t="str">
        <f>IF(MonthlyFAME!O607=0,"",MonthlyFAME!O607)</f>
        <v/>
      </c>
      <c r="O605" s="21" t="str">
        <f>IF(MonthlyFAME!P607=0,"",MonthlyFAME!P607)</f>
        <v/>
      </c>
      <c r="P605" s="21" t="str">
        <f>IF(MonthlyFAME!Q607=0,"",MonthlyFAME!Q607)</f>
        <v/>
      </c>
      <c r="Q605" s="21" t="str">
        <f>IF(MonthlyFAME!R607=0,"",MonthlyFAME!R607)</f>
        <v/>
      </c>
      <c r="R605" s="21" t="str">
        <f>IF(MonthlyFAME!S607=0,"",MonthlyFAME!S607)</f>
        <v/>
      </c>
      <c r="S605" s="21" t="str">
        <f>IF(MonthlyFAME!T607=0,"",MonthlyFAME!T607)</f>
        <v/>
      </c>
      <c r="T605" s="21">
        <f>IF(MonthlyFAME!U607=0,"",MonthlyFAME!U607)</f>
        <v>76.231428571428566</v>
      </c>
    </row>
    <row r="606" spans="1:20" x14ac:dyDescent="0.2">
      <c r="A606" s="23">
        <f>IF(MonthlyFAME!A608=0,"",MonthlyFAME!A608)</f>
        <v>40237</v>
      </c>
      <c r="B606" s="21">
        <f>IF(MonthlyFAME!B608=0,"",MonthlyFAME!B608)</f>
        <v>83.1</v>
      </c>
      <c r="C606" s="21">
        <f>IF(MonthlyFAME!C608=0,"",MonthlyFAME!C608)</f>
        <v>93.1</v>
      </c>
      <c r="D606" s="21">
        <f>IF(MonthlyFAME!D608=0,"",MonthlyFAME!D608)</f>
        <v>81.638099999999994</v>
      </c>
      <c r="E606" s="21">
        <f>IF(MonthlyFAME!F608=0,"",MonthlyFAME!F608)</f>
        <v>25134</v>
      </c>
      <c r="F606" s="21">
        <f>IF(MonthlyFAME!G608=0,"",MonthlyFAME!G608)</f>
        <v>30650</v>
      </c>
      <c r="G606" s="21">
        <f>IF(MonthlyFAME!H608=0,"",MonthlyFAME!H608)</f>
        <v>7.9187817258883246</v>
      </c>
      <c r="H606" s="21">
        <f>IF(MonthlyFAME!I608=0,"",MonthlyFAME!I608)</f>
        <v>29024</v>
      </c>
      <c r="I606" s="21">
        <f>IF(MonthlyFAME!J608=0,"",MonthlyFAME!J608)</f>
        <v>918.6</v>
      </c>
      <c r="J606" s="21">
        <f>IF(MonthlyFAME!K608=0,"",MonthlyFAME!K608)</f>
        <v>467</v>
      </c>
      <c r="K606" s="21">
        <f>IF(MonthlyFAME!L608=0,"",MonthlyFAME!L608)</f>
        <v>445.91249599517403</v>
      </c>
      <c r="L606" s="21">
        <f>IF(MonthlyFAME!M608=0,"",MonthlyFAME!M608)</f>
        <v>1576.5</v>
      </c>
      <c r="M606" s="21" t="str">
        <f>IF(MonthlyFAME!N608=0,"",MonthlyFAME!N608)</f>
        <v/>
      </c>
      <c r="N606" s="21" t="str">
        <f>IF(MonthlyFAME!O608=0,"",MonthlyFAME!O608)</f>
        <v/>
      </c>
      <c r="O606" s="21" t="str">
        <f>IF(MonthlyFAME!P608=0,"",MonthlyFAME!P608)</f>
        <v/>
      </c>
      <c r="P606" s="21" t="str">
        <f>IF(MonthlyFAME!Q608=0,"",MonthlyFAME!Q608)</f>
        <v/>
      </c>
      <c r="Q606" s="21" t="str">
        <f>IF(MonthlyFAME!R608=0,"",MonthlyFAME!R608)</f>
        <v/>
      </c>
      <c r="R606" s="21" t="str">
        <f>IF(MonthlyFAME!S608=0,"",MonthlyFAME!S608)</f>
        <v/>
      </c>
      <c r="S606" s="21" t="str">
        <f>IF(MonthlyFAME!T608=0,"",MonthlyFAME!T608)</f>
        <v/>
      </c>
      <c r="T606" s="21">
        <f>IF(MonthlyFAME!U608=0,"",MonthlyFAME!U608)</f>
        <v>73.622</v>
      </c>
    </row>
    <row r="607" spans="1:20" x14ac:dyDescent="0.2">
      <c r="A607" s="23">
        <f>IF(MonthlyFAME!A609=0,"",MonthlyFAME!A609)</f>
        <v>40268</v>
      </c>
      <c r="B607" s="21">
        <f>IF(MonthlyFAME!B609=0,"",MonthlyFAME!B609)</f>
        <v>83.8</v>
      </c>
      <c r="C607" s="21">
        <f>IF(MonthlyFAME!C609=0,"",MonthlyFAME!C609)</f>
        <v>94.2</v>
      </c>
      <c r="D607" s="21">
        <f>IF(MonthlyFAME!D609=0,"",MonthlyFAME!D609)</f>
        <v>82.233999999999995</v>
      </c>
      <c r="E607" s="21">
        <f>IF(MonthlyFAME!F609=0,"",MonthlyFAME!F609)</f>
        <v>24208</v>
      </c>
      <c r="F607" s="21">
        <f>IF(MonthlyFAME!G609=0,"",MonthlyFAME!G609)</f>
        <v>32643</v>
      </c>
      <c r="G607" s="21">
        <f>IF(MonthlyFAME!H609=0,"",MonthlyFAME!H609)</f>
        <v>8.009131551412537</v>
      </c>
      <c r="H607" s="21">
        <f>IF(MonthlyFAME!I609=0,"",MonthlyFAME!I609)</f>
        <v>29013</v>
      </c>
      <c r="I607" s="21">
        <f>IF(MonthlyFAME!J609=0,"",MonthlyFAME!J609)</f>
        <v>914.4</v>
      </c>
      <c r="J607" s="21">
        <f>IF(MonthlyFAME!K609=0,"",MonthlyFAME!K609)</f>
        <v>465</v>
      </c>
      <c r="K607" s="21">
        <f>IF(MonthlyFAME!L609=0,"",MonthlyFAME!L609)</f>
        <v>441.054963927502</v>
      </c>
      <c r="L607" s="21">
        <f>IF(MonthlyFAME!M609=0,"",MonthlyFAME!M609)</f>
        <v>1548.6</v>
      </c>
      <c r="M607" s="21" t="str">
        <f>IF(MonthlyFAME!N609=0,"",MonthlyFAME!N609)</f>
        <v/>
      </c>
      <c r="N607" s="21" t="str">
        <f>IF(MonthlyFAME!O609=0,"",MonthlyFAME!O609)</f>
        <v/>
      </c>
      <c r="O607" s="21" t="str">
        <f>IF(MonthlyFAME!P609=0,"",MonthlyFAME!P609)</f>
        <v/>
      </c>
      <c r="P607" s="21" t="str">
        <f>IF(MonthlyFAME!Q609=0,"",MonthlyFAME!Q609)</f>
        <v/>
      </c>
      <c r="Q607" s="21" t="str">
        <f>IF(MonthlyFAME!R609=0,"",MonthlyFAME!R609)</f>
        <v/>
      </c>
      <c r="R607" s="21" t="str">
        <f>IF(MonthlyFAME!S609=0,"",MonthlyFAME!S609)</f>
        <v/>
      </c>
      <c r="S607" s="21" t="str">
        <f>IF(MonthlyFAME!T609=0,"",MonthlyFAME!T609)</f>
        <v/>
      </c>
      <c r="T607" s="21">
        <f>IF(MonthlyFAME!U609=0,"",MonthlyFAME!U609)</f>
        <v>78.915652173913045</v>
      </c>
    </row>
    <row r="608" spans="1:20" x14ac:dyDescent="0.2">
      <c r="A608" s="23">
        <f>IF(MonthlyFAME!A610=0,"",MonthlyFAME!A610)</f>
        <v>40298</v>
      </c>
      <c r="B608" s="21">
        <f>IF(MonthlyFAME!B610=0,"",MonthlyFAME!B610)</f>
        <v>83.6</v>
      </c>
      <c r="C608" s="21">
        <f>IF(MonthlyFAME!C610=0,"",MonthlyFAME!C610)</f>
        <v>92.2</v>
      </c>
      <c r="D608" s="21">
        <f>IF(MonthlyFAME!D610=0,"",MonthlyFAME!D610)</f>
        <v>82.275400000000005</v>
      </c>
      <c r="E608" s="21">
        <f>IF(MonthlyFAME!F610=0,"",MonthlyFAME!F610)</f>
        <v>24728</v>
      </c>
      <c r="F608" s="21">
        <f>IF(MonthlyFAME!G610=0,"",MonthlyFAME!G610)</f>
        <v>31949</v>
      </c>
      <c r="G608" s="21">
        <f>IF(MonthlyFAME!H610=0,"",MonthlyFAME!H610)</f>
        <v>7.9536092274542112</v>
      </c>
      <c r="H608" s="21">
        <f>IF(MonthlyFAME!I610=0,"",MonthlyFAME!I610)</f>
        <v>29048</v>
      </c>
      <c r="I608" s="21">
        <f>IF(MonthlyFAME!J610=0,"",MonthlyFAME!J610)</f>
        <v>913.8</v>
      </c>
      <c r="J608" s="21">
        <f>IF(MonthlyFAME!K610=0,"",MonthlyFAME!K610)</f>
        <v>469</v>
      </c>
      <c r="K608" s="21">
        <f>IF(MonthlyFAME!L610=0,"",MonthlyFAME!L610)</f>
        <v>441.43384596867003</v>
      </c>
      <c r="L608" s="21">
        <f>IF(MonthlyFAME!M610=0,"",MonthlyFAME!M610)</f>
        <v>1526.1</v>
      </c>
      <c r="M608" s="21" t="str">
        <f>IF(MonthlyFAME!N610=0,"",MonthlyFAME!N610)</f>
        <v/>
      </c>
      <c r="N608" s="21" t="str">
        <f>IF(MonthlyFAME!O610=0,"",MonthlyFAME!O610)</f>
        <v/>
      </c>
      <c r="O608" s="21" t="str">
        <f>IF(MonthlyFAME!P610=0,"",MonthlyFAME!P610)</f>
        <v/>
      </c>
      <c r="P608" s="21" t="str">
        <f>IF(MonthlyFAME!Q610=0,"",MonthlyFAME!Q610)</f>
        <v/>
      </c>
      <c r="Q608" s="21" t="str">
        <f>IF(MonthlyFAME!R610=0,"",MonthlyFAME!R610)</f>
        <v/>
      </c>
      <c r="R608" s="21" t="str">
        <f>IF(MonthlyFAME!S610=0,"",MonthlyFAME!S610)</f>
        <v/>
      </c>
      <c r="S608" s="21" t="str">
        <f>IF(MonthlyFAME!T610=0,"",MonthlyFAME!T610)</f>
        <v/>
      </c>
      <c r="T608" s="21">
        <f>IF(MonthlyFAME!U610=0,"",MonthlyFAME!U610)</f>
        <v>84.784090909090907</v>
      </c>
    </row>
    <row r="609" spans="1:20" x14ac:dyDescent="0.2">
      <c r="A609" s="23">
        <f>IF(MonthlyFAME!A611=0,"",MonthlyFAME!A611)</f>
        <v>40329</v>
      </c>
      <c r="B609" s="21">
        <f>IF(MonthlyFAME!B611=0,"",MonthlyFAME!B611)</f>
        <v>84</v>
      </c>
      <c r="C609" s="21">
        <f>IF(MonthlyFAME!C611=0,"",MonthlyFAME!C611)</f>
        <v>92.2</v>
      </c>
      <c r="D609" s="21">
        <f>IF(MonthlyFAME!D611=0,"",MonthlyFAME!D611)</f>
        <v>82.631</v>
      </c>
      <c r="E609" s="21">
        <f>IF(MonthlyFAME!F611=0,"",MonthlyFAME!F611)</f>
        <v>24831</v>
      </c>
      <c r="F609" s="21">
        <f>IF(MonthlyFAME!G611=0,"",MonthlyFAME!G611)</f>
        <v>32090</v>
      </c>
      <c r="G609" s="21">
        <f>IF(MonthlyFAME!H611=0,"",MonthlyFAME!H611)</f>
        <v>7.9236699102742323</v>
      </c>
      <c r="H609" s="21">
        <f>IF(MonthlyFAME!I611=0,"",MonthlyFAME!I611)</f>
        <v>29144</v>
      </c>
      <c r="I609" s="21">
        <f>IF(MonthlyFAME!J611=0,"",MonthlyFAME!J611)</f>
        <v>916.4</v>
      </c>
      <c r="J609" s="21">
        <f>IF(MonthlyFAME!K611=0,"",MonthlyFAME!K611)</f>
        <v>479</v>
      </c>
      <c r="K609" s="21">
        <f>IF(MonthlyFAME!L611=0,"",MonthlyFAME!L611)</f>
        <v>442.61479749793801</v>
      </c>
      <c r="L609" s="21">
        <f>IF(MonthlyFAME!M611=0,"",MonthlyFAME!M611)</f>
        <v>1494.8</v>
      </c>
      <c r="M609" s="21" t="str">
        <f>IF(MonthlyFAME!N611=0,"",MonthlyFAME!N611)</f>
        <v/>
      </c>
      <c r="N609" s="21" t="str">
        <f>IF(MonthlyFAME!O611=0,"",MonthlyFAME!O611)</f>
        <v/>
      </c>
      <c r="O609" s="21" t="str">
        <f>IF(MonthlyFAME!P611=0,"",MonthlyFAME!P611)</f>
        <v/>
      </c>
      <c r="P609" s="21" t="str">
        <f>IF(MonthlyFAME!Q611=0,"",MonthlyFAME!Q611)</f>
        <v/>
      </c>
      <c r="Q609" s="21" t="str">
        <f>IF(MonthlyFAME!R611=0,"",MonthlyFAME!R611)</f>
        <v/>
      </c>
      <c r="R609" s="21" t="str">
        <f>IF(MonthlyFAME!S611=0,"",MonthlyFAME!S611)</f>
        <v/>
      </c>
      <c r="S609" s="21" t="str">
        <f>IF(MonthlyFAME!T611=0,"",MonthlyFAME!T611)</f>
        <v/>
      </c>
      <c r="T609" s="21">
        <f>IF(MonthlyFAME!U611=0,"",MonthlyFAME!U611)</f>
        <v>75.636666666666656</v>
      </c>
    </row>
    <row r="610" spans="1:20" x14ac:dyDescent="0.2">
      <c r="A610" s="23">
        <f>IF(MonthlyFAME!A612=0,"",MonthlyFAME!A612)</f>
        <v>40359</v>
      </c>
      <c r="B610" s="21">
        <f>IF(MonthlyFAME!B612=0,"",MonthlyFAME!B612)</f>
        <v>84</v>
      </c>
      <c r="C610" s="21">
        <f>IF(MonthlyFAME!C612=0,"",MonthlyFAME!C612)</f>
        <v>90.9</v>
      </c>
      <c r="D610" s="21">
        <f>IF(MonthlyFAME!D612=0,"",MonthlyFAME!D612)</f>
        <v>82.806600000000003</v>
      </c>
      <c r="E610" s="21">
        <f>IF(MonthlyFAME!F612=0,"",MonthlyFAME!F612)</f>
        <v>26290</v>
      </c>
      <c r="F610" s="21">
        <f>IF(MonthlyFAME!G612=0,"",MonthlyFAME!G612)</f>
        <v>33785</v>
      </c>
      <c r="G610" s="21">
        <f>IF(MonthlyFAME!H612=0,"",MonthlyFAME!H612)</f>
        <v>7.8535353535353538</v>
      </c>
      <c r="H610" s="21">
        <f>IF(MonthlyFAME!I612=0,"",MonthlyFAME!I612)</f>
        <v>29192</v>
      </c>
      <c r="I610" s="21">
        <f>IF(MonthlyFAME!J612=0,"",MonthlyFAME!J612)</f>
        <v>922.3</v>
      </c>
      <c r="J610" s="21">
        <f>IF(MonthlyFAME!K612=0,"",MonthlyFAME!K612)</f>
        <v>484</v>
      </c>
      <c r="K610" s="21">
        <f>IF(MonthlyFAME!L612=0,"",MonthlyFAME!L612)</f>
        <v>441.893950882821</v>
      </c>
      <c r="L610" s="21">
        <f>IF(MonthlyFAME!M612=0,"",MonthlyFAME!M612)</f>
        <v>1471.3</v>
      </c>
      <c r="M610" s="21" t="str">
        <f>IF(MonthlyFAME!N612=0,"",MonthlyFAME!N612)</f>
        <v/>
      </c>
      <c r="N610" s="21" t="str">
        <f>IF(MonthlyFAME!O612=0,"",MonthlyFAME!O612)</f>
        <v/>
      </c>
      <c r="O610" s="21" t="str">
        <f>IF(MonthlyFAME!P612=0,"",MonthlyFAME!P612)</f>
        <v/>
      </c>
      <c r="P610" s="21" t="str">
        <f>IF(MonthlyFAME!Q612=0,"",MonthlyFAME!Q612)</f>
        <v/>
      </c>
      <c r="Q610" s="21" t="str">
        <f>IF(MonthlyFAME!R612=0,"",MonthlyFAME!R612)</f>
        <v/>
      </c>
      <c r="R610" s="21" t="str">
        <f>IF(MonthlyFAME!S612=0,"",MonthlyFAME!S612)</f>
        <v/>
      </c>
      <c r="S610" s="21" t="str">
        <f>IF(MonthlyFAME!T612=0,"",MonthlyFAME!T612)</f>
        <v/>
      </c>
      <c r="T610" s="21">
        <f>IF(MonthlyFAME!U612=0,"",MonthlyFAME!U612)</f>
        <v>74.873181818181806</v>
      </c>
    </row>
    <row r="611" spans="1:20" x14ac:dyDescent="0.2">
      <c r="A611" s="23">
        <f>IF(MonthlyFAME!A613=0,"",MonthlyFAME!A613)</f>
        <v>40390</v>
      </c>
      <c r="B611" s="21">
        <f>IF(MonthlyFAME!B613=0,"",MonthlyFAME!B613)</f>
        <v>84.1</v>
      </c>
      <c r="C611" s="21">
        <f>IF(MonthlyFAME!C613=0,"",MonthlyFAME!C613)</f>
        <v>90.1</v>
      </c>
      <c r="D611" s="21">
        <f>IF(MonthlyFAME!D613=0,"",MonthlyFAME!D613)</f>
        <v>83.167299999999997</v>
      </c>
      <c r="E611" s="21">
        <f>IF(MonthlyFAME!F613=0,"",MonthlyFAME!F613)</f>
        <v>25773</v>
      </c>
      <c r="F611" s="21">
        <f>IF(MonthlyFAME!G613=0,"",MonthlyFAME!G613)</f>
        <v>33849</v>
      </c>
      <c r="G611" s="21">
        <f>IF(MonthlyFAME!H613=0,"",MonthlyFAME!H613)</f>
        <v>7.820702228648666</v>
      </c>
      <c r="H611" s="21">
        <f>IF(MonthlyFAME!I613=0,"",MonthlyFAME!I613)</f>
        <v>29325</v>
      </c>
      <c r="I611" s="21">
        <f>IF(MonthlyFAME!J613=0,"",MonthlyFAME!J613)</f>
        <v>926.2</v>
      </c>
      <c r="J611" s="21">
        <f>IF(MonthlyFAME!K613=0,"",MonthlyFAME!K613)</f>
        <v>479</v>
      </c>
      <c r="K611" s="21">
        <f>IF(MonthlyFAME!L613=0,"",MonthlyFAME!L613)</f>
        <v>442.76139470729601</v>
      </c>
      <c r="L611" s="21">
        <f>IF(MonthlyFAME!M613=0,"",MonthlyFAME!M613)</f>
        <v>1458.2</v>
      </c>
      <c r="M611" s="21" t="str">
        <f>IF(MonthlyFAME!N613=0,"",MonthlyFAME!N613)</f>
        <v/>
      </c>
      <c r="N611" s="21" t="str">
        <f>IF(MonthlyFAME!O613=0,"",MonthlyFAME!O613)</f>
        <v/>
      </c>
      <c r="O611" s="21" t="str">
        <f>IF(MonthlyFAME!P613=0,"",MonthlyFAME!P613)</f>
        <v/>
      </c>
      <c r="P611" s="21" t="str">
        <f>IF(MonthlyFAME!Q613=0,"",MonthlyFAME!Q613)</f>
        <v/>
      </c>
      <c r="Q611" s="21" t="str">
        <f>IF(MonthlyFAME!R613=0,"",MonthlyFAME!R613)</f>
        <v/>
      </c>
      <c r="R611" s="21" t="str">
        <f>IF(MonthlyFAME!S613=0,"",MonthlyFAME!S613)</f>
        <v/>
      </c>
      <c r="S611" s="21" t="str">
        <f>IF(MonthlyFAME!T613=0,"",MonthlyFAME!T613)</f>
        <v/>
      </c>
      <c r="T611" s="21">
        <f>IF(MonthlyFAME!U613=0,"",MonthlyFAME!U613)</f>
        <v>75.578181818181832</v>
      </c>
    </row>
    <row r="612" spans="1:20" x14ac:dyDescent="0.2">
      <c r="A612" s="23">
        <f>IF(MonthlyFAME!A614=0,"",MonthlyFAME!A614)</f>
        <v>40421</v>
      </c>
      <c r="B612" s="21">
        <f>IF(MonthlyFAME!B614=0,"",MonthlyFAME!B614)</f>
        <v>84.4</v>
      </c>
      <c r="C612" s="21">
        <f>IF(MonthlyFAME!C614=0,"",MonthlyFAME!C614)</f>
        <v>90</v>
      </c>
      <c r="D612" s="21">
        <f>IF(MonthlyFAME!D614=0,"",MonthlyFAME!D614)</f>
        <v>83.267200000000003</v>
      </c>
      <c r="E612" s="21">
        <f>IF(MonthlyFAME!F614=0,"",MonthlyFAME!F614)</f>
        <v>25197</v>
      </c>
      <c r="F612" s="21">
        <f>IF(MonthlyFAME!G614=0,"",MonthlyFAME!G614)</f>
        <v>33339</v>
      </c>
      <c r="G612" s="21">
        <f>IF(MonthlyFAME!H614=0,"",MonthlyFAME!H614)</f>
        <v>7.7824925349677825</v>
      </c>
      <c r="H612" s="21">
        <f>IF(MonthlyFAME!I614=0,"",MonthlyFAME!I614)</f>
        <v>29339</v>
      </c>
      <c r="I612" s="21">
        <f>IF(MonthlyFAME!J614=0,"",MonthlyFAME!J614)</f>
        <v>925</v>
      </c>
      <c r="J612" s="21">
        <f>IF(MonthlyFAME!K614=0,"",MonthlyFAME!K614)</f>
        <v>461</v>
      </c>
      <c r="K612" s="21">
        <f>IF(MonthlyFAME!L614=0,"",MonthlyFAME!L614)</f>
        <v>444.75444191950999</v>
      </c>
      <c r="L612" s="21">
        <f>IF(MonthlyFAME!M614=0,"",MonthlyFAME!M614)</f>
        <v>1457.3</v>
      </c>
      <c r="M612" s="21" t="str">
        <f>IF(MonthlyFAME!N614=0,"",MonthlyFAME!N614)</f>
        <v/>
      </c>
      <c r="N612" s="21" t="str">
        <f>IF(MonthlyFAME!O614=0,"",MonthlyFAME!O614)</f>
        <v/>
      </c>
      <c r="O612" s="21" t="str">
        <f>IF(MonthlyFAME!P614=0,"",MonthlyFAME!P614)</f>
        <v/>
      </c>
      <c r="P612" s="21" t="str">
        <f>IF(MonthlyFAME!Q614=0,"",MonthlyFAME!Q614)</f>
        <v/>
      </c>
      <c r="Q612" s="21" t="str">
        <f>IF(MonthlyFAME!R614=0,"",MonthlyFAME!R614)</f>
        <v/>
      </c>
      <c r="R612" s="21" t="str">
        <f>IF(MonthlyFAME!S614=0,"",MonthlyFAME!S614)</f>
        <v/>
      </c>
      <c r="S612" s="21" t="str">
        <f>IF(MonthlyFAME!T614=0,"",MonthlyFAME!T614)</f>
        <v/>
      </c>
      <c r="T612" s="21">
        <f>IF(MonthlyFAME!U614=0,"",MonthlyFAME!U614)</f>
        <v>77.080454545454529</v>
      </c>
    </row>
    <row r="613" spans="1:20" x14ac:dyDescent="0.2">
      <c r="A613" s="23">
        <f>IF(MonthlyFAME!A615=0,"",MonthlyFAME!A615)</f>
        <v>40451</v>
      </c>
      <c r="B613" s="21">
        <f>IF(MonthlyFAME!B615=0,"",MonthlyFAME!B615)</f>
        <v>84.5</v>
      </c>
      <c r="C613" s="21">
        <f>IF(MonthlyFAME!C615=0,"",MonthlyFAME!C615)</f>
        <v>89.2</v>
      </c>
      <c r="D613" s="21">
        <f>IF(MonthlyFAME!D615=0,"",MonthlyFAME!D615)</f>
        <v>83.627499999999998</v>
      </c>
      <c r="E613" s="21">
        <f>IF(MonthlyFAME!F615=0,"",MonthlyFAME!F615)</f>
        <v>25528</v>
      </c>
      <c r="F613" s="21">
        <f>IF(MonthlyFAME!G615=0,"",MonthlyFAME!G615)</f>
        <v>34313</v>
      </c>
      <c r="G613" s="21">
        <f>IF(MonthlyFAME!H615=0,"",MonthlyFAME!H615)</f>
        <v>7.7538847904567572</v>
      </c>
      <c r="H613" s="21">
        <f>IF(MonthlyFAME!I615=0,"",MonthlyFAME!I615)</f>
        <v>29385</v>
      </c>
      <c r="I613" s="21">
        <f>IF(MonthlyFAME!J615=0,"",MonthlyFAME!J615)</f>
        <v>926.9</v>
      </c>
      <c r="J613" s="21">
        <f>IF(MonthlyFAME!K615=0,"",MonthlyFAME!K615)</f>
        <v>455</v>
      </c>
      <c r="K613" s="21">
        <f>IF(MonthlyFAME!L615=0,"",MonthlyFAME!L615)</f>
        <v>446.37847396988099</v>
      </c>
      <c r="L613" s="21">
        <f>IF(MonthlyFAME!M615=0,"",MonthlyFAME!M615)</f>
        <v>1457.1</v>
      </c>
      <c r="M613" s="21" t="str">
        <f>IF(MonthlyFAME!N615=0,"",MonthlyFAME!N615)</f>
        <v/>
      </c>
      <c r="N613" s="21" t="str">
        <f>IF(MonthlyFAME!O615=0,"",MonthlyFAME!O615)</f>
        <v/>
      </c>
      <c r="O613" s="21" t="str">
        <f>IF(MonthlyFAME!P615=0,"",MonthlyFAME!P615)</f>
        <v/>
      </c>
      <c r="P613" s="21" t="str">
        <f>IF(MonthlyFAME!Q615=0,"",MonthlyFAME!Q615)</f>
        <v/>
      </c>
      <c r="Q613" s="21" t="str">
        <f>IF(MonthlyFAME!R615=0,"",MonthlyFAME!R615)</f>
        <v/>
      </c>
      <c r="R613" s="21" t="str">
        <f>IF(MonthlyFAME!S615=0,"",MonthlyFAME!S615)</f>
        <v/>
      </c>
      <c r="S613" s="21" t="str">
        <f>IF(MonthlyFAME!T615=0,"",MonthlyFAME!T615)</f>
        <v/>
      </c>
      <c r="T613" s="21">
        <f>IF(MonthlyFAME!U615=0,"",MonthlyFAME!U615)</f>
        <v>77.827727272727273</v>
      </c>
    </row>
    <row r="614" spans="1:20" x14ac:dyDescent="0.2">
      <c r="A614" s="23">
        <f>IF(MonthlyFAME!A616=0,"",MonthlyFAME!A616)</f>
        <v>40482</v>
      </c>
      <c r="B614" s="21">
        <f>IF(MonthlyFAME!B616=0,"",MonthlyFAME!B616)</f>
        <v>84.8</v>
      </c>
      <c r="C614" s="21">
        <f>IF(MonthlyFAME!C616=0,"",MonthlyFAME!C616)</f>
        <v>90.8</v>
      </c>
      <c r="D614" s="21">
        <f>IF(MonthlyFAME!D616=0,"",MonthlyFAME!D616)</f>
        <v>83.800700000000006</v>
      </c>
      <c r="E614" s="21">
        <f>IF(MonthlyFAME!F616=0,"",MonthlyFAME!F616)</f>
        <v>25463</v>
      </c>
      <c r="F614" s="21">
        <f>IF(MonthlyFAME!G616=0,"",MonthlyFAME!G616)</f>
        <v>33202</v>
      </c>
      <c r="G614" s="21">
        <f>IF(MonthlyFAME!H616=0,"",MonthlyFAME!H616)</f>
        <v>7.8973005248106594</v>
      </c>
      <c r="H614" s="21">
        <f>IF(MonthlyFAME!I616=0,"",MonthlyFAME!I616)</f>
        <v>29308</v>
      </c>
      <c r="I614" s="21">
        <f>IF(MonthlyFAME!J616=0,"",MonthlyFAME!J616)</f>
        <v>922.6</v>
      </c>
      <c r="J614" s="21">
        <f>IF(MonthlyFAME!K616=0,"",MonthlyFAME!K616)</f>
        <v>454</v>
      </c>
      <c r="K614" s="21">
        <f>IF(MonthlyFAME!L616=0,"",MonthlyFAME!L616)</f>
        <v>446.81611618540398</v>
      </c>
      <c r="L614" s="21">
        <f>IF(MonthlyFAME!M616=0,"",MonthlyFAME!M616)</f>
        <v>1451</v>
      </c>
      <c r="M614" s="21" t="str">
        <f>IF(MonthlyFAME!N616=0,"",MonthlyFAME!N616)</f>
        <v/>
      </c>
      <c r="N614" s="21" t="str">
        <f>IF(MonthlyFAME!O616=0,"",MonthlyFAME!O616)</f>
        <v/>
      </c>
      <c r="O614" s="21" t="str">
        <f>IF(MonthlyFAME!P616=0,"",MonthlyFAME!P616)</f>
        <v/>
      </c>
      <c r="P614" s="21" t="str">
        <f>IF(MonthlyFAME!Q616=0,"",MonthlyFAME!Q616)</f>
        <v/>
      </c>
      <c r="Q614" s="21" t="str">
        <f>IF(MonthlyFAME!R616=0,"",MonthlyFAME!R616)</f>
        <v/>
      </c>
      <c r="R614" s="21" t="str">
        <f>IF(MonthlyFAME!S616=0,"",MonthlyFAME!S616)</f>
        <v/>
      </c>
      <c r="S614" s="21" t="str">
        <f>IF(MonthlyFAME!T616=0,"",MonthlyFAME!T616)</f>
        <v/>
      </c>
      <c r="T614" s="21">
        <f>IF(MonthlyFAME!U616=0,"",MonthlyFAME!U616)</f>
        <v>82.769523809523818</v>
      </c>
    </row>
    <row r="615" spans="1:20" x14ac:dyDescent="0.2">
      <c r="A615" s="23">
        <f>IF(MonthlyFAME!A617=0,"",MonthlyFAME!A617)</f>
        <v>40512</v>
      </c>
      <c r="B615" s="21">
        <f>IF(MonthlyFAME!B617=0,"",MonthlyFAME!B617)</f>
        <v>84.6</v>
      </c>
      <c r="C615" s="21">
        <f>IF(MonthlyFAME!C617=0,"",MonthlyFAME!C617)</f>
        <v>89</v>
      </c>
      <c r="D615" s="21">
        <f>IF(MonthlyFAME!D617=0,"",MonthlyFAME!D617)</f>
        <v>83.831299999999999</v>
      </c>
      <c r="E615" s="21">
        <f>IF(MonthlyFAME!F617=0,"",MonthlyFAME!F617)</f>
        <v>26366</v>
      </c>
      <c r="F615" s="21">
        <f>IF(MonthlyFAME!G617=0,"",MonthlyFAME!G617)</f>
        <v>34918</v>
      </c>
      <c r="G615" s="21">
        <f>IF(MonthlyFAME!H617=0,"",MonthlyFAME!H617)</f>
        <v>7.8713899200906061</v>
      </c>
      <c r="H615" s="21">
        <f>IF(MonthlyFAME!I617=0,"",MonthlyFAME!I617)</f>
        <v>29284</v>
      </c>
      <c r="I615" s="21">
        <f>IF(MonthlyFAME!J617=0,"",MonthlyFAME!J617)</f>
        <v>922</v>
      </c>
      <c r="J615" s="21">
        <f>IF(MonthlyFAME!K617=0,"",MonthlyFAME!K617)</f>
        <v>474</v>
      </c>
      <c r="K615" s="21">
        <f>IF(MonthlyFAME!L617=0,"",MonthlyFAME!L617)</f>
        <v>447.99322333019597</v>
      </c>
      <c r="L615" s="21">
        <f>IF(MonthlyFAME!M617=0,"",MonthlyFAME!M617)</f>
        <v>1452.4</v>
      </c>
      <c r="M615" s="21" t="str">
        <f>IF(MonthlyFAME!N617=0,"",MonthlyFAME!N617)</f>
        <v/>
      </c>
      <c r="N615" s="21" t="str">
        <f>IF(MonthlyFAME!O617=0,"",MonthlyFAME!O617)</f>
        <v/>
      </c>
      <c r="O615" s="21" t="str">
        <f>IF(MonthlyFAME!P617=0,"",MonthlyFAME!P617)</f>
        <v/>
      </c>
      <c r="P615" s="21" t="str">
        <f>IF(MonthlyFAME!Q617=0,"",MonthlyFAME!Q617)</f>
        <v/>
      </c>
      <c r="Q615" s="21" t="str">
        <f>IF(MonthlyFAME!R617=0,"",MonthlyFAME!R617)</f>
        <v/>
      </c>
      <c r="R615" s="21" t="str">
        <f>IF(MonthlyFAME!S617=0,"",MonthlyFAME!S617)</f>
        <v/>
      </c>
      <c r="S615" s="21" t="str">
        <f>IF(MonthlyFAME!T617=0,"",MonthlyFAME!T617)</f>
        <v/>
      </c>
      <c r="T615" s="21">
        <f>IF(MonthlyFAME!U617=0,"",MonthlyFAME!U617)</f>
        <v>85.351818181818189</v>
      </c>
    </row>
    <row r="616" spans="1:20" x14ac:dyDescent="0.2">
      <c r="A616" s="23">
        <f>IF(MonthlyFAME!A618=0,"",MonthlyFAME!A618)</f>
        <v>40543</v>
      </c>
      <c r="B616" s="21">
        <f>IF(MonthlyFAME!B618=0,"",MonthlyFAME!B618)</f>
        <v>83.9</v>
      </c>
      <c r="C616" s="21">
        <f>IF(MonthlyFAME!C618=0,"",MonthlyFAME!C618)</f>
        <v>88.2</v>
      </c>
      <c r="D616" s="21">
        <f>IF(MonthlyFAME!D618=0,"",MonthlyFAME!D618)</f>
        <v>83.178700000000006</v>
      </c>
      <c r="E616" s="21">
        <f>IF(MonthlyFAME!F618=0,"",MonthlyFAME!F618)</f>
        <v>26195</v>
      </c>
      <c r="F616" s="21">
        <f>IF(MonthlyFAME!G618=0,"",MonthlyFAME!G618)</f>
        <v>35085</v>
      </c>
      <c r="G616" s="21">
        <f>IF(MonthlyFAME!H618=0,"",MonthlyFAME!H618)</f>
        <v>7.8643918685392906</v>
      </c>
      <c r="H616" s="21">
        <f>IF(MonthlyFAME!I618=0,"",MonthlyFAME!I618)</f>
        <v>29324</v>
      </c>
      <c r="I616" s="21">
        <f>IF(MonthlyFAME!J618=0,"",MonthlyFAME!J618)</f>
        <v>930.9</v>
      </c>
      <c r="J616" s="21">
        <f>IF(MonthlyFAME!K618=0,"",MonthlyFAME!K618)</f>
        <v>483</v>
      </c>
      <c r="K616" s="21">
        <f>IF(MonthlyFAME!L618=0,"",MonthlyFAME!L618)</f>
        <v>449.075019860878</v>
      </c>
      <c r="L616" s="21">
        <f>IF(MonthlyFAME!M618=0,"",MonthlyFAME!M618)</f>
        <v>1454</v>
      </c>
      <c r="M616" s="21" t="str">
        <f>IF(MonthlyFAME!N618=0,"",MonthlyFAME!N618)</f>
        <v/>
      </c>
      <c r="N616" s="21" t="str">
        <f>IF(MonthlyFAME!O618=0,"",MonthlyFAME!O618)</f>
        <v/>
      </c>
      <c r="O616" s="21" t="str">
        <f>IF(MonthlyFAME!P618=0,"",MonthlyFAME!P618)</f>
        <v/>
      </c>
      <c r="P616" s="21" t="str">
        <f>IF(MonthlyFAME!Q618=0,"",MonthlyFAME!Q618)</f>
        <v/>
      </c>
      <c r="Q616" s="21" t="str">
        <f>IF(MonthlyFAME!R618=0,"",MonthlyFAME!R618)</f>
        <v/>
      </c>
      <c r="R616" s="21" t="str">
        <f>IF(MonthlyFAME!S618=0,"",MonthlyFAME!S618)</f>
        <v/>
      </c>
      <c r="S616" s="21" t="str">
        <f>IF(MonthlyFAME!T618=0,"",MonthlyFAME!T618)</f>
        <v/>
      </c>
      <c r="T616" s="21">
        <f>IF(MonthlyFAME!U618=0,"",MonthlyFAME!U618)</f>
        <v>91.475217391304355</v>
      </c>
    </row>
    <row r="617" spans="1:20" x14ac:dyDescent="0.2">
      <c r="A617" s="23">
        <f>IF(MonthlyFAME!A619=0,"",MonthlyFAME!A619)</f>
        <v>40574</v>
      </c>
      <c r="B617" s="21">
        <f>IF(MonthlyFAME!B619=0,"",MonthlyFAME!B619)</f>
        <v>84.3</v>
      </c>
      <c r="C617" s="21">
        <f>IF(MonthlyFAME!C619=0,"",MonthlyFAME!C619)</f>
        <v>89.1</v>
      </c>
      <c r="D617" s="21">
        <f>IF(MonthlyFAME!D619=0,"",MonthlyFAME!D619)</f>
        <v>83.325299999999999</v>
      </c>
      <c r="E617" s="21">
        <f>IF(MonthlyFAME!F619=0,"",MonthlyFAME!F619)</f>
        <v>27994</v>
      </c>
      <c r="F617" s="21">
        <f>IF(MonthlyFAME!G619=0,"",MonthlyFAME!G619)</f>
        <v>33853</v>
      </c>
      <c r="G617" s="21">
        <f>IF(MonthlyFAME!H619=0,"",MonthlyFAME!H619)</f>
        <v>7.908506971643428</v>
      </c>
      <c r="H617" s="21">
        <f>IF(MonthlyFAME!I619=0,"",MonthlyFAME!I619)</f>
        <v>29391</v>
      </c>
      <c r="I617" s="21">
        <f>IF(MonthlyFAME!J619=0,"",MonthlyFAME!J619)</f>
        <v>932.7</v>
      </c>
      <c r="J617" s="21">
        <f>IF(MonthlyFAME!K619=0,"",MonthlyFAME!K619)</f>
        <v>493</v>
      </c>
      <c r="K617" s="21">
        <f>IF(MonthlyFAME!L619=0,"",MonthlyFAME!L619)</f>
        <v>457.93824359287601</v>
      </c>
      <c r="L617" s="21">
        <f>IF(MonthlyFAME!M619=0,"",MonthlyFAME!M619)</f>
        <v>1461.8</v>
      </c>
      <c r="M617" s="21" t="str">
        <f>IF(MonthlyFAME!N619=0,"",MonthlyFAME!N619)</f>
        <v/>
      </c>
      <c r="N617" s="21" t="str">
        <f>IF(MonthlyFAME!O619=0,"",MonthlyFAME!O619)</f>
        <v/>
      </c>
      <c r="O617" s="21" t="str">
        <f>IF(MonthlyFAME!P619=0,"",MonthlyFAME!P619)</f>
        <v/>
      </c>
      <c r="P617" s="21" t="str">
        <f>IF(MonthlyFAME!Q619=0,"",MonthlyFAME!Q619)</f>
        <v/>
      </c>
      <c r="Q617" s="21" t="str">
        <f>IF(MonthlyFAME!R619=0,"",MonthlyFAME!R619)</f>
        <v/>
      </c>
      <c r="R617" s="21" t="str">
        <f>IF(MonthlyFAME!S619=0,"",MonthlyFAME!S619)</f>
        <v/>
      </c>
      <c r="S617" s="21" t="str">
        <f>IF(MonthlyFAME!T619=0,"",MonthlyFAME!T619)</f>
        <v/>
      </c>
      <c r="T617" s="21">
        <f>IF(MonthlyFAME!U619=0,"",MonthlyFAME!U619)</f>
        <v>96.475238095238097</v>
      </c>
    </row>
    <row r="618" spans="1:20" x14ac:dyDescent="0.2">
      <c r="A618" s="23">
        <f>IF(MonthlyFAME!A620=0,"",MonthlyFAME!A620)</f>
        <v>40602</v>
      </c>
      <c r="B618" s="21">
        <f>IF(MonthlyFAME!B620=0,"",MonthlyFAME!B620)</f>
        <v>84.7</v>
      </c>
      <c r="C618" s="21">
        <f>IF(MonthlyFAME!C620=0,"",MonthlyFAME!C620)</f>
        <v>86.6</v>
      </c>
      <c r="D618" s="21">
        <f>IF(MonthlyFAME!D620=0,"",MonthlyFAME!D620)</f>
        <v>84.178700000000006</v>
      </c>
      <c r="E618" s="21">
        <f>IF(MonthlyFAME!F620=0,"",MonthlyFAME!F620)</f>
        <v>28538</v>
      </c>
      <c r="F618" s="21">
        <f>IF(MonthlyFAME!G620=0,"",MonthlyFAME!G620)</f>
        <v>32897</v>
      </c>
      <c r="G618" s="21">
        <f>IF(MonthlyFAME!H620=0,"",MonthlyFAME!H620)</f>
        <v>7.8035949145111791</v>
      </c>
      <c r="H618" s="21">
        <f>IF(MonthlyFAME!I620=0,"",MonthlyFAME!I620)</f>
        <v>29442</v>
      </c>
      <c r="I618" s="21">
        <f>IF(MonthlyFAME!J620=0,"",MonthlyFAME!J620)</f>
        <v>935.7</v>
      </c>
      <c r="J618" s="21">
        <f>IF(MonthlyFAME!K620=0,"",MonthlyFAME!K620)</f>
        <v>490</v>
      </c>
      <c r="K618" s="21">
        <f>IF(MonthlyFAME!L620=0,"",MonthlyFAME!L620)</f>
        <v>452.813552589403</v>
      </c>
      <c r="L618" s="21">
        <f>IF(MonthlyFAME!M620=0,"",MonthlyFAME!M620)</f>
        <v>1458.5</v>
      </c>
      <c r="M618" s="21" t="str">
        <f>IF(MonthlyFAME!N620=0,"",MonthlyFAME!N620)</f>
        <v/>
      </c>
      <c r="N618" s="21" t="str">
        <f>IF(MonthlyFAME!O620=0,"",MonthlyFAME!O620)</f>
        <v/>
      </c>
      <c r="O618" s="21" t="str">
        <f>IF(MonthlyFAME!P620=0,"",MonthlyFAME!P620)</f>
        <v/>
      </c>
      <c r="P618" s="21" t="str">
        <f>IF(MonthlyFAME!Q620=0,"",MonthlyFAME!Q620)</f>
        <v/>
      </c>
      <c r="Q618" s="21" t="str">
        <f>IF(MonthlyFAME!R620=0,"",MonthlyFAME!R620)</f>
        <v/>
      </c>
      <c r="R618" s="21" t="str">
        <f>IF(MonthlyFAME!S620=0,"",MonthlyFAME!S620)</f>
        <v/>
      </c>
      <c r="S618" s="21" t="str">
        <f>IF(MonthlyFAME!T620=0,"",MonthlyFAME!T620)</f>
        <v/>
      </c>
      <c r="T618" s="21">
        <f>IF(MonthlyFAME!U620=0,"",MonthlyFAME!U620)</f>
        <v>103.73499999999999</v>
      </c>
    </row>
    <row r="619" spans="1:20" x14ac:dyDescent="0.2">
      <c r="A619" s="23">
        <f>IF(MonthlyFAME!A621=0,"",MonthlyFAME!A621)</f>
        <v>40633</v>
      </c>
      <c r="B619" s="21">
        <f>IF(MonthlyFAME!B621=0,"",MonthlyFAME!B621)</f>
        <v>84.9</v>
      </c>
      <c r="C619" s="21">
        <f>IF(MonthlyFAME!C621=0,"",MonthlyFAME!C621)</f>
        <v>86.1</v>
      </c>
      <c r="D619" s="21">
        <f>IF(MonthlyFAME!D621=0,"",MonthlyFAME!D621)</f>
        <v>84.424599999999998</v>
      </c>
      <c r="E619" s="21">
        <f>IF(MonthlyFAME!F621=0,"",MonthlyFAME!F621)</f>
        <v>26818</v>
      </c>
      <c r="F619" s="21">
        <f>IF(MonthlyFAME!G621=0,"",MonthlyFAME!G621)</f>
        <v>33795</v>
      </c>
      <c r="G619" s="21">
        <f>IF(MonthlyFAME!H621=0,"",MonthlyFAME!H621)</f>
        <v>7.7778473875454202</v>
      </c>
      <c r="H619" s="21">
        <f>IF(MonthlyFAME!I621=0,"",MonthlyFAME!I621)</f>
        <v>29441</v>
      </c>
      <c r="I619" s="21">
        <f>IF(MonthlyFAME!J621=0,"",MonthlyFAME!J621)</f>
        <v>931.3</v>
      </c>
      <c r="J619" s="21">
        <f>IF(MonthlyFAME!K621=0,"",MonthlyFAME!K621)</f>
        <v>484</v>
      </c>
      <c r="K619" s="21">
        <f>IF(MonthlyFAME!L621=0,"",MonthlyFAME!L621)</f>
        <v>452.89919343561002</v>
      </c>
      <c r="L619" s="21">
        <f>IF(MonthlyFAME!M621=0,"",MonthlyFAME!M621)</f>
        <v>1463.5</v>
      </c>
      <c r="M619" s="21" t="str">
        <f>IF(MonthlyFAME!N621=0,"",MonthlyFAME!N621)</f>
        <v/>
      </c>
      <c r="N619" s="21" t="str">
        <f>IF(MonthlyFAME!O621=0,"",MonthlyFAME!O621)</f>
        <v/>
      </c>
      <c r="O619" s="21" t="str">
        <f>IF(MonthlyFAME!P621=0,"",MonthlyFAME!P621)</f>
        <v/>
      </c>
      <c r="P619" s="21" t="str">
        <f>IF(MonthlyFAME!Q621=0,"",MonthlyFAME!Q621)</f>
        <v/>
      </c>
      <c r="Q619" s="21" t="str">
        <f>IF(MonthlyFAME!R621=0,"",MonthlyFAME!R621)</f>
        <v/>
      </c>
      <c r="R619" s="21" t="str">
        <f>IF(MonthlyFAME!S621=0,"",MonthlyFAME!S621)</f>
        <v/>
      </c>
      <c r="S619" s="21" t="str">
        <f>IF(MonthlyFAME!T621=0,"",MonthlyFAME!T621)</f>
        <v/>
      </c>
      <c r="T619" s="21">
        <f>IF(MonthlyFAME!U621=0,"",MonthlyFAME!U621)</f>
        <v>114.56217391304349</v>
      </c>
    </row>
    <row r="620" spans="1:20" x14ac:dyDescent="0.2">
      <c r="A620" s="23">
        <f>IF(MonthlyFAME!A622=0,"",MonthlyFAME!A622)</f>
        <v>40663</v>
      </c>
      <c r="B620" s="21">
        <f>IF(MonthlyFAME!B622=0,"",MonthlyFAME!B622)</f>
        <v>84.2</v>
      </c>
      <c r="C620" s="21">
        <f>IF(MonthlyFAME!C622=0,"",MonthlyFAME!C622)</f>
        <v>85.5</v>
      </c>
      <c r="D620" s="21">
        <f>IF(MonthlyFAME!D622=0,"",MonthlyFAME!D622)</f>
        <v>83.487799999999993</v>
      </c>
      <c r="E620" s="21">
        <f>IF(MonthlyFAME!F622=0,"",MonthlyFAME!F622)</f>
        <v>26445</v>
      </c>
      <c r="F620" s="21">
        <f>IF(MonthlyFAME!G622=0,"",MonthlyFAME!G622)</f>
        <v>32495</v>
      </c>
      <c r="G620" s="21">
        <f>IF(MonthlyFAME!H622=0,"",MonthlyFAME!H622)</f>
        <v>7.7183522477898299</v>
      </c>
      <c r="H620" s="21">
        <f>IF(MonthlyFAME!I622=0,"",MonthlyFAME!I622)</f>
        <v>29436</v>
      </c>
      <c r="I620" s="21">
        <f>IF(MonthlyFAME!J622=0,"",MonthlyFAME!J622)</f>
        <v>922.4</v>
      </c>
      <c r="J620" s="21">
        <f>IF(MonthlyFAME!K622=0,"",MonthlyFAME!K622)</f>
        <v>472</v>
      </c>
      <c r="K620" s="21">
        <f>IF(MonthlyFAME!L622=0,"",MonthlyFAME!L622)</f>
        <v>450.98938157208801</v>
      </c>
      <c r="L620" s="21">
        <f>IF(MonthlyFAME!M622=0,"",MonthlyFAME!M622)</f>
        <v>1484.7</v>
      </c>
      <c r="M620" s="21" t="str">
        <f>IF(MonthlyFAME!N622=0,"",MonthlyFAME!N622)</f>
        <v/>
      </c>
      <c r="N620" s="21" t="str">
        <f>IF(MonthlyFAME!O622=0,"",MonthlyFAME!O622)</f>
        <v/>
      </c>
      <c r="O620" s="21" t="str">
        <f>IF(MonthlyFAME!P622=0,"",MonthlyFAME!P622)</f>
        <v/>
      </c>
      <c r="P620" s="21" t="str">
        <f>IF(MonthlyFAME!Q622=0,"",MonthlyFAME!Q622)</f>
        <v/>
      </c>
      <c r="Q620" s="21" t="str">
        <f>IF(MonthlyFAME!R622=0,"",MonthlyFAME!R622)</f>
        <v/>
      </c>
      <c r="R620" s="21" t="str">
        <f>IF(MonthlyFAME!S622=0,"",MonthlyFAME!S622)</f>
        <v/>
      </c>
      <c r="S620" s="21" t="str">
        <f>IF(MonthlyFAME!T622=0,"",MonthlyFAME!T622)</f>
        <v/>
      </c>
      <c r="T620" s="21">
        <f>IF(MonthlyFAME!U622=0,"",MonthlyFAME!U622)</f>
        <v>123.66952380952382</v>
      </c>
    </row>
    <row r="621" spans="1:20" x14ac:dyDescent="0.2">
      <c r="A621" s="23">
        <f>IF(MonthlyFAME!A623=0,"",MonthlyFAME!A623)</f>
        <v>40694</v>
      </c>
      <c r="B621" s="21">
        <f>IF(MonthlyFAME!B623=0,"",MonthlyFAME!B623)</f>
        <v>85</v>
      </c>
      <c r="C621" s="21">
        <f>IF(MonthlyFAME!C623=0,"",MonthlyFAME!C623)</f>
        <v>86.3</v>
      </c>
      <c r="D621" s="21">
        <f>IF(MonthlyFAME!D623=0,"",MonthlyFAME!D623)</f>
        <v>84.440899999999999</v>
      </c>
      <c r="E621" s="21">
        <f>IF(MonthlyFAME!F623=0,"",MonthlyFAME!F623)</f>
        <v>26715</v>
      </c>
      <c r="F621" s="21">
        <f>IF(MonthlyFAME!G623=0,"",MonthlyFAME!G623)</f>
        <v>37364</v>
      </c>
      <c r="G621" s="21">
        <f>IF(MonthlyFAME!H623=0,"",MonthlyFAME!H623)</f>
        <v>7.8208096102108486</v>
      </c>
      <c r="H621" s="21">
        <f>IF(MonthlyFAME!I623=0,"",MonthlyFAME!I623)</f>
        <v>29466</v>
      </c>
      <c r="I621" s="21">
        <f>IF(MonthlyFAME!J623=0,"",MonthlyFAME!J623)</f>
        <v>921.6</v>
      </c>
      <c r="J621" s="21">
        <f>IF(MonthlyFAME!K623=0,"",MonthlyFAME!K623)</f>
        <v>461</v>
      </c>
      <c r="K621" s="21">
        <f>IF(MonthlyFAME!L623=0,"",MonthlyFAME!L623)</f>
        <v>452.644306203729</v>
      </c>
      <c r="L621" s="21">
        <f>IF(MonthlyFAME!M623=0,"",MonthlyFAME!M623)</f>
        <v>1500.4</v>
      </c>
      <c r="M621" s="21" t="str">
        <f>IF(MonthlyFAME!N623=0,"",MonthlyFAME!N623)</f>
        <v/>
      </c>
      <c r="N621" s="21" t="str">
        <f>IF(MonthlyFAME!O623=0,"",MonthlyFAME!O623)</f>
        <v/>
      </c>
      <c r="O621" s="21" t="str">
        <f>IF(MonthlyFAME!P623=0,"",MonthlyFAME!P623)</f>
        <v/>
      </c>
      <c r="P621" s="21" t="str">
        <f>IF(MonthlyFAME!Q623=0,"",MonthlyFAME!Q623)</f>
        <v/>
      </c>
      <c r="Q621" s="21" t="str">
        <f>IF(MonthlyFAME!R623=0,"",MonthlyFAME!R623)</f>
        <v/>
      </c>
      <c r="R621" s="21" t="str">
        <f>IF(MonthlyFAME!S623=0,"",MonthlyFAME!S623)</f>
        <v/>
      </c>
      <c r="S621" s="21" t="str">
        <f>IF(MonthlyFAME!T623=0,"",MonthlyFAME!T623)</f>
        <v/>
      </c>
      <c r="T621" s="21">
        <f>IF(MonthlyFAME!U623=0,"",MonthlyFAME!U623)</f>
        <v>115.11227272727272</v>
      </c>
    </row>
    <row r="622" spans="1:20" x14ac:dyDescent="0.2">
      <c r="A622" s="23">
        <f>IF(MonthlyFAME!A624=0,"",MonthlyFAME!A624)</f>
        <v>40724</v>
      </c>
      <c r="B622" s="21">
        <f>IF(MonthlyFAME!B624=0,"",MonthlyFAME!B624)</f>
        <v>85</v>
      </c>
      <c r="C622" s="21">
        <f>IF(MonthlyFAME!C624=0,"",MonthlyFAME!C624)</f>
        <v>86.5</v>
      </c>
      <c r="D622" s="21">
        <f>IF(MonthlyFAME!D624=0,"",MonthlyFAME!D624)</f>
        <v>84.348699999999994</v>
      </c>
      <c r="E622" s="21">
        <f>IF(MonthlyFAME!F624=0,"",MonthlyFAME!F624)</f>
        <v>25539</v>
      </c>
      <c r="F622" s="21">
        <f>IF(MonthlyFAME!G624=0,"",MonthlyFAME!G624)</f>
        <v>33925</v>
      </c>
      <c r="G622" s="21">
        <f>IF(MonthlyFAME!H624=0,"",MonthlyFAME!H624)</f>
        <v>7.9407259199049616</v>
      </c>
      <c r="H622" s="21">
        <f>IF(MonthlyFAME!I624=0,"",MonthlyFAME!I624)</f>
        <v>29447</v>
      </c>
      <c r="I622" s="21">
        <f>IF(MonthlyFAME!J624=0,"",MonthlyFAME!J624)</f>
        <v>921.4</v>
      </c>
      <c r="J622" s="21">
        <f>IF(MonthlyFAME!K624=0,"",MonthlyFAME!K624)</f>
        <v>461</v>
      </c>
      <c r="K622" s="21">
        <f>IF(MonthlyFAME!L624=0,"",MonthlyFAME!L624)</f>
        <v>455.74634185587399</v>
      </c>
      <c r="L622" s="21">
        <f>IF(MonthlyFAME!M624=0,"",MonthlyFAME!M624)</f>
        <v>1519.5</v>
      </c>
      <c r="M622" s="21" t="str">
        <f>IF(MonthlyFAME!N624=0,"",MonthlyFAME!N624)</f>
        <v/>
      </c>
      <c r="N622" s="21" t="str">
        <f>IF(MonthlyFAME!O624=0,"",MonthlyFAME!O624)</f>
        <v/>
      </c>
      <c r="O622" s="21" t="str">
        <f>IF(MonthlyFAME!P624=0,"",MonthlyFAME!P624)</f>
        <v/>
      </c>
      <c r="P622" s="21" t="str">
        <f>IF(MonthlyFAME!Q624=0,"",MonthlyFAME!Q624)</f>
        <v/>
      </c>
      <c r="Q622" s="21" t="str">
        <f>IF(MonthlyFAME!R624=0,"",MonthlyFAME!R624)</f>
        <v/>
      </c>
      <c r="R622" s="21" t="str">
        <f>IF(MonthlyFAME!S624=0,"",MonthlyFAME!S624)</f>
        <v/>
      </c>
      <c r="S622" s="21" t="str">
        <f>IF(MonthlyFAME!T624=0,"",MonthlyFAME!T624)</f>
        <v/>
      </c>
      <c r="T622" s="21">
        <f>IF(MonthlyFAME!U624=0,"",MonthlyFAME!U624)</f>
        <v>114.03681818181818</v>
      </c>
    </row>
    <row r="623" spans="1:20" x14ac:dyDescent="0.2">
      <c r="A623" s="23">
        <f>IF(MonthlyFAME!A625=0,"",MonthlyFAME!A625)</f>
        <v>40755</v>
      </c>
      <c r="B623" s="21">
        <f>IF(MonthlyFAME!B625=0,"",MonthlyFAME!B625)</f>
        <v>85.1</v>
      </c>
      <c r="C623" s="21">
        <f>IF(MonthlyFAME!C625=0,"",MonthlyFAME!C625)</f>
        <v>86.2</v>
      </c>
      <c r="D623" s="21">
        <f>IF(MonthlyFAME!D625=0,"",MonthlyFAME!D625)</f>
        <v>84.5501</v>
      </c>
      <c r="E623" s="21">
        <f>IF(MonthlyFAME!F625=0,"",MonthlyFAME!F625)</f>
        <v>26211</v>
      </c>
      <c r="F623" s="21">
        <f>IF(MonthlyFAME!G625=0,"",MonthlyFAME!G625)</f>
        <v>34284</v>
      </c>
      <c r="G623" s="21">
        <f>IF(MonthlyFAME!H625=0,"",MonthlyFAME!H625)</f>
        <v>8.0122880160496539</v>
      </c>
      <c r="H623" s="21">
        <f>IF(MonthlyFAME!I625=0,"",MonthlyFAME!I625)</f>
        <v>29345</v>
      </c>
      <c r="I623" s="21">
        <f>IF(MonthlyFAME!J625=0,"",MonthlyFAME!J625)</f>
        <v>927.3</v>
      </c>
      <c r="J623" s="21">
        <f>IF(MonthlyFAME!K625=0,"",MonthlyFAME!K625)</f>
        <v>457</v>
      </c>
      <c r="K623" s="21">
        <f>IF(MonthlyFAME!L625=0,"",MonthlyFAME!L625)</f>
        <v>455.72566492974897</v>
      </c>
      <c r="L623" s="21">
        <f>IF(MonthlyFAME!M625=0,"",MonthlyFAME!M625)</f>
        <v>1555.1</v>
      </c>
      <c r="M623" s="21" t="str">
        <f>IF(MonthlyFAME!N625=0,"",MonthlyFAME!N625)</f>
        <v/>
      </c>
      <c r="N623" s="21" t="str">
        <f>IF(MonthlyFAME!O625=0,"",MonthlyFAME!O625)</f>
        <v/>
      </c>
      <c r="O623" s="21" t="str">
        <f>IF(MonthlyFAME!P625=0,"",MonthlyFAME!P625)</f>
        <v/>
      </c>
      <c r="P623" s="21" t="str">
        <f>IF(MonthlyFAME!Q625=0,"",MonthlyFAME!Q625)</f>
        <v/>
      </c>
      <c r="Q623" s="21" t="str">
        <f>IF(MonthlyFAME!R625=0,"",MonthlyFAME!R625)</f>
        <v/>
      </c>
      <c r="R623" s="21" t="str">
        <f>IF(MonthlyFAME!S625=0,"",MonthlyFAME!S625)</f>
        <v/>
      </c>
      <c r="S623" s="21" t="str">
        <f>IF(MonthlyFAME!T625=0,"",MonthlyFAME!T625)</f>
        <v/>
      </c>
      <c r="T623" s="21">
        <f>IF(MonthlyFAME!U625=0,"",MonthlyFAME!U625)</f>
        <v>116.84571428571425</v>
      </c>
    </row>
    <row r="624" spans="1:20" x14ac:dyDescent="0.2">
      <c r="A624" s="23">
        <f>IF(MonthlyFAME!A626=0,"",MonthlyFAME!A626)</f>
        <v>40786</v>
      </c>
      <c r="B624" s="21">
        <f>IF(MonthlyFAME!B626=0,"",MonthlyFAME!B626)</f>
        <v>84.9</v>
      </c>
      <c r="C624" s="21">
        <f>IF(MonthlyFAME!C626=0,"",MonthlyFAME!C626)</f>
        <v>86.2</v>
      </c>
      <c r="D624" s="21">
        <f>IF(MonthlyFAME!D626=0,"",MonthlyFAME!D626)</f>
        <v>84.409199999999998</v>
      </c>
      <c r="E624" s="21">
        <f>IF(MonthlyFAME!F626=0,"",MonthlyFAME!F626)</f>
        <v>26156</v>
      </c>
      <c r="F624" s="21">
        <f>IF(MonthlyFAME!G626=0,"",MonthlyFAME!G626)</f>
        <v>33934</v>
      </c>
      <c r="G624" s="21">
        <f>IF(MonthlyFAME!H626=0,"",MonthlyFAME!H626)</f>
        <v>8.1821315533828454</v>
      </c>
      <c r="H624" s="21">
        <f>IF(MonthlyFAME!I626=0,"",MonthlyFAME!I626)</f>
        <v>29300</v>
      </c>
      <c r="I624" s="21">
        <f>IF(MonthlyFAME!J626=0,"",MonthlyFAME!J626)</f>
        <v>928.4</v>
      </c>
      <c r="J624" s="21">
        <f>IF(MonthlyFAME!K626=0,"",MonthlyFAME!K626)</f>
        <v>462</v>
      </c>
      <c r="K624" s="21">
        <f>IF(MonthlyFAME!L626=0,"",MonthlyFAME!L626)</f>
        <v>453.61546436155101</v>
      </c>
      <c r="L624" s="21">
        <f>IF(MonthlyFAME!M626=0,"",MonthlyFAME!M626)</f>
        <v>1576.7</v>
      </c>
      <c r="M624" s="21" t="str">
        <f>IF(MonthlyFAME!N626=0,"",MonthlyFAME!N626)</f>
        <v/>
      </c>
      <c r="N624" s="21" t="str">
        <f>IF(MonthlyFAME!O626=0,"",MonthlyFAME!O626)</f>
        <v/>
      </c>
      <c r="O624" s="21" t="str">
        <f>IF(MonthlyFAME!P626=0,"",MonthlyFAME!P626)</f>
        <v/>
      </c>
      <c r="P624" s="21" t="str">
        <f>IF(MonthlyFAME!Q626=0,"",MonthlyFAME!Q626)</f>
        <v/>
      </c>
      <c r="Q624" s="21" t="str">
        <f>IF(MonthlyFAME!R626=0,"",MonthlyFAME!R626)</f>
        <v/>
      </c>
      <c r="R624" s="21" t="str">
        <f>IF(MonthlyFAME!S626=0,"",MonthlyFAME!S626)</f>
        <v/>
      </c>
      <c r="S624" s="21" t="str">
        <f>IF(MonthlyFAME!T626=0,"",MonthlyFAME!T626)</f>
        <v/>
      </c>
      <c r="T624" s="21">
        <f>IF(MonthlyFAME!U626=0,"",MonthlyFAME!U626)</f>
        <v>110.52260869565217</v>
      </c>
    </row>
    <row r="625" spans="1:20" x14ac:dyDescent="0.2">
      <c r="A625" s="23">
        <f>IF(MonthlyFAME!A627=0,"",MonthlyFAME!A627)</f>
        <v>40816</v>
      </c>
      <c r="B625" s="21">
        <f>IF(MonthlyFAME!B627=0,"",MonthlyFAME!B627)</f>
        <v>85.1</v>
      </c>
      <c r="C625" s="21">
        <f>IF(MonthlyFAME!C627=0,"",MonthlyFAME!C627)</f>
        <v>86.5</v>
      </c>
      <c r="D625" s="21">
        <f>IF(MonthlyFAME!D627=0,"",MonthlyFAME!D627)</f>
        <v>84.494299999999996</v>
      </c>
      <c r="E625" s="21">
        <f>IF(MonthlyFAME!F627=0,"",MonthlyFAME!F627)</f>
        <v>25701</v>
      </c>
      <c r="F625" s="21">
        <f>IF(MonthlyFAME!G627=0,"",MonthlyFAME!G627)</f>
        <v>34981</v>
      </c>
      <c r="G625" s="21">
        <f>IF(MonthlyFAME!H627=0,"",MonthlyFAME!H627)</f>
        <v>8.3330724683048985</v>
      </c>
      <c r="H625" s="21">
        <f>IF(MonthlyFAME!I627=0,"",MonthlyFAME!I627)</f>
        <v>29283</v>
      </c>
      <c r="I625" s="21">
        <f>IF(MonthlyFAME!J627=0,"",MonthlyFAME!J627)</f>
        <v>927</v>
      </c>
      <c r="J625" s="21">
        <f>IF(MonthlyFAME!K627=0,"",MonthlyFAME!K627)</f>
        <v>464</v>
      </c>
      <c r="K625" s="21">
        <f>IF(MonthlyFAME!L627=0,"",MonthlyFAME!L627)</f>
        <v>454.26902766157099</v>
      </c>
      <c r="L625" s="21">
        <f>IF(MonthlyFAME!M627=0,"",MonthlyFAME!M627)</f>
        <v>1596</v>
      </c>
      <c r="M625" s="21" t="str">
        <f>IF(MonthlyFAME!N627=0,"",MonthlyFAME!N627)</f>
        <v/>
      </c>
      <c r="N625" s="21" t="str">
        <f>IF(MonthlyFAME!O627=0,"",MonthlyFAME!O627)</f>
        <v/>
      </c>
      <c r="O625" s="21" t="str">
        <f>IF(MonthlyFAME!P627=0,"",MonthlyFAME!P627)</f>
        <v/>
      </c>
      <c r="P625" s="21" t="str">
        <f>IF(MonthlyFAME!Q627=0,"",MonthlyFAME!Q627)</f>
        <v/>
      </c>
      <c r="Q625" s="21" t="str">
        <f>IF(MonthlyFAME!R627=0,"",MonthlyFAME!R627)</f>
        <v/>
      </c>
      <c r="R625" s="21" t="str">
        <f>IF(MonthlyFAME!S627=0,"",MonthlyFAME!S627)</f>
        <v/>
      </c>
      <c r="S625" s="21" t="str">
        <f>IF(MonthlyFAME!T627=0,"",MonthlyFAME!T627)</f>
        <v/>
      </c>
      <c r="T625" s="21">
        <f>IF(MonthlyFAME!U627=0,"",MonthlyFAME!U627)</f>
        <v>113.07772727272727</v>
      </c>
    </row>
    <row r="626" spans="1:20" x14ac:dyDescent="0.2">
      <c r="A626" s="23">
        <f>IF(MonthlyFAME!A628=0,"",MonthlyFAME!A628)</f>
        <v>40847</v>
      </c>
      <c r="B626" s="21">
        <f>IF(MonthlyFAME!B628=0,"",MonthlyFAME!B628)</f>
        <v>84.2</v>
      </c>
      <c r="C626" s="21">
        <f>IF(MonthlyFAME!C628=0,"",MonthlyFAME!C628)</f>
        <v>86.2</v>
      </c>
      <c r="D626" s="21">
        <f>IF(MonthlyFAME!D628=0,"",MonthlyFAME!D628)</f>
        <v>83.563000000000002</v>
      </c>
      <c r="E626" s="21">
        <f>IF(MonthlyFAME!F628=0,"",MonthlyFAME!F628)</f>
        <v>27905</v>
      </c>
      <c r="F626" s="21">
        <f>IF(MonthlyFAME!G628=0,"",MonthlyFAME!G628)</f>
        <v>34971</v>
      </c>
      <c r="G626" s="21">
        <f>IF(MonthlyFAME!H628=0,"",MonthlyFAME!H628)</f>
        <v>8.3734600712901006</v>
      </c>
      <c r="H626" s="21">
        <f>IF(MonthlyFAME!I628=0,"",MonthlyFAME!I628)</f>
        <v>29304</v>
      </c>
      <c r="I626" s="21">
        <f>IF(MonthlyFAME!J628=0,"",MonthlyFAME!J628)</f>
        <v>929</v>
      </c>
      <c r="J626" s="21">
        <f>IF(MonthlyFAME!K628=0,"",MonthlyFAME!K628)</f>
        <v>466</v>
      </c>
      <c r="K626" s="21">
        <f>IF(MonthlyFAME!L628=0,"",MonthlyFAME!L628)</f>
        <v>455.93664194668997</v>
      </c>
      <c r="L626" s="21">
        <f>IF(MonthlyFAME!M628=0,"",MonthlyFAME!M628)</f>
        <v>1595.7</v>
      </c>
      <c r="M626" s="21" t="str">
        <f>IF(MonthlyFAME!N628=0,"",MonthlyFAME!N628)</f>
        <v/>
      </c>
      <c r="N626" s="21" t="str">
        <f>IF(MonthlyFAME!O628=0,"",MonthlyFAME!O628)</f>
        <v/>
      </c>
      <c r="O626" s="21" t="str">
        <f>IF(MonthlyFAME!P628=0,"",MonthlyFAME!P628)</f>
        <v/>
      </c>
      <c r="P626" s="21" t="str">
        <f>IF(MonthlyFAME!Q628=0,"",MonthlyFAME!Q628)</f>
        <v/>
      </c>
      <c r="Q626" s="21" t="str">
        <f>IF(MonthlyFAME!R628=0,"",MonthlyFAME!R628)</f>
        <v/>
      </c>
      <c r="R626" s="21" t="str">
        <f>IF(MonthlyFAME!S628=0,"",MonthlyFAME!S628)</f>
        <v/>
      </c>
      <c r="S626" s="21" t="str">
        <f>IF(MonthlyFAME!T628=0,"",MonthlyFAME!T628)</f>
        <v/>
      </c>
      <c r="T626" s="21">
        <f>IF(MonthlyFAME!U628=0,"",MonthlyFAME!U628)</f>
        <v>109.43285714285715</v>
      </c>
    </row>
    <row r="627" spans="1:20" x14ac:dyDescent="0.2">
      <c r="A627" s="23">
        <f>IF(MonthlyFAME!A629=0,"",MonthlyFAME!A629)</f>
        <v>40877</v>
      </c>
      <c r="B627" s="21">
        <f>IF(MonthlyFAME!B629=0,"",MonthlyFAME!B629)</f>
        <v>85.3</v>
      </c>
      <c r="C627" s="21">
        <f>IF(MonthlyFAME!C629=0,"",MonthlyFAME!C629)</f>
        <v>86.6</v>
      </c>
      <c r="D627" s="21">
        <f>IF(MonthlyFAME!D629=0,"",MonthlyFAME!D629)</f>
        <v>84.789299999999997</v>
      </c>
      <c r="E627" s="21">
        <f>IF(MonthlyFAME!F629=0,"",MonthlyFAME!F629)</f>
        <v>26967</v>
      </c>
      <c r="F627" s="21">
        <f>IF(MonthlyFAME!G629=0,"",MonthlyFAME!G629)</f>
        <v>34644</v>
      </c>
      <c r="G627" s="21">
        <f>IF(MonthlyFAME!H629=0,"",MonthlyFAME!H629)</f>
        <v>8.469339990638165</v>
      </c>
      <c r="H627" s="21">
        <f>IF(MonthlyFAME!I629=0,"",MonthlyFAME!I629)</f>
        <v>29331</v>
      </c>
      <c r="I627" s="21">
        <f>IF(MonthlyFAME!J629=0,"",MonthlyFAME!J629)</f>
        <v>927.8</v>
      </c>
      <c r="J627" s="21">
        <f>IF(MonthlyFAME!K629=0,"",MonthlyFAME!K629)</f>
        <v>462</v>
      </c>
      <c r="K627" s="21">
        <f>IF(MonthlyFAME!L629=0,"",MonthlyFAME!L629)</f>
        <v>456.726240996527</v>
      </c>
      <c r="L627" s="21">
        <f>IF(MonthlyFAME!M629=0,"",MonthlyFAME!M629)</f>
        <v>1599.2</v>
      </c>
      <c r="M627" s="21" t="str">
        <f>IF(MonthlyFAME!N629=0,"",MonthlyFAME!N629)</f>
        <v/>
      </c>
      <c r="N627" s="21" t="str">
        <f>IF(MonthlyFAME!O629=0,"",MonthlyFAME!O629)</f>
        <v/>
      </c>
      <c r="O627" s="21" t="str">
        <f>IF(MonthlyFAME!P629=0,"",MonthlyFAME!P629)</f>
        <v/>
      </c>
      <c r="P627" s="21" t="str">
        <f>IF(MonthlyFAME!Q629=0,"",MonthlyFAME!Q629)</f>
        <v/>
      </c>
      <c r="Q627" s="21" t="str">
        <f>IF(MonthlyFAME!R629=0,"",MonthlyFAME!R629)</f>
        <v/>
      </c>
      <c r="R627" s="21" t="str">
        <f>IF(MonthlyFAME!S629=0,"",MonthlyFAME!S629)</f>
        <v/>
      </c>
      <c r="S627" s="21" t="str">
        <f>IF(MonthlyFAME!T629=0,"",MonthlyFAME!T629)</f>
        <v/>
      </c>
      <c r="T627" s="21">
        <f>IF(MonthlyFAME!U629=0,"",MonthlyFAME!U629)</f>
        <v>110.70363636363636</v>
      </c>
    </row>
    <row r="628" spans="1:20" x14ac:dyDescent="0.2">
      <c r="A628" s="23">
        <f>IF(MonthlyFAME!A630=0,"",MonthlyFAME!A630)</f>
        <v>40908</v>
      </c>
      <c r="B628" s="21">
        <f>IF(MonthlyFAME!B630=0,"",MonthlyFAME!B630)</f>
        <v>86.1</v>
      </c>
      <c r="C628" s="21">
        <f>IF(MonthlyFAME!C630=0,"",MonthlyFAME!C630)</f>
        <v>87.4</v>
      </c>
      <c r="D628" s="21">
        <f>IF(MonthlyFAME!D630=0,"",MonthlyFAME!D630)</f>
        <v>85.342200000000005</v>
      </c>
      <c r="E628" s="21">
        <f>IF(MonthlyFAME!F630=0,"",MonthlyFAME!F630)</f>
        <v>27362</v>
      </c>
      <c r="F628" s="21">
        <f>IF(MonthlyFAME!G630=0,"",MonthlyFAME!G630)</f>
        <v>33663</v>
      </c>
      <c r="G628" s="21">
        <f>IF(MonthlyFAME!H630=0,"",MonthlyFAME!H630)</f>
        <v>8.3960173538499951</v>
      </c>
      <c r="H628" s="21">
        <f>IF(MonthlyFAME!I630=0,"",MonthlyFAME!I630)</f>
        <v>29349</v>
      </c>
      <c r="I628" s="21">
        <f>IF(MonthlyFAME!J630=0,"",MonthlyFAME!J630)</f>
        <v>926</v>
      </c>
      <c r="J628" s="21">
        <f>IF(MonthlyFAME!K630=0,"",MonthlyFAME!K630)</f>
        <v>465</v>
      </c>
      <c r="K628" s="21">
        <f>IF(MonthlyFAME!L630=0,"",MonthlyFAME!L630)</f>
        <v>456.96266921416901</v>
      </c>
      <c r="L628" s="21">
        <f>IF(MonthlyFAME!M630=0,"",MonthlyFAME!M630)</f>
        <v>1601.8</v>
      </c>
      <c r="M628" s="21" t="str">
        <f>IF(MonthlyFAME!N630=0,"",MonthlyFAME!N630)</f>
        <v/>
      </c>
      <c r="N628" s="21" t="str">
        <f>IF(MonthlyFAME!O630=0,"",MonthlyFAME!O630)</f>
        <v/>
      </c>
      <c r="O628" s="21" t="str">
        <f>IF(MonthlyFAME!P630=0,"",MonthlyFAME!P630)</f>
        <v/>
      </c>
      <c r="P628" s="21" t="str">
        <f>IF(MonthlyFAME!Q630=0,"",MonthlyFAME!Q630)</f>
        <v/>
      </c>
      <c r="Q628" s="21" t="str">
        <f>IF(MonthlyFAME!R630=0,"",MonthlyFAME!R630)</f>
        <v/>
      </c>
      <c r="R628" s="21" t="str">
        <f>IF(MonthlyFAME!S630=0,"",MonthlyFAME!S630)</f>
        <v/>
      </c>
      <c r="S628" s="21" t="str">
        <f>IF(MonthlyFAME!T630=0,"",MonthlyFAME!T630)</f>
        <v/>
      </c>
      <c r="T628" s="21">
        <f>IF(MonthlyFAME!U630=0,"",MonthlyFAME!U630)</f>
        <v>107.89772727272725</v>
      </c>
    </row>
    <row r="629" spans="1:20" x14ac:dyDescent="0.2">
      <c r="A629" s="23">
        <f>IF(MonthlyFAME!A631=0,"",MonthlyFAME!A631)</f>
        <v>40939</v>
      </c>
      <c r="B629" s="21">
        <f>IF(MonthlyFAME!B631=0,"",MonthlyFAME!B631)</f>
        <v>86.5</v>
      </c>
      <c r="C629" s="21">
        <f>IF(MonthlyFAME!C631=0,"",MonthlyFAME!C631)</f>
        <v>87.3</v>
      </c>
      <c r="D629" s="21">
        <f>IF(MonthlyFAME!D631=0,"",MonthlyFAME!D631)</f>
        <v>86.1982</v>
      </c>
      <c r="E629" s="21">
        <f>IF(MonthlyFAME!F631=0,"",MonthlyFAME!F631)</f>
        <v>27454</v>
      </c>
      <c r="F629" s="21">
        <f>IF(MonthlyFAME!G631=0,"",MonthlyFAME!G631)</f>
        <v>35106</v>
      </c>
      <c r="G629" s="21">
        <f>IF(MonthlyFAME!H631=0,"",MonthlyFAME!H631)</f>
        <v>8.3546674992194809</v>
      </c>
      <c r="H629" s="21">
        <f>IF(MonthlyFAME!I631=0,"",MonthlyFAME!I631)</f>
        <v>29354</v>
      </c>
      <c r="I629" s="21">
        <f>IF(MonthlyFAME!J631=0,"",MonthlyFAME!J631)</f>
        <v>931.2</v>
      </c>
      <c r="J629" s="21">
        <f>IF(MonthlyFAME!K631=0,"",MonthlyFAME!K631)</f>
        <v>473</v>
      </c>
      <c r="K629" s="21">
        <f>IF(MonthlyFAME!L631=0,"",MonthlyFAME!L631)</f>
        <v>457.35675279020899</v>
      </c>
      <c r="L629" s="21">
        <f>IF(MonthlyFAME!M631=0,"",MonthlyFAME!M631)</f>
        <v>1609.9</v>
      </c>
      <c r="M629" s="21" t="str">
        <f>IF(MonthlyFAME!N631=0,"",MonthlyFAME!N631)</f>
        <v/>
      </c>
      <c r="N629" s="21" t="str">
        <f>IF(MonthlyFAME!O631=0,"",MonthlyFAME!O631)</f>
        <v/>
      </c>
      <c r="O629" s="21" t="str">
        <f>IF(MonthlyFAME!P631=0,"",MonthlyFAME!P631)</f>
        <v/>
      </c>
      <c r="P629" s="21" t="str">
        <f>IF(MonthlyFAME!Q631=0,"",MonthlyFAME!Q631)</f>
        <v/>
      </c>
      <c r="Q629" s="21" t="str">
        <f>IF(MonthlyFAME!R631=0,"",MonthlyFAME!R631)</f>
        <v/>
      </c>
      <c r="R629" s="21" t="str">
        <f>IF(MonthlyFAME!S631=0,"",MonthlyFAME!S631)</f>
        <v/>
      </c>
      <c r="S629" s="21" t="str">
        <f>IF(MonthlyFAME!T631=0,"",MonthlyFAME!T631)</f>
        <v/>
      </c>
      <c r="T629" s="21">
        <f>IF(MonthlyFAME!U631=0,"",MonthlyFAME!U631)</f>
        <v>110.48090909090912</v>
      </c>
    </row>
    <row r="630" spans="1:20" x14ac:dyDescent="0.2">
      <c r="A630" s="23">
        <f>IF(MonthlyFAME!A632=0,"",MonthlyFAME!A632)</f>
        <v>40968</v>
      </c>
      <c r="B630" s="21">
        <f>IF(MonthlyFAME!B632=0,"",MonthlyFAME!B632)</f>
        <v>85.6</v>
      </c>
      <c r="C630" s="21">
        <f>IF(MonthlyFAME!C632=0,"",MonthlyFAME!C632)</f>
        <v>86.6</v>
      </c>
      <c r="D630" s="21">
        <f>IF(MonthlyFAME!D632=0,"",MonthlyFAME!D632)</f>
        <v>85.350399999999993</v>
      </c>
      <c r="E630" s="21">
        <f>IF(MonthlyFAME!F632=0,"",MonthlyFAME!F632)</f>
        <v>27130</v>
      </c>
      <c r="F630" s="21">
        <f>IF(MonthlyFAME!G632=0,"",MonthlyFAME!G632)</f>
        <v>33938</v>
      </c>
      <c r="G630" s="21">
        <f>IF(MonthlyFAME!H632=0,"",MonthlyFAME!H632)</f>
        <v>8.2909476706087926</v>
      </c>
      <c r="H630" s="21">
        <f>IF(MonthlyFAME!I632=0,"",MonthlyFAME!I632)</f>
        <v>29390</v>
      </c>
      <c r="I630" s="21">
        <f>IF(MonthlyFAME!J632=0,"",MonthlyFAME!J632)</f>
        <v>932.3</v>
      </c>
      <c r="J630" s="21">
        <f>IF(MonthlyFAME!K632=0,"",MonthlyFAME!K632)</f>
        <v>473</v>
      </c>
      <c r="K630" s="21">
        <f>IF(MonthlyFAME!L632=0,"",MonthlyFAME!L632)</f>
        <v>456.87154995566902</v>
      </c>
      <c r="L630" s="21">
        <f>IF(MonthlyFAME!M632=0,"",MonthlyFAME!M632)</f>
        <v>1609.5</v>
      </c>
      <c r="M630" s="21" t="str">
        <f>IF(MonthlyFAME!N632=0,"",MonthlyFAME!N632)</f>
        <v/>
      </c>
      <c r="N630" s="21" t="str">
        <f>IF(MonthlyFAME!O632=0,"",MonthlyFAME!O632)</f>
        <v/>
      </c>
      <c r="O630" s="21" t="str">
        <f>IF(MonthlyFAME!P632=0,"",MonthlyFAME!P632)</f>
        <v/>
      </c>
      <c r="P630" s="21" t="str">
        <f>IF(MonthlyFAME!Q632=0,"",MonthlyFAME!Q632)</f>
        <v/>
      </c>
      <c r="Q630" s="21" t="str">
        <f>IF(MonthlyFAME!R632=0,"",MonthlyFAME!R632)</f>
        <v/>
      </c>
      <c r="R630" s="21" t="str">
        <f>IF(MonthlyFAME!S632=0,"",MonthlyFAME!S632)</f>
        <v/>
      </c>
      <c r="S630" s="21" t="str">
        <f>IF(MonthlyFAME!T632=0,"",MonthlyFAME!T632)</f>
        <v/>
      </c>
      <c r="T630" s="21">
        <f>IF(MonthlyFAME!U632=0,"",MonthlyFAME!U632)</f>
        <v>119.53047619047621</v>
      </c>
    </row>
    <row r="631" spans="1:20" x14ac:dyDescent="0.2">
      <c r="A631" s="23">
        <f>IF(MonthlyFAME!A633=0,"",MonthlyFAME!A633)</f>
        <v>40999</v>
      </c>
      <c r="B631" s="21">
        <f>IF(MonthlyFAME!B633=0,"",MonthlyFAME!B633)</f>
        <v>86</v>
      </c>
      <c r="C631" s="21">
        <f>IF(MonthlyFAME!C633=0,"",MonthlyFAME!C633)</f>
        <v>86.9</v>
      </c>
      <c r="D631" s="21">
        <f>IF(MonthlyFAME!D633=0,"",MonthlyFAME!D633)</f>
        <v>85.692800000000005</v>
      </c>
      <c r="E631" s="21">
        <f>IF(MonthlyFAME!F633=0,"",MonthlyFAME!F633)</f>
        <v>28078</v>
      </c>
      <c r="F631" s="21">
        <f>IF(MonthlyFAME!G633=0,"",MonthlyFAME!G633)</f>
        <v>35230</v>
      </c>
      <c r="G631" s="21">
        <f>IF(MonthlyFAME!H633=0,"",MonthlyFAME!H633)</f>
        <v>8.2118380062305292</v>
      </c>
      <c r="H631" s="21">
        <f>IF(MonthlyFAME!I633=0,"",MonthlyFAME!I633)</f>
        <v>29464</v>
      </c>
      <c r="I631" s="21">
        <f>IF(MonthlyFAME!J633=0,"",MonthlyFAME!J633)</f>
        <v>934.9</v>
      </c>
      <c r="J631" s="21">
        <f>IF(MonthlyFAME!K633=0,"",MonthlyFAME!K633)</f>
        <v>467</v>
      </c>
      <c r="K631" s="21">
        <f>IF(MonthlyFAME!L633=0,"",MonthlyFAME!L633)</f>
        <v>457.18715389927002</v>
      </c>
      <c r="L631" s="21">
        <f>IF(MonthlyFAME!M633=0,"",MonthlyFAME!M633)</f>
        <v>1606.7</v>
      </c>
      <c r="M631" s="21" t="str">
        <f>IF(MonthlyFAME!N633=0,"",MonthlyFAME!N633)</f>
        <v/>
      </c>
      <c r="N631" s="21" t="str">
        <f>IF(MonthlyFAME!O633=0,"",MonthlyFAME!O633)</f>
        <v/>
      </c>
      <c r="O631" s="21" t="str">
        <f>IF(MonthlyFAME!P633=0,"",MonthlyFAME!P633)</f>
        <v/>
      </c>
      <c r="P631" s="21" t="str">
        <f>IF(MonthlyFAME!Q633=0,"",MonthlyFAME!Q633)</f>
        <v/>
      </c>
      <c r="Q631" s="21" t="str">
        <f>IF(MonthlyFAME!R633=0,"",MonthlyFAME!R633)</f>
        <v/>
      </c>
      <c r="R631" s="21" t="str">
        <f>IF(MonthlyFAME!S633=0,"",MonthlyFAME!S633)</f>
        <v/>
      </c>
      <c r="S631" s="21" t="str">
        <f>IF(MonthlyFAME!T633=0,"",MonthlyFAME!T633)</f>
        <v/>
      </c>
      <c r="T631" s="21">
        <f>IF(MonthlyFAME!U633=0,"",MonthlyFAME!U633)</f>
        <v>125.2740909090909</v>
      </c>
    </row>
    <row r="632" spans="1:20" x14ac:dyDescent="0.2">
      <c r="A632" s="23">
        <f>IF(MonthlyFAME!A634=0,"",MonthlyFAME!A634)</f>
        <v>41029</v>
      </c>
      <c r="B632" s="21">
        <f>IF(MonthlyFAME!B634=0,"",MonthlyFAME!B634)</f>
        <v>85.4</v>
      </c>
      <c r="C632" s="21">
        <f>IF(MonthlyFAME!C634=0,"",MonthlyFAME!C634)</f>
        <v>87.1</v>
      </c>
      <c r="D632" s="21">
        <f>IF(MonthlyFAME!D634=0,"",MonthlyFAME!D634)</f>
        <v>85.019199999999998</v>
      </c>
      <c r="E632" s="21">
        <f>IF(MonthlyFAME!F634=0,"",MonthlyFAME!F634)</f>
        <v>25105</v>
      </c>
      <c r="F632" s="21">
        <f>IF(MonthlyFAME!G634=0,"",MonthlyFAME!G634)</f>
        <v>35321</v>
      </c>
      <c r="G632" s="21">
        <f>IF(MonthlyFAME!H634=0,"",MonthlyFAME!H634)</f>
        <v>8.1761593526299414</v>
      </c>
      <c r="H632" s="21">
        <f>IF(MonthlyFAME!I634=0,"",MonthlyFAME!I634)</f>
        <v>29503</v>
      </c>
      <c r="I632" s="21">
        <f>IF(MonthlyFAME!J634=0,"",MonthlyFAME!J634)</f>
        <v>935.5</v>
      </c>
      <c r="J632" s="21">
        <f>IF(MonthlyFAME!K634=0,"",MonthlyFAME!K634)</f>
        <v>465</v>
      </c>
      <c r="K632" s="21">
        <f>IF(MonthlyFAME!L634=0,"",MonthlyFAME!L634)</f>
        <v>459.75916433251098</v>
      </c>
      <c r="L632" s="21">
        <f>IF(MonthlyFAME!M634=0,"",MonthlyFAME!M634)</f>
        <v>1582.6</v>
      </c>
      <c r="M632" s="21" t="str">
        <f>IF(MonthlyFAME!N634=0,"",MonthlyFAME!N634)</f>
        <v/>
      </c>
      <c r="N632" s="21" t="str">
        <f>IF(MonthlyFAME!O634=0,"",MonthlyFAME!O634)</f>
        <v/>
      </c>
      <c r="O632" s="21" t="str">
        <f>IF(MonthlyFAME!P634=0,"",MonthlyFAME!P634)</f>
        <v/>
      </c>
      <c r="P632" s="21" t="str">
        <f>IF(MonthlyFAME!Q634=0,"",MonthlyFAME!Q634)</f>
        <v/>
      </c>
      <c r="Q632" s="21" t="str">
        <f>IF(MonthlyFAME!R634=0,"",MonthlyFAME!R634)</f>
        <v/>
      </c>
      <c r="R632" s="21" t="str">
        <f>IF(MonthlyFAME!S634=0,"",MonthlyFAME!S634)</f>
        <v/>
      </c>
      <c r="S632" s="21" t="str">
        <f>IF(MonthlyFAME!T634=0,"",MonthlyFAME!T634)</f>
        <v/>
      </c>
      <c r="T632" s="21">
        <f>IF(MonthlyFAME!U634=0,"",MonthlyFAME!U634)</f>
        <v>119.89000000000003</v>
      </c>
    </row>
    <row r="633" spans="1:20" x14ac:dyDescent="0.2">
      <c r="A633" s="23">
        <f>IF(MonthlyFAME!A635=0,"",MonthlyFAME!A635)</f>
        <v>41060</v>
      </c>
      <c r="B633" s="21">
        <f>IF(MonthlyFAME!B635=0,"",MonthlyFAME!B635)</f>
        <v>86.7</v>
      </c>
      <c r="C633" s="21">
        <f>IF(MonthlyFAME!C635=0,"",MonthlyFAME!C635)</f>
        <v>87.8</v>
      </c>
      <c r="D633" s="21">
        <f>IF(MonthlyFAME!D635=0,"",MonthlyFAME!D635)</f>
        <v>86.447599999999994</v>
      </c>
      <c r="E633" s="21">
        <f>IF(MonthlyFAME!F635=0,"",MonthlyFAME!F635)</f>
        <v>27546</v>
      </c>
      <c r="F633" s="21">
        <f>IF(MonthlyFAME!G635=0,"",MonthlyFAME!G635)</f>
        <v>35696</v>
      </c>
      <c r="G633" s="21">
        <f>IF(MonthlyFAME!H635=0,"",MonthlyFAME!H635)</f>
        <v>8.0831624090993852</v>
      </c>
      <c r="H633" s="21">
        <f>IF(MonthlyFAME!I635=0,"",MonthlyFAME!I635)</f>
        <v>29577</v>
      </c>
      <c r="I633" s="21">
        <f>IF(MonthlyFAME!J635=0,"",MonthlyFAME!J635)</f>
        <v>944.4</v>
      </c>
      <c r="J633" s="21">
        <f>IF(MonthlyFAME!K635=0,"",MonthlyFAME!K635)</f>
        <v>471</v>
      </c>
      <c r="K633" s="21">
        <f>IF(MonthlyFAME!L635=0,"",MonthlyFAME!L635)</f>
        <v>460.00817589759799</v>
      </c>
      <c r="L633" s="21">
        <f>IF(MonthlyFAME!M635=0,"",MonthlyFAME!M635)</f>
        <v>1585.5</v>
      </c>
      <c r="M633" s="21" t="str">
        <f>IF(MonthlyFAME!N635=0,"",MonthlyFAME!N635)</f>
        <v/>
      </c>
      <c r="N633" s="21" t="str">
        <f>IF(MonthlyFAME!O635=0,"",MonthlyFAME!O635)</f>
        <v/>
      </c>
      <c r="O633" s="21" t="str">
        <f>IF(MonthlyFAME!P635=0,"",MonthlyFAME!P635)</f>
        <v/>
      </c>
      <c r="P633" s="21" t="str">
        <f>IF(MonthlyFAME!Q635=0,"",MonthlyFAME!Q635)</f>
        <v/>
      </c>
      <c r="Q633" s="21" t="str">
        <f>IF(MonthlyFAME!R635=0,"",MonthlyFAME!R635)</f>
        <v/>
      </c>
      <c r="R633" s="21" t="str">
        <f>IF(MonthlyFAME!S635=0,"",MonthlyFAME!S635)</f>
        <v/>
      </c>
      <c r="S633" s="21" t="str">
        <f>IF(MonthlyFAME!T635=0,"",MonthlyFAME!T635)</f>
        <v/>
      </c>
      <c r="T633" s="21">
        <f>IF(MonthlyFAME!U635=0,"",MonthlyFAME!U635)</f>
        <v>110.27130434782606</v>
      </c>
    </row>
    <row r="634" spans="1:20" x14ac:dyDescent="0.2">
      <c r="A634" s="23">
        <f>IF(MonthlyFAME!A636=0,"",MonthlyFAME!A636)</f>
        <v>41090</v>
      </c>
      <c r="B634" s="21">
        <f>IF(MonthlyFAME!B636=0,"",MonthlyFAME!B636)</f>
        <v>85.6</v>
      </c>
      <c r="C634" s="21">
        <f>IF(MonthlyFAME!C636=0,"",MonthlyFAME!C636)</f>
        <v>86.6</v>
      </c>
      <c r="D634" s="21">
        <f>IF(MonthlyFAME!D636=0,"",MonthlyFAME!D636)</f>
        <v>85.524299999999997</v>
      </c>
      <c r="E634" s="21">
        <f>IF(MonthlyFAME!F636=0,"",MonthlyFAME!F636)</f>
        <v>25247</v>
      </c>
      <c r="F634" s="21">
        <f>IF(MonthlyFAME!G636=0,"",MonthlyFAME!G636)</f>
        <v>35057</v>
      </c>
      <c r="G634" s="21">
        <f>IF(MonthlyFAME!H636=0,"",MonthlyFAME!H636)</f>
        <v>7.994420334779913</v>
      </c>
      <c r="H634" s="21">
        <f>IF(MonthlyFAME!I636=0,"",MonthlyFAME!I636)</f>
        <v>29681</v>
      </c>
      <c r="I634" s="21">
        <f>IF(MonthlyFAME!J636=0,"",MonthlyFAME!J636)</f>
        <v>941.3</v>
      </c>
      <c r="J634" s="21">
        <f>IF(MonthlyFAME!K636=0,"",MonthlyFAME!K636)</f>
        <v>474</v>
      </c>
      <c r="K634" s="21">
        <f>IF(MonthlyFAME!L636=0,"",MonthlyFAME!L636)</f>
        <v>461.515496147747</v>
      </c>
      <c r="L634" s="21">
        <f>IF(MonthlyFAME!M636=0,"",MonthlyFAME!M636)</f>
        <v>1589.3</v>
      </c>
      <c r="M634" s="21" t="str">
        <f>IF(MonthlyFAME!N636=0,"",MonthlyFAME!N636)</f>
        <v/>
      </c>
      <c r="N634" s="21" t="str">
        <f>IF(MonthlyFAME!O636=0,"",MonthlyFAME!O636)</f>
        <v/>
      </c>
      <c r="O634" s="21" t="str">
        <f>IF(MonthlyFAME!P636=0,"",MonthlyFAME!P636)</f>
        <v/>
      </c>
      <c r="P634" s="21" t="str">
        <f>IF(MonthlyFAME!Q636=0,"",MonthlyFAME!Q636)</f>
        <v/>
      </c>
      <c r="Q634" s="21" t="str">
        <f>IF(MonthlyFAME!R636=0,"",MonthlyFAME!R636)</f>
        <v/>
      </c>
      <c r="R634" s="21" t="str">
        <f>IF(MonthlyFAME!S636=0,"",MonthlyFAME!S636)</f>
        <v/>
      </c>
      <c r="S634" s="21" t="str">
        <f>IF(MonthlyFAME!T636=0,"",MonthlyFAME!T636)</f>
        <v/>
      </c>
      <c r="T634" s="21">
        <f>IF(MonthlyFAME!U636=0,"",MonthlyFAME!U636)</f>
        <v>95.128571428571419</v>
      </c>
    </row>
    <row r="635" spans="1:20" x14ac:dyDescent="0.2">
      <c r="A635" s="23">
        <f>IF(MonthlyFAME!A637=0,"",MonthlyFAME!A637)</f>
        <v>41121</v>
      </c>
      <c r="B635" s="21">
        <f>IF(MonthlyFAME!B637=0,"",MonthlyFAME!B637)</f>
        <v>86.8</v>
      </c>
      <c r="C635" s="21">
        <f>IF(MonthlyFAME!C637=0,"",MonthlyFAME!C637)</f>
        <v>88.6</v>
      </c>
      <c r="D635" s="21">
        <f>IF(MonthlyFAME!D637=0,"",MonthlyFAME!D637)</f>
        <v>86.666300000000007</v>
      </c>
      <c r="E635" s="21">
        <f>IF(MonthlyFAME!F637=0,"",MonthlyFAME!F637)</f>
        <v>27695</v>
      </c>
      <c r="F635" s="21">
        <f>IF(MonthlyFAME!G637=0,"",MonthlyFAME!G637)</f>
        <v>35069</v>
      </c>
      <c r="G635" s="21">
        <f>IF(MonthlyFAME!H637=0,"",MonthlyFAME!H637)</f>
        <v>8.0431356796341493</v>
      </c>
      <c r="H635" s="21">
        <f>IF(MonthlyFAME!I637=0,"",MonthlyFAME!I637)</f>
        <v>29760</v>
      </c>
      <c r="I635" s="21">
        <f>IF(MonthlyFAME!J637=0,"",MonthlyFAME!J637)</f>
        <v>940.1</v>
      </c>
      <c r="J635" s="21">
        <f>IF(MonthlyFAME!K637=0,"",MonthlyFAME!K637)</f>
        <v>480</v>
      </c>
      <c r="K635" s="21">
        <f>IF(MonthlyFAME!L637=0,"",MonthlyFAME!L637)</f>
        <v>462.54638438363997</v>
      </c>
      <c r="L635" s="21">
        <f>IF(MonthlyFAME!M637=0,"",MonthlyFAME!M637)</f>
        <v>1583.7</v>
      </c>
      <c r="M635" s="21" t="str">
        <f>IF(MonthlyFAME!N637=0,"",MonthlyFAME!N637)</f>
        <v/>
      </c>
      <c r="N635" s="21" t="str">
        <f>IF(MonthlyFAME!O637=0,"",MonthlyFAME!O637)</f>
        <v/>
      </c>
      <c r="O635" s="21" t="str">
        <f>IF(MonthlyFAME!P637=0,"",MonthlyFAME!P637)</f>
        <v/>
      </c>
      <c r="P635" s="21" t="str">
        <f>IF(MonthlyFAME!Q637=0,"",MonthlyFAME!Q637)</f>
        <v/>
      </c>
      <c r="Q635" s="21" t="str">
        <f>IF(MonthlyFAME!R637=0,"",MonthlyFAME!R637)</f>
        <v/>
      </c>
      <c r="R635" s="21" t="str">
        <f>IF(MonthlyFAME!S637=0,"",MonthlyFAME!S637)</f>
        <v/>
      </c>
      <c r="S635" s="21" t="str">
        <f>IF(MonthlyFAME!T637=0,"",MonthlyFAME!T637)</f>
        <v/>
      </c>
      <c r="T635" s="21">
        <f>IF(MonthlyFAME!U637=0,"",MonthlyFAME!U637)</f>
        <v>102.5872727272727</v>
      </c>
    </row>
    <row r="636" spans="1:20" x14ac:dyDescent="0.2">
      <c r="A636" s="23">
        <f>IF(MonthlyFAME!A638=0,"",MonthlyFAME!A638)</f>
        <v>41152</v>
      </c>
      <c r="B636" s="21">
        <f>IF(MonthlyFAME!B638=0,"",MonthlyFAME!B638)</f>
        <v>87.3</v>
      </c>
      <c r="C636" s="21">
        <f>IF(MonthlyFAME!C638=0,"",MonthlyFAME!C638)</f>
        <v>87.9</v>
      </c>
      <c r="D636" s="21">
        <f>IF(MonthlyFAME!D638=0,"",MonthlyFAME!D638)</f>
        <v>87.355000000000004</v>
      </c>
      <c r="E636" s="21">
        <f>IF(MonthlyFAME!F638=0,"",MonthlyFAME!F638)</f>
        <v>26251</v>
      </c>
      <c r="F636" s="21">
        <f>IF(MonthlyFAME!G638=0,"",MonthlyFAME!G638)</f>
        <v>35982</v>
      </c>
      <c r="G636" s="21">
        <f>IF(MonthlyFAME!H638=0,"",MonthlyFAME!H638)</f>
        <v>7.8948995363214838</v>
      </c>
      <c r="H636" s="21">
        <f>IF(MonthlyFAME!I638=0,"",MonthlyFAME!I638)</f>
        <v>29796</v>
      </c>
      <c r="I636" s="21">
        <f>IF(MonthlyFAME!J638=0,"",MonthlyFAME!J638)</f>
        <v>941.8</v>
      </c>
      <c r="J636" s="21">
        <f>IF(MonthlyFAME!K638=0,"",MonthlyFAME!K638)</f>
        <v>484</v>
      </c>
      <c r="K636" s="21">
        <f>IF(MonthlyFAME!L638=0,"",MonthlyFAME!L638)</f>
        <v>463.70283300223798</v>
      </c>
      <c r="L636" s="21">
        <f>IF(MonthlyFAME!M638=0,"",MonthlyFAME!M638)</f>
        <v>1571.4</v>
      </c>
      <c r="M636" s="21" t="str">
        <f>IF(MonthlyFAME!N638=0,"",MonthlyFAME!N638)</f>
        <v/>
      </c>
      <c r="N636" s="21" t="str">
        <f>IF(MonthlyFAME!O638=0,"",MonthlyFAME!O638)</f>
        <v/>
      </c>
      <c r="O636" s="21" t="str">
        <f>IF(MonthlyFAME!P638=0,"",MonthlyFAME!P638)</f>
        <v/>
      </c>
      <c r="P636" s="21" t="str">
        <f>IF(MonthlyFAME!Q638=0,"",MonthlyFAME!Q638)</f>
        <v/>
      </c>
      <c r="Q636" s="21" t="str">
        <f>IF(MonthlyFAME!R638=0,"",MonthlyFAME!R638)</f>
        <v/>
      </c>
      <c r="R636" s="21" t="str">
        <f>IF(MonthlyFAME!S638=0,"",MonthlyFAME!S638)</f>
        <v/>
      </c>
      <c r="S636" s="21" t="str">
        <f>IF(MonthlyFAME!T638=0,"",MonthlyFAME!T638)</f>
        <v/>
      </c>
      <c r="T636" s="21">
        <f>IF(MonthlyFAME!U638=0,"",MonthlyFAME!U638)</f>
        <v>113.48478260869565</v>
      </c>
    </row>
    <row r="637" spans="1:20" x14ac:dyDescent="0.2">
      <c r="A637" s="23">
        <f>IF(MonthlyFAME!A639=0,"",MonthlyFAME!A639)</f>
        <v>41182</v>
      </c>
      <c r="B637" s="21">
        <f>IF(MonthlyFAME!B639=0,"",MonthlyFAME!B639)</f>
        <v>86.3</v>
      </c>
      <c r="C637" s="21">
        <f>IF(MonthlyFAME!C639=0,"",MonthlyFAME!C639)</f>
        <v>85.7</v>
      </c>
      <c r="D637" s="21">
        <f>IF(MonthlyFAME!D639=0,"",MonthlyFAME!D639)</f>
        <v>86.485699999999994</v>
      </c>
      <c r="E637" s="21">
        <f>IF(MonthlyFAME!F639=0,"",MonthlyFAME!F639)</f>
        <v>26212</v>
      </c>
      <c r="F637" s="21">
        <f>IF(MonthlyFAME!G639=0,"",MonthlyFAME!G639)</f>
        <v>34575</v>
      </c>
      <c r="G637" s="21">
        <f>IF(MonthlyFAME!H639=0,"",MonthlyFAME!H639)</f>
        <v>7.8650990099009901</v>
      </c>
      <c r="H637" s="21">
        <f>IF(MonthlyFAME!I639=0,"",MonthlyFAME!I639)</f>
        <v>29778</v>
      </c>
      <c r="I637" s="21">
        <f>IF(MonthlyFAME!J639=0,"",MonthlyFAME!J639)</f>
        <v>950.8</v>
      </c>
      <c r="J637" s="21">
        <f>IF(MonthlyFAME!K639=0,"",MonthlyFAME!K639)</f>
        <v>488</v>
      </c>
      <c r="K637" s="21">
        <f>IF(MonthlyFAME!L639=0,"",MonthlyFAME!L639)</f>
        <v>462.08842565675099</v>
      </c>
      <c r="L637" s="21">
        <f>IF(MonthlyFAME!M639=0,"",MonthlyFAME!M639)</f>
        <v>1571.3</v>
      </c>
      <c r="M637" s="21" t="str">
        <f>IF(MonthlyFAME!N639=0,"",MonthlyFAME!N639)</f>
        <v/>
      </c>
      <c r="N637" s="21" t="str">
        <f>IF(MonthlyFAME!O639=0,"",MonthlyFAME!O639)</f>
        <v/>
      </c>
      <c r="O637" s="21" t="str">
        <f>IF(MonthlyFAME!P639=0,"",MonthlyFAME!P639)</f>
        <v/>
      </c>
      <c r="P637" s="21" t="str">
        <f>IF(MonthlyFAME!Q639=0,"",MonthlyFAME!Q639)</f>
        <v/>
      </c>
      <c r="Q637" s="21" t="str">
        <f>IF(MonthlyFAME!R639=0,"",MonthlyFAME!R639)</f>
        <v/>
      </c>
      <c r="R637" s="21" t="str">
        <f>IF(MonthlyFAME!S639=0,"",MonthlyFAME!S639)</f>
        <v/>
      </c>
      <c r="S637" s="21" t="str">
        <f>IF(MonthlyFAME!T639=0,"",MonthlyFAME!T639)</f>
        <v/>
      </c>
      <c r="T637" s="21">
        <f>IF(MonthlyFAME!U639=0,"",MonthlyFAME!U639)</f>
        <v>113.09400000000001</v>
      </c>
    </row>
    <row r="638" spans="1:20" x14ac:dyDescent="0.2">
      <c r="A638" s="23">
        <f>IF(MonthlyFAME!A640=0,"",MonthlyFAME!A640)</f>
        <v>41213</v>
      </c>
      <c r="B638" s="21">
        <f>IF(MonthlyFAME!B640=0,"",MonthlyFAME!B640)</f>
        <v>86.7</v>
      </c>
      <c r="C638" s="21">
        <f>IF(MonthlyFAME!C640=0,"",MonthlyFAME!C640)</f>
        <v>86.3</v>
      </c>
      <c r="D638" s="21">
        <f>IF(MonthlyFAME!D640=0,"",MonthlyFAME!D640)</f>
        <v>86.807299999999998</v>
      </c>
      <c r="E638" s="21">
        <f>IF(MonthlyFAME!F640=0,"",MonthlyFAME!F640)</f>
        <v>25629</v>
      </c>
      <c r="F638" s="21">
        <f>IF(MonthlyFAME!G640=0,"",MonthlyFAME!G640)</f>
        <v>34765</v>
      </c>
      <c r="G638" s="21">
        <f>IF(MonthlyFAME!H640=0,"",MonthlyFAME!H640)</f>
        <v>7.8597077761267951</v>
      </c>
      <c r="H638" s="21">
        <f>IF(MonthlyFAME!I640=0,"",MonthlyFAME!I640)</f>
        <v>29765</v>
      </c>
      <c r="I638" s="21">
        <f>IF(MonthlyFAME!J640=0,"",MonthlyFAME!J640)</f>
        <v>953.5</v>
      </c>
      <c r="J638" s="21">
        <f>IF(MonthlyFAME!K640=0,"",MonthlyFAME!K640)</f>
        <v>490</v>
      </c>
      <c r="K638" s="21">
        <f>IF(MonthlyFAME!L640=0,"",MonthlyFAME!L640)</f>
        <v>461.61758314103702</v>
      </c>
      <c r="L638" s="21">
        <f>IF(MonthlyFAME!M640=0,"",MonthlyFAME!M640)</f>
        <v>1579.8</v>
      </c>
      <c r="M638" s="21" t="str">
        <f>IF(MonthlyFAME!N640=0,"",MonthlyFAME!N640)</f>
        <v/>
      </c>
      <c r="N638" s="21" t="str">
        <f>IF(MonthlyFAME!O640=0,"",MonthlyFAME!O640)</f>
        <v/>
      </c>
      <c r="O638" s="21" t="str">
        <f>IF(MonthlyFAME!P640=0,"",MonthlyFAME!P640)</f>
        <v/>
      </c>
      <c r="P638" s="21" t="str">
        <f>IF(MonthlyFAME!Q640=0,"",MonthlyFAME!Q640)</f>
        <v/>
      </c>
      <c r="Q638" s="21" t="str">
        <f>IF(MonthlyFAME!R640=0,"",MonthlyFAME!R640)</f>
        <v/>
      </c>
      <c r="R638" s="21" t="str">
        <f>IF(MonthlyFAME!S640=0,"",MonthlyFAME!S640)</f>
        <v/>
      </c>
      <c r="S638" s="21" t="str">
        <f>IF(MonthlyFAME!T640=0,"",MonthlyFAME!T640)</f>
        <v/>
      </c>
      <c r="T638" s="21">
        <f>IF(MonthlyFAME!U640=0,"",MonthlyFAME!U640)</f>
        <v>111.69347826086958</v>
      </c>
    </row>
    <row r="639" spans="1:20" x14ac:dyDescent="0.2">
      <c r="A639" s="23">
        <f>IF(MonthlyFAME!A641=0,"",MonthlyFAME!A641)</f>
        <v>41243</v>
      </c>
      <c r="B639" s="21">
        <f>IF(MonthlyFAME!B641=0,"",MonthlyFAME!B641)</f>
        <v>86.9</v>
      </c>
      <c r="C639" s="21">
        <f>IF(MonthlyFAME!C641=0,"",MonthlyFAME!C641)</f>
        <v>87</v>
      </c>
      <c r="D639" s="21">
        <f>IF(MonthlyFAME!D641=0,"",MonthlyFAME!D641)</f>
        <v>86.870900000000006</v>
      </c>
      <c r="E639" s="21">
        <f>IF(MonthlyFAME!F641=0,"",MonthlyFAME!F641)</f>
        <v>25794</v>
      </c>
      <c r="F639" s="21">
        <f>IF(MonthlyFAME!G641=0,"",MonthlyFAME!G641)</f>
        <v>34261</v>
      </c>
      <c r="G639" s="21">
        <f>IF(MonthlyFAME!H641=0,"",MonthlyFAME!H641)</f>
        <v>7.8280724490110769</v>
      </c>
      <c r="H639" s="21">
        <f>IF(MonthlyFAME!I641=0,"",MonthlyFAME!I641)</f>
        <v>29872</v>
      </c>
      <c r="I639" s="21">
        <f>IF(MonthlyFAME!J641=0,"",MonthlyFAME!J641)</f>
        <v>947.1</v>
      </c>
      <c r="J639" s="21">
        <f>IF(MonthlyFAME!K641=0,"",MonthlyFAME!K641)</f>
        <v>494</v>
      </c>
      <c r="K639" s="21">
        <f>IF(MonthlyFAME!L641=0,"",MonthlyFAME!L641)</f>
        <v>463.25818024932198</v>
      </c>
      <c r="L639" s="21">
        <f>IF(MonthlyFAME!M641=0,"",MonthlyFAME!M641)</f>
        <v>1576.9</v>
      </c>
      <c r="M639" s="21" t="str">
        <f>IF(MonthlyFAME!N641=0,"",MonthlyFAME!N641)</f>
        <v/>
      </c>
      <c r="N639" s="21" t="str">
        <f>IF(MonthlyFAME!O641=0,"",MonthlyFAME!O641)</f>
        <v/>
      </c>
      <c r="O639" s="21" t="str">
        <f>IF(MonthlyFAME!P641=0,"",MonthlyFAME!P641)</f>
        <v/>
      </c>
      <c r="P639" s="21" t="str">
        <f>IF(MonthlyFAME!Q641=0,"",MonthlyFAME!Q641)</f>
        <v/>
      </c>
      <c r="Q639" s="21" t="str">
        <f>IF(MonthlyFAME!R641=0,"",MonthlyFAME!R641)</f>
        <v/>
      </c>
      <c r="R639" s="21" t="str">
        <f>IF(MonthlyFAME!S641=0,"",MonthlyFAME!S641)</f>
        <v/>
      </c>
      <c r="S639" s="21" t="str">
        <f>IF(MonthlyFAME!T641=0,"",MonthlyFAME!T641)</f>
        <v/>
      </c>
      <c r="T639" s="21">
        <f>IF(MonthlyFAME!U641=0,"",MonthlyFAME!U641)</f>
        <v>109.16954545454547</v>
      </c>
    </row>
    <row r="640" spans="1:20" x14ac:dyDescent="0.2">
      <c r="A640" s="23">
        <f>IF(MonthlyFAME!A642=0,"",MonthlyFAME!A642)</f>
        <v>41274</v>
      </c>
      <c r="B640" s="21">
        <f>IF(MonthlyFAME!B642=0,"",MonthlyFAME!B642)</f>
        <v>86.6</v>
      </c>
      <c r="C640" s="21">
        <f>IF(MonthlyFAME!C642=0,"",MonthlyFAME!C642)</f>
        <v>88.1</v>
      </c>
      <c r="D640" s="21">
        <f>IF(MonthlyFAME!D642=0,"",MonthlyFAME!D642)</f>
        <v>86.319599999999994</v>
      </c>
      <c r="E640" s="21">
        <f>IF(MonthlyFAME!F642=0,"",MonthlyFAME!F642)</f>
        <v>27050</v>
      </c>
      <c r="F640" s="21">
        <f>IF(MonthlyFAME!G642=0,"",MonthlyFAME!G642)</f>
        <v>34924</v>
      </c>
      <c r="G640" s="21">
        <f>IF(MonthlyFAME!H642=0,"",MonthlyFAME!H642)</f>
        <v>7.8221236757822128</v>
      </c>
      <c r="H640" s="21">
        <f>IF(MonthlyFAME!I642=0,"",MonthlyFAME!I642)</f>
        <v>29932</v>
      </c>
      <c r="I640" s="21">
        <f>IF(MonthlyFAME!J642=0,"",MonthlyFAME!J642)</f>
        <v>953.7</v>
      </c>
      <c r="J640" s="21">
        <f>IF(MonthlyFAME!K642=0,"",MonthlyFAME!K642)</f>
        <v>501</v>
      </c>
      <c r="K640" s="21">
        <f>IF(MonthlyFAME!L642=0,"",MonthlyFAME!L642)</f>
        <v>461.481716266239</v>
      </c>
      <c r="L640" s="21">
        <f>IF(MonthlyFAME!M642=0,"",MonthlyFAME!M642)</f>
        <v>1560.3</v>
      </c>
      <c r="M640" s="21" t="str">
        <f>IF(MonthlyFAME!N642=0,"",MonthlyFAME!N642)</f>
        <v/>
      </c>
      <c r="N640" s="21" t="str">
        <f>IF(MonthlyFAME!O642=0,"",MonthlyFAME!O642)</f>
        <v/>
      </c>
      <c r="O640" s="21" t="str">
        <f>IF(MonthlyFAME!P642=0,"",MonthlyFAME!P642)</f>
        <v/>
      </c>
      <c r="P640" s="21" t="str">
        <f>IF(MonthlyFAME!Q642=0,"",MonthlyFAME!Q642)</f>
        <v/>
      </c>
      <c r="Q640" s="21" t="str">
        <f>IF(MonthlyFAME!R642=0,"",MonthlyFAME!R642)</f>
        <v/>
      </c>
      <c r="R640" s="21" t="str">
        <f>IF(MonthlyFAME!S642=0,"",MonthlyFAME!S642)</f>
        <v/>
      </c>
      <c r="S640" s="21" t="str">
        <f>IF(MonthlyFAME!T642=0,"",MonthlyFAME!T642)</f>
        <v/>
      </c>
      <c r="T640" s="21">
        <f>IF(MonthlyFAME!U642=0,"",MonthlyFAME!U642)</f>
        <v>109.37523809523812</v>
      </c>
    </row>
    <row r="641" spans="1:20" x14ac:dyDescent="0.2">
      <c r="A641" s="23">
        <f>IF(MonthlyFAME!A643=0,"",MonthlyFAME!A643)</f>
        <v>41305</v>
      </c>
      <c r="B641" s="21">
        <f>IF(MonthlyFAME!B643=0,"",MonthlyFAME!B643)</f>
        <v>86.4</v>
      </c>
      <c r="C641" s="21">
        <f>IF(MonthlyFAME!C643=0,"",MonthlyFAME!C643)</f>
        <v>86.9</v>
      </c>
      <c r="D641" s="21">
        <f>IF(MonthlyFAME!D643=0,"",MonthlyFAME!D643)</f>
        <v>86.384799999999998</v>
      </c>
      <c r="E641" s="21">
        <f>IF(MonthlyFAME!F643=0,"",MonthlyFAME!F643)</f>
        <v>25929</v>
      </c>
      <c r="F641" s="21">
        <f>IF(MonthlyFAME!G643=0,"",MonthlyFAME!G643)</f>
        <v>34170</v>
      </c>
      <c r="G641" s="21">
        <f>IF(MonthlyFAME!H643=0,"",MonthlyFAME!H643)</f>
        <v>7.8314180966758062</v>
      </c>
      <c r="H641" s="21">
        <f>IF(MonthlyFAME!I643=0,"",MonthlyFAME!I643)</f>
        <v>29917</v>
      </c>
      <c r="I641" s="21">
        <f>IF(MonthlyFAME!J643=0,"",MonthlyFAME!J643)</f>
        <v>954.8</v>
      </c>
      <c r="J641" s="21">
        <f>IF(MonthlyFAME!K643=0,"",MonthlyFAME!K643)</f>
        <v>500</v>
      </c>
      <c r="K641" s="21">
        <f>IF(MonthlyFAME!L643=0,"",MonthlyFAME!L643)</f>
        <v>461.98484466868001</v>
      </c>
      <c r="L641" s="21">
        <f>IF(MonthlyFAME!M643=0,"",MonthlyFAME!M643)</f>
        <v>1550</v>
      </c>
      <c r="M641" s="21" t="str">
        <f>IF(MonthlyFAME!N643=0,"",MonthlyFAME!N643)</f>
        <v/>
      </c>
      <c r="N641" s="21" t="str">
        <f>IF(MonthlyFAME!O643=0,"",MonthlyFAME!O643)</f>
        <v/>
      </c>
      <c r="O641" s="21" t="str">
        <f>IF(MonthlyFAME!P643=0,"",MonthlyFAME!P643)</f>
        <v/>
      </c>
      <c r="P641" s="21" t="str">
        <f>IF(MonthlyFAME!Q643=0,"",MonthlyFAME!Q643)</f>
        <v/>
      </c>
      <c r="Q641" s="21" t="str">
        <f>IF(MonthlyFAME!R643=0,"",MonthlyFAME!R643)</f>
        <v/>
      </c>
      <c r="R641" s="21" t="str">
        <f>IF(MonthlyFAME!S643=0,"",MonthlyFAME!S643)</f>
        <v/>
      </c>
      <c r="S641" s="21" t="str">
        <f>IF(MonthlyFAME!T643=0,"",MonthlyFAME!T643)</f>
        <v/>
      </c>
      <c r="T641" s="21">
        <f>IF(MonthlyFAME!U643=0,"",MonthlyFAME!U643)</f>
        <v>112.85260869565217</v>
      </c>
    </row>
    <row r="642" spans="1:20" x14ac:dyDescent="0.2">
      <c r="A642" s="23">
        <f>IF(MonthlyFAME!A644=0,"",MonthlyFAME!A644)</f>
        <v>41333</v>
      </c>
      <c r="B642" s="21">
        <f>IF(MonthlyFAME!B644=0,"",MonthlyFAME!B644)</f>
        <v>87.2</v>
      </c>
      <c r="C642" s="21">
        <f>IF(MonthlyFAME!C644=0,"",MonthlyFAME!C644)</f>
        <v>87.3</v>
      </c>
      <c r="D642" s="21">
        <f>IF(MonthlyFAME!D644=0,"",MonthlyFAME!D644)</f>
        <v>87.059899999999999</v>
      </c>
      <c r="E642" s="21">
        <f>IF(MonthlyFAME!F644=0,"",MonthlyFAME!F644)</f>
        <v>25596</v>
      </c>
      <c r="F642" s="21">
        <f>IF(MonthlyFAME!G644=0,"",MonthlyFAME!G644)</f>
        <v>33723</v>
      </c>
      <c r="G642" s="21">
        <f>IF(MonthlyFAME!H644=0,"",MonthlyFAME!H644)</f>
        <v>7.9885305543565392</v>
      </c>
      <c r="H642" s="21">
        <f>IF(MonthlyFAME!I644=0,"",MonthlyFAME!I644)</f>
        <v>29843</v>
      </c>
      <c r="I642" s="21">
        <f>IF(MonthlyFAME!J644=0,"",MonthlyFAME!J644)</f>
        <v>954.3</v>
      </c>
      <c r="J642" s="21">
        <f>IF(MonthlyFAME!K644=0,"",MonthlyFAME!K644)</f>
        <v>505</v>
      </c>
      <c r="K642" s="21">
        <f>IF(MonthlyFAME!L644=0,"",MonthlyFAME!L644)</f>
        <v>462.04173646023099</v>
      </c>
      <c r="L642" s="21">
        <f>IF(MonthlyFAME!M644=0,"",MonthlyFAME!M644)</f>
        <v>1544.6</v>
      </c>
      <c r="M642" s="21" t="str">
        <f>IF(MonthlyFAME!N644=0,"",MonthlyFAME!N644)</f>
        <v/>
      </c>
      <c r="N642" s="21" t="str">
        <f>IF(MonthlyFAME!O644=0,"",MonthlyFAME!O644)</f>
        <v/>
      </c>
      <c r="O642" s="21" t="str">
        <f>IF(MonthlyFAME!P644=0,"",MonthlyFAME!P644)</f>
        <v/>
      </c>
      <c r="P642" s="21" t="str">
        <f>IF(MonthlyFAME!Q644=0,"",MonthlyFAME!Q644)</f>
        <v/>
      </c>
      <c r="Q642" s="21" t="str">
        <f>IF(MonthlyFAME!R644=0,"",MonthlyFAME!R644)</f>
        <v/>
      </c>
      <c r="R642" s="21" t="str">
        <f>IF(MonthlyFAME!S644=0,"",MonthlyFAME!S644)</f>
        <v/>
      </c>
      <c r="S642" s="21" t="str">
        <f>IF(MonthlyFAME!T644=0,"",MonthlyFAME!T644)</f>
        <v/>
      </c>
      <c r="T642" s="21">
        <f>IF(MonthlyFAME!U644=0,"",MonthlyFAME!U644)</f>
        <v>116.22850000000001</v>
      </c>
    </row>
    <row r="643" spans="1:20" x14ac:dyDescent="0.2">
      <c r="A643" s="23">
        <f>IF(MonthlyFAME!A645=0,"",MonthlyFAME!A645)</f>
        <v>41364</v>
      </c>
      <c r="B643" s="21">
        <f>IF(MonthlyFAME!B645=0,"",MonthlyFAME!B645)</f>
        <v>87.2</v>
      </c>
      <c r="C643" s="21">
        <f>IF(MonthlyFAME!C645=0,"",MonthlyFAME!C645)</f>
        <v>88.3</v>
      </c>
      <c r="D643" s="21">
        <f>IF(MonthlyFAME!D645=0,"",MonthlyFAME!D645)</f>
        <v>86.995800000000003</v>
      </c>
      <c r="E643" s="21">
        <f>IF(MonthlyFAME!F645=0,"",MonthlyFAME!F645)</f>
        <v>26910</v>
      </c>
      <c r="F643" s="21">
        <f>IF(MonthlyFAME!G645=0,"",MonthlyFAME!G645)</f>
        <v>34931</v>
      </c>
      <c r="G643" s="21">
        <f>IF(MonthlyFAME!H645=0,"",MonthlyFAME!H645)</f>
        <v>7.8572309970384993</v>
      </c>
      <c r="H643" s="21">
        <f>IF(MonthlyFAME!I645=0,"",MonthlyFAME!I645)</f>
        <v>29869</v>
      </c>
      <c r="I643" s="21">
        <f>IF(MonthlyFAME!J645=0,"",MonthlyFAME!J645)</f>
        <v>954.5</v>
      </c>
      <c r="J643" s="21">
        <f>IF(MonthlyFAME!K645=0,"",MonthlyFAME!K645)</f>
        <v>504</v>
      </c>
      <c r="K643" s="21">
        <f>IF(MonthlyFAME!L645=0,"",MonthlyFAME!L645)</f>
        <v>454.15990747734099</v>
      </c>
      <c r="L643" s="21">
        <f>IF(MonthlyFAME!M645=0,"",MonthlyFAME!M645)</f>
        <v>1530.6</v>
      </c>
      <c r="M643" s="21" t="str">
        <f>IF(MonthlyFAME!N645=0,"",MonthlyFAME!N645)</f>
        <v/>
      </c>
      <c r="N643" s="21" t="str">
        <f>IF(MonthlyFAME!O645=0,"",MonthlyFAME!O645)</f>
        <v/>
      </c>
      <c r="O643" s="21" t="str">
        <f>IF(MonthlyFAME!P645=0,"",MonthlyFAME!P645)</f>
        <v/>
      </c>
      <c r="P643" s="21" t="str">
        <f>IF(MonthlyFAME!Q645=0,"",MonthlyFAME!Q645)</f>
        <v/>
      </c>
      <c r="Q643" s="21" t="str">
        <f>IF(MonthlyFAME!R645=0,"",MonthlyFAME!R645)</f>
        <v/>
      </c>
      <c r="R643" s="21" t="str">
        <f>IF(MonthlyFAME!S645=0,"",MonthlyFAME!S645)</f>
        <v/>
      </c>
      <c r="S643" s="21" t="str">
        <f>IF(MonthlyFAME!T645=0,"",MonthlyFAME!T645)</f>
        <v/>
      </c>
      <c r="T643" s="21">
        <f>IF(MonthlyFAME!U645=0,"",MonthlyFAME!U645)</f>
        <v>108.49619047619048</v>
      </c>
    </row>
    <row r="644" spans="1:20" x14ac:dyDescent="0.2">
      <c r="A644" s="23">
        <f>IF(MonthlyFAME!A646=0,"",MonthlyFAME!A646)</f>
        <v>41394</v>
      </c>
      <c r="B644" s="21">
        <f>IF(MonthlyFAME!B646=0,"",MonthlyFAME!B646)</f>
        <v>87.3</v>
      </c>
      <c r="C644" s="21">
        <f>IF(MonthlyFAME!C646=0,"",MonthlyFAME!C646)</f>
        <v>88.2</v>
      </c>
      <c r="D644" s="21">
        <f>IF(MonthlyFAME!D646=0,"",MonthlyFAME!D646)</f>
        <v>87.107299999999995</v>
      </c>
      <c r="E644" s="21">
        <f>IF(MonthlyFAME!F646=0,"",MonthlyFAME!F646)</f>
        <v>25752</v>
      </c>
      <c r="F644" s="21">
        <f>IF(MonthlyFAME!G646=0,"",MonthlyFAME!G646)</f>
        <v>35034</v>
      </c>
      <c r="G644" s="21">
        <f>IF(MonthlyFAME!H646=0,"",MonthlyFAME!H646)</f>
        <v>7.8060957194366543</v>
      </c>
      <c r="H644" s="21">
        <f>IF(MonthlyFAME!I646=0,"",MonthlyFAME!I646)</f>
        <v>29916</v>
      </c>
      <c r="I644" s="21">
        <f>IF(MonthlyFAME!J646=0,"",MonthlyFAME!J646)</f>
        <v>953.7</v>
      </c>
      <c r="J644" s="21">
        <f>IF(MonthlyFAME!K646=0,"",MonthlyFAME!K646)</f>
        <v>516</v>
      </c>
      <c r="K644" s="21">
        <f>IF(MonthlyFAME!L646=0,"",MonthlyFAME!L646)</f>
        <v>477.47900641793098</v>
      </c>
      <c r="L644" s="21">
        <f>IF(MonthlyFAME!M646=0,"",MonthlyFAME!M646)</f>
        <v>1510.5</v>
      </c>
      <c r="M644" s="21" t="str">
        <f>IF(MonthlyFAME!N646=0,"",MonthlyFAME!N646)</f>
        <v/>
      </c>
      <c r="N644" s="21" t="str">
        <f>IF(MonthlyFAME!O646=0,"",MonthlyFAME!O646)</f>
        <v/>
      </c>
      <c r="O644" s="21" t="str">
        <f>IF(MonthlyFAME!P646=0,"",MonthlyFAME!P646)</f>
        <v/>
      </c>
      <c r="P644" s="21" t="str">
        <f>IF(MonthlyFAME!Q646=0,"",MonthlyFAME!Q646)</f>
        <v/>
      </c>
      <c r="Q644" s="21" t="str">
        <f>IF(MonthlyFAME!R646=0,"",MonthlyFAME!R646)</f>
        <v/>
      </c>
      <c r="R644" s="21" t="str">
        <f>IF(MonthlyFAME!S646=0,"",MonthlyFAME!S646)</f>
        <v/>
      </c>
      <c r="S644" s="21" t="str">
        <f>IF(MonthlyFAME!T646=0,"",MonthlyFAME!T646)</f>
        <v/>
      </c>
      <c r="T644" s="21">
        <f>IF(MonthlyFAME!U646=0,"",MonthlyFAME!U646)</f>
        <v>102.2559090909091</v>
      </c>
    </row>
    <row r="645" spans="1:20" x14ac:dyDescent="0.2">
      <c r="A645" s="23">
        <f>IF(MonthlyFAME!A647=0,"",MonthlyFAME!A647)</f>
        <v>41425</v>
      </c>
      <c r="B645" s="21">
        <f>IF(MonthlyFAME!B647=0,"",MonthlyFAME!B647)</f>
        <v>87.6</v>
      </c>
      <c r="C645" s="21">
        <f>IF(MonthlyFAME!C647=0,"",MonthlyFAME!C647)</f>
        <v>88.5</v>
      </c>
      <c r="D645" s="21">
        <f>IF(MonthlyFAME!D647=0,"",MonthlyFAME!D647)</f>
        <v>87.345299999999995</v>
      </c>
      <c r="E645" s="21">
        <f>IF(MonthlyFAME!F647=0,"",MonthlyFAME!F647)</f>
        <v>26722</v>
      </c>
      <c r="F645" s="21">
        <f>IF(MonthlyFAME!G647=0,"",MonthlyFAME!G647)</f>
        <v>36955</v>
      </c>
      <c r="G645" s="21">
        <f>IF(MonthlyFAME!H647=0,"",MonthlyFAME!H647)</f>
        <v>7.7715731342362631</v>
      </c>
      <c r="H645" s="21">
        <f>IF(MonthlyFAME!I647=0,"",MonthlyFAME!I647)</f>
        <v>29894</v>
      </c>
      <c r="I645" s="21">
        <f>IF(MonthlyFAME!J647=0,"",MonthlyFAME!J647)</f>
        <v>955.5</v>
      </c>
      <c r="J645" s="21">
        <f>IF(MonthlyFAME!K647=0,"",MonthlyFAME!K647)</f>
        <v>523</v>
      </c>
      <c r="K645" s="21">
        <f>IF(MonthlyFAME!L647=0,"",MonthlyFAME!L647)</f>
        <v>468.06251585641502</v>
      </c>
      <c r="L645" s="21">
        <f>IF(MonthlyFAME!M647=0,"",MonthlyFAME!M647)</f>
        <v>1489.8</v>
      </c>
      <c r="M645" s="21" t="str">
        <f>IF(MonthlyFAME!N647=0,"",MonthlyFAME!N647)</f>
        <v/>
      </c>
      <c r="N645" s="21" t="str">
        <f>IF(MonthlyFAME!O647=0,"",MonthlyFAME!O647)</f>
        <v/>
      </c>
      <c r="O645" s="21" t="str">
        <f>IF(MonthlyFAME!P647=0,"",MonthlyFAME!P647)</f>
        <v/>
      </c>
      <c r="P645" s="21" t="str">
        <f>IF(MonthlyFAME!Q647=0,"",MonthlyFAME!Q647)</f>
        <v/>
      </c>
      <c r="Q645" s="21" t="str">
        <f>IF(MonthlyFAME!R647=0,"",MonthlyFAME!R647)</f>
        <v/>
      </c>
      <c r="R645" s="21" t="str">
        <f>IF(MonthlyFAME!S647=0,"",MonthlyFAME!S647)</f>
        <v/>
      </c>
      <c r="S645" s="21" t="str">
        <f>IF(MonthlyFAME!T647=0,"",MonthlyFAME!T647)</f>
        <v/>
      </c>
      <c r="T645" s="21">
        <f>IF(MonthlyFAME!U647=0,"",MonthlyFAME!U647)</f>
        <v>102.48478260869564</v>
      </c>
    </row>
    <row r="646" spans="1:20" x14ac:dyDescent="0.2">
      <c r="A646" s="23">
        <f>IF(MonthlyFAME!A648=0,"",MonthlyFAME!A648)</f>
        <v>41455</v>
      </c>
      <c r="B646" s="21">
        <f>IF(MonthlyFAME!B648=0,"",MonthlyFAME!B648)</f>
        <v>87.8</v>
      </c>
      <c r="C646" s="21">
        <f>IF(MonthlyFAME!C648=0,"",MonthlyFAME!C648)</f>
        <v>89.5</v>
      </c>
      <c r="D646" s="21">
        <f>IF(MonthlyFAME!D648=0,"",MonthlyFAME!D648)</f>
        <v>87.270799999999994</v>
      </c>
      <c r="E646" s="21">
        <f>IF(MonthlyFAME!F648=0,"",MonthlyFAME!F648)</f>
        <v>27269</v>
      </c>
      <c r="F646" s="21">
        <f>IF(MonthlyFAME!G648=0,"",MonthlyFAME!G648)</f>
        <v>37353</v>
      </c>
      <c r="G646" s="21">
        <f>IF(MonthlyFAME!H648=0,"",MonthlyFAME!H648)</f>
        <v>7.7637935809459337</v>
      </c>
      <c r="H646" s="21">
        <f>IF(MonthlyFAME!I648=0,"",MonthlyFAME!I648)</f>
        <v>29974</v>
      </c>
      <c r="I646" s="21">
        <f>IF(MonthlyFAME!J648=0,"",MonthlyFAME!J648)</f>
        <v>957.1</v>
      </c>
      <c r="J646" s="21">
        <f>IF(MonthlyFAME!K648=0,"",MonthlyFAME!K648)</f>
        <v>534</v>
      </c>
      <c r="K646" s="21">
        <f>IF(MonthlyFAME!L648=0,"",MonthlyFAME!L648)</f>
        <v>466.37490158412402</v>
      </c>
      <c r="L646" s="21">
        <f>IF(MonthlyFAME!M648=0,"",MonthlyFAME!M648)</f>
        <v>1461.9</v>
      </c>
      <c r="M646" s="21" t="str">
        <f>IF(MonthlyFAME!N648=0,"",MonthlyFAME!N648)</f>
        <v/>
      </c>
      <c r="N646" s="21" t="str">
        <f>IF(MonthlyFAME!O648=0,"",MonthlyFAME!O648)</f>
        <v/>
      </c>
      <c r="O646" s="21" t="str">
        <f>IF(MonthlyFAME!P648=0,"",MonthlyFAME!P648)</f>
        <v/>
      </c>
      <c r="P646" s="21" t="str">
        <f>IF(MonthlyFAME!Q648=0,"",MonthlyFAME!Q648)</f>
        <v/>
      </c>
      <c r="Q646" s="21" t="str">
        <f>IF(MonthlyFAME!R648=0,"",MonthlyFAME!R648)</f>
        <v/>
      </c>
      <c r="R646" s="21" t="str">
        <f>IF(MonthlyFAME!S648=0,"",MonthlyFAME!S648)</f>
        <v/>
      </c>
      <c r="S646" s="21" t="str">
        <f>IF(MonthlyFAME!T648=0,"",MonthlyFAME!T648)</f>
        <v/>
      </c>
      <c r="T646" s="21">
        <f>IF(MonthlyFAME!U648=0,"",MonthlyFAME!U648)</f>
        <v>102.9195</v>
      </c>
    </row>
    <row r="647" spans="1:20" x14ac:dyDescent="0.2">
      <c r="A647" s="23">
        <f>IF(MonthlyFAME!A649=0,"",MonthlyFAME!A649)</f>
        <v>41486</v>
      </c>
      <c r="B647" s="21">
        <f>IF(MonthlyFAME!B649=0,"",MonthlyFAME!B649)</f>
        <v>88</v>
      </c>
      <c r="C647" s="21">
        <f>IF(MonthlyFAME!C649=0,"",MonthlyFAME!C649)</f>
        <v>89.5</v>
      </c>
      <c r="D647" s="21">
        <f>IF(MonthlyFAME!D649=0,"",MonthlyFAME!D649)</f>
        <v>87.512799999999999</v>
      </c>
      <c r="E647" s="21">
        <f>IF(MonthlyFAME!F649=0,"",MonthlyFAME!F649)</f>
        <v>26043</v>
      </c>
      <c r="F647" s="21">
        <f>IF(MonthlyFAME!G649=0,"",MonthlyFAME!G649)</f>
        <v>36027</v>
      </c>
      <c r="G647" s="21">
        <f>IF(MonthlyFAME!H649=0,"",MonthlyFAME!H649)</f>
        <v>7.6878150743882943</v>
      </c>
      <c r="H647" s="21">
        <f>IF(MonthlyFAME!I649=0,"",MonthlyFAME!I649)</f>
        <v>30031</v>
      </c>
      <c r="I647" s="21">
        <f>IF(MonthlyFAME!J649=0,"",MonthlyFAME!J649)</f>
        <v>963.1</v>
      </c>
      <c r="J647" s="21">
        <f>IF(MonthlyFAME!K649=0,"",MonthlyFAME!K649)</f>
        <v>540</v>
      </c>
      <c r="K647" s="21">
        <f>IF(MonthlyFAME!L649=0,"",MonthlyFAME!L649)</f>
        <v>465.858572107535</v>
      </c>
      <c r="L647" s="21">
        <f>IF(MonthlyFAME!M649=0,"",MonthlyFAME!M649)</f>
        <v>1428.4</v>
      </c>
      <c r="M647" s="21" t="str">
        <f>IF(MonthlyFAME!N649=0,"",MonthlyFAME!N649)</f>
        <v/>
      </c>
      <c r="N647" s="21" t="str">
        <f>IF(MonthlyFAME!O649=0,"",MonthlyFAME!O649)</f>
        <v/>
      </c>
      <c r="O647" s="21" t="str">
        <f>IF(MonthlyFAME!P649=0,"",MonthlyFAME!P649)</f>
        <v/>
      </c>
      <c r="P647" s="21" t="str">
        <f>IF(MonthlyFAME!Q649=0,"",MonthlyFAME!Q649)</f>
        <v/>
      </c>
      <c r="Q647" s="21" t="str">
        <f>IF(MonthlyFAME!R649=0,"",MonthlyFAME!R649)</f>
        <v/>
      </c>
      <c r="R647" s="21" t="str">
        <f>IF(MonthlyFAME!S649=0,"",MonthlyFAME!S649)</f>
        <v/>
      </c>
      <c r="S647" s="21" t="str">
        <f>IF(MonthlyFAME!T649=0,"",MonthlyFAME!T649)</f>
        <v/>
      </c>
      <c r="T647" s="21">
        <f>IF(MonthlyFAME!U649=0,"",MonthlyFAME!U649)</f>
        <v>107.73391304347822</v>
      </c>
    </row>
    <row r="648" spans="1:20" x14ac:dyDescent="0.2">
      <c r="A648" s="23">
        <f>IF(MonthlyFAME!A650=0,"",MonthlyFAME!A650)</f>
        <v>41517</v>
      </c>
      <c r="B648" s="21">
        <f>IF(MonthlyFAME!B650=0,"",MonthlyFAME!B650)</f>
        <v>88.3</v>
      </c>
      <c r="C648" s="21">
        <f>IF(MonthlyFAME!C650=0,"",MonthlyFAME!C650)</f>
        <v>89</v>
      </c>
      <c r="D648" s="21">
        <f>IF(MonthlyFAME!D650=0,"",MonthlyFAME!D650)</f>
        <v>87.810699999999997</v>
      </c>
      <c r="E648" s="21">
        <f>IF(MonthlyFAME!F650=0,"",MonthlyFAME!F650)</f>
        <v>27644</v>
      </c>
      <c r="F648" s="21">
        <f>IF(MonthlyFAME!G650=0,"",MonthlyFAME!G650)</f>
        <v>35813</v>
      </c>
      <c r="G648" s="21">
        <f>IF(MonthlyFAME!H650=0,"",MonthlyFAME!H650)</f>
        <v>7.7145049884881045</v>
      </c>
      <c r="H648" s="21">
        <f>IF(MonthlyFAME!I650=0,"",MonthlyFAME!I650)</f>
        <v>30062</v>
      </c>
      <c r="I648" s="21">
        <f>IF(MonthlyFAME!J650=0,"",MonthlyFAME!J650)</f>
        <v>964.3</v>
      </c>
      <c r="J648" s="21">
        <f>IF(MonthlyFAME!K650=0,"",MonthlyFAME!K650)</f>
        <v>536</v>
      </c>
      <c r="K648" s="21">
        <f>IF(MonthlyFAME!L650=0,"",MonthlyFAME!L650)</f>
        <v>466.01982849882501</v>
      </c>
      <c r="L648" s="21">
        <f>IF(MonthlyFAME!M650=0,"",MonthlyFAME!M650)</f>
        <v>1392.8</v>
      </c>
      <c r="M648" s="21" t="str">
        <f>IF(MonthlyFAME!N650=0,"",MonthlyFAME!N650)</f>
        <v/>
      </c>
      <c r="N648" s="21" t="str">
        <f>IF(MonthlyFAME!O650=0,"",MonthlyFAME!O650)</f>
        <v/>
      </c>
      <c r="O648" s="21" t="str">
        <f>IF(MonthlyFAME!P650=0,"",MonthlyFAME!P650)</f>
        <v/>
      </c>
      <c r="P648" s="21" t="str">
        <f>IF(MonthlyFAME!Q650=0,"",MonthlyFAME!Q650)</f>
        <v/>
      </c>
      <c r="Q648" s="21" t="str">
        <f>IF(MonthlyFAME!R650=0,"",MonthlyFAME!R650)</f>
        <v/>
      </c>
      <c r="R648" s="21" t="str">
        <f>IF(MonthlyFAME!S650=0,"",MonthlyFAME!S650)</f>
        <v/>
      </c>
      <c r="S648" s="21" t="str">
        <f>IF(MonthlyFAME!T650=0,"",MonthlyFAME!T650)</f>
        <v/>
      </c>
      <c r="T648" s="21">
        <f>IF(MonthlyFAME!U650=0,"",MonthlyFAME!U650)</f>
        <v>111.28045454545453</v>
      </c>
    </row>
    <row r="649" spans="1:20" x14ac:dyDescent="0.2">
      <c r="A649" s="23">
        <f>IF(MonthlyFAME!A651=0,"",MonthlyFAME!A651)</f>
        <v>41547</v>
      </c>
      <c r="B649" s="21">
        <f>IF(MonthlyFAME!B651=0,"",MonthlyFAME!B651)</f>
        <v>88.3</v>
      </c>
      <c r="C649" s="21">
        <f>IF(MonthlyFAME!C651=0,"",MonthlyFAME!C651)</f>
        <v>90.2</v>
      </c>
      <c r="D649" s="21">
        <f>IF(MonthlyFAME!D651=0,"",MonthlyFAME!D651)</f>
        <v>87.739400000000003</v>
      </c>
      <c r="E649" s="21">
        <f>IF(MonthlyFAME!F651=0,"",MonthlyFAME!F651)</f>
        <v>26160</v>
      </c>
      <c r="F649" s="21">
        <f>IF(MonthlyFAME!G651=0,"",MonthlyFAME!G651)</f>
        <v>37161</v>
      </c>
      <c r="G649" s="21">
        <f>IF(MonthlyFAME!H651=0,"",MonthlyFAME!H651)</f>
        <v>7.6357396739796544</v>
      </c>
      <c r="H649" s="21">
        <f>IF(MonthlyFAME!I651=0,"",MonthlyFAME!I651)</f>
        <v>30144</v>
      </c>
      <c r="I649" s="21">
        <f>IF(MonthlyFAME!J651=0,"",MonthlyFAME!J651)</f>
        <v>968.4</v>
      </c>
      <c r="J649" s="21">
        <f>IF(MonthlyFAME!K651=0,"",MonthlyFAME!K651)</f>
        <v>548</v>
      </c>
      <c r="K649" s="21">
        <f>IF(MonthlyFAME!L651=0,"",MonthlyFAME!L651)</f>
        <v>466.15901225482401</v>
      </c>
      <c r="L649" s="21">
        <f>IF(MonthlyFAME!M651=0,"",MonthlyFAME!M651)</f>
        <v>1342.6</v>
      </c>
      <c r="M649" s="21" t="str">
        <f>IF(MonthlyFAME!N651=0,"",MonthlyFAME!N651)</f>
        <v/>
      </c>
      <c r="N649" s="21" t="str">
        <f>IF(MonthlyFAME!O651=0,"",MonthlyFAME!O651)</f>
        <v/>
      </c>
      <c r="O649" s="21" t="str">
        <f>IF(MonthlyFAME!P651=0,"",MonthlyFAME!P651)</f>
        <v/>
      </c>
      <c r="P649" s="21" t="str">
        <f>IF(MonthlyFAME!Q651=0,"",MonthlyFAME!Q651)</f>
        <v/>
      </c>
      <c r="Q649" s="21" t="str">
        <f>IF(MonthlyFAME!R651=0,"",MonthlyFAME!R651)</f>
        <v/>
      </c>
      <c r="R649" s="21" t="str">
        <f>IF(MonthlyFAME!S651=0,"",MonthlyFAME!S651)</f>
        <v/>
      </c>
      <c r="S649" s="21" t="str">
        <f>IF(MonthlyFAME!T651=0,"",MonthlyFAME!T651)</f>
        <v/>
      </c>
      <c r="T649" s="21">
        <f>IF(MonthlyFAME!U651=0,"",MonthlyFAME!U651)</f>
        <v>111.73142857142855</v>
      </c>
    </row>
    <row r="650" spans="1:20" x14ac:dyDescent="0.2">
      <c r="A650" s="23">
        <f>IF(MonthlyFAME!A652=0,"",MonthlyFAME!A652)</f>
        <v>41578</v>
      </c>
      <c r="B650" s="21">
        <f>IF(MonthlyFAME!B652=0,"",MonthlyFAME!B652)</f>
        <v>88.9</v>
      </c>
      <c r="C650" s="21">
        <f>IF(MonthlyFAME!C652=0,"",MonthlyFAME!C652)</f>
        <v>89.7</v>
      </c>
      <c r="D650" s="21">
        <f>IF(MonthlyFAME!D652=0,"",MonthlyFAME!D652)</f>
        <v>88.378799999999998</v>
      </c>
      <c r="E650" s="21">
        <f>IF(MonthlyFAME!F652=0,"",MonthlyFAME!F652)</f>
        <v>26016</v>
      </c>
      <c r="F650" s="21">
        <f>IF(MonthlyFAME!G652=0,"",MonthlyFAME!G652)</f>
        <v>38819</v>
      </c>
      <c r="G650" s="21">
        <f>IF(MonthlyFAME!H652=0,"",MonthlyFAME!H652)</f>
        <v>7.3879112471308339</v>
      </c>
      <c r="H650" s="21">
        <f>IF(MonthlyFAME!I652=0,"",MonthlyFAME!I652)</f>
        <v>30261</v>
      </c>
      <c r="I650" s="21">
        <f>IF(MonthlyFAME!J652=0,"",MonthlyFAME!J652)</f>
        <v>970.6</v>
      </c>
      <c r="J650" s="21">
        <f>IF(MonthlyFAME!K652=0,"",MonthlyFAME!K652)</f>
        <v>552</v>
      </c>
      <c r="K650" s="21">
        <f>IF(MonthlyFAME!L652=0,"",MonthlyFAME!L652)</f>
        <v>466.05431798222997</v>
      </c>
      <c r="L650" s="21">
        <f>IF(MonthlyFAME!M652=0,"",MonthlyFAME!M652)</f>
        <v>1297.7</v>
      </c>
      <c r="M650" s="21" t="str">
        <f>IF(MonthlyFAME!N652=0,"",MonthlyFAME!N652)</f>
        <v/>
      </c>
      <c r="N650" s="21" t="str">
        <f>IF(MonthlyFAME!O652=0,"",MonthlyFAME!O652)</f>
        <v/>
      </c>
      <c r="O650" s="21" t="str">
        <f>IF(MonthlyFAME!P652=0,"",MonthlyFAME!P652)</f>
        <v/>
      </c>
      <c r="P650" s="21" t="str">
        <f>IF(MonthlyFAME!Q652=0,"",MonthlyFAME!Q652)</f>
        <v/>
      </c>
      <c r="Q650" s="21" t="str">
        <f>IF(MonthlyFAME!R652=0,"",MonthlyFAME!R652)</f>
        <v/>
      </c>
      <c r="R650" s="21" t="str">
        <f>IF(MonthlyFAME!S652=0,"",MonthlyFAME!S652)</f>
        <v/>
      </c>
      <c r="S650" s="21" t="str">
        <f>IF(MonthlyFAME!T652=0,"",MonthlyFAME!T652)</f>
        <v/>
      </c>
      <c r="T650" s="21">
        <f>IF(MonthlyFAME!U652=0,"",MonthlyFAME!U652)</f>
        <v>109.07652173913043</v>
      </c>
    </row>
    <row r="651" spans="1:20" x14ac:dyDescent="0.2">
      <c r="A651" s="23">
        <f>IF(MonthlyFAME!A653=0,"",MonthlyFAME!A653)</f>
        <v>41608</v>
      </c>
      <c r="B651" s="21">
        <f>IF(MonthlyFAME!B653=0,"",MonthlyFAME!B653)</f>
        <v>88.8</v>
      </c>
      <c r="C651" s="21">
        <f>IF(MonthlyFAME!C653=0,"",MonthlyFAME!C653)</f>
        <v>89.8</v>
      </c>
      <c r="D651" s="21">
        <f>IF(MonthlyFAME!D653=0,"",MonthlyFAME!D653)</f>
        <v>88.380600000000001</v>
      </c>
      <c r="E651" s="21">
        <f>IF(MonthlyFAME!F653=0,"",MonthlyFAME!F653)</f>
        <v>26133</v>
      </c>
      <c r="F651" s="21">
        <f>IF(MonthlyFAME!G653=0,"",MonthlyFAME!G653)</f>
        <v>38392</v>
      </c>
      <c r="G651" s="21">
        <f>IF(MonthlyFAME!H653=0,"",MonthlyFAME!H653)</f>
        <v>7.1885228350310486</v>
      </c>
      <c r="H651" s="21">
        <f>IF(MonthlyFAME!I653=0,"",MonthlyFAME!I653)</f>
        <v>30341</v>
      </c>
      <c r="I651" s="21">
        <f>IF(MonthlyFAME!J653=0,"",MonthlyFAME!J653)</f>
        <v>971.9</v>
      </c>
      <c r="J651" s="21">
        <f>IF(MonthlyFAME!K653=0,"",MonthlyFAME!K653)</f>
        <v>567</v>
      </c>
      <c r="K651" s="21">
        <f>IF(MonthlyFAME!L653=0,"",MonthlyFAME!L653)</f>
        <v>466.38434146537099</v>
      </c>
      <c r="L651" s="21">
        <f>IF(MonthlyFAME!M653=0,"",MonthlyFAME!M653)</f>
        <v>1263.8</v>
      </c>
      <c r="M651" s="21" t="str">
        <f>IF(MonthlyFAME!N653=0,"",MonthlyFAME!N653)</f>
        <v/>
      </c>
      <c r="N651" s="21" t="str">
        <f>IF(MonthlyFAME!O653=0,"",MonthlyFAME!O653)</f>
        <v/>
      </c>
      <c r="O651" s="21" t="str">
        <f>IF(MonthlyFAME!P653=0,"",MonthlyFAME!P653)</f>
        <v/>
      </c>
      <c r="P651" s="21" t="str">
        <f>IF(MonthlyFAME!Q653=0,"",MonthlyFAME!Q653)</f>
        <v/>
      </c>
      <c r="Q651" s="21" t="str">
        <f>IF(MonthlyFAME!R653=0,"",MonthlyFAME!R653)</f>
        <v/>
      </c>
      <c r="R651" s="21" t="str">
        <f>IF(MonthlyFAME!S653=0,"",MonthlyFAME!S653)</f>
        <v/>
      </c>
      <c r="S651" s="21" t="str">
        <f>IF(MonthlyFAME!T653=0,"",MonthlyFAME!T653)</f>
        <v/>
      </c>
      <c r="T651" s="21">
        <f>IF(MonthlyFAME!U653=0,"",MonthlyFAME!U653)</f>
        <v>107.95571428571427</v>
      </c>
    </row>
    <row r="652" spans="1:20" x14ac:dyDescent="0.2">
      <c r="A652" s="23">
        <f>IF(MonthlyFAME!A654=0,"",MonthlyFAME!A654)</f>
        <v>41639</v>
      </c>
      <c r="B652" s="21">
        <f>IF(MonthlyFAME!B654=0,"",MonthlyFAME!B654)</f>
        <v>88.6</v>
      </c>
      <c r="C652" s="21">
        <f>IF(MonthlyFAME!C654=0,"",MonthlyFAME!C654)</f>
        <v>89.8</v>
      </c>
      <c r="D652" s="21">
        <f>IF(MonthlyFAME!D654=0,"",MonthlyFAME!D654)</f>
        <v>88.062100000000001</v>
      </c>
      <c r="E652" s="21">
        <f>IF(MonthlyFAME!F654=0,"",MonthlyFAME!F654)</f>
        <v>26660</v>
      </c>
      <c r="F652" s="21">
        <f>IF(MonthlyFAME!G654=0,"",MonthlyFAME!G654)</f>
        <v>35233</v>
      </c>
      <c r="G652" s="21">
        <f>IF(MonthlyFAME!H654=0,"",MonthlyFAME!H654)</f>
        <v>7.2420331518747325</v>
      </c>
      <c r="H652" s="21">
        <f>IF(MonthlyFAME!I654=0,"",MonthlyFAME!I654)</f>
        <v>30330</v>
      </c>
      <c r="I652" s="21">
        <f>IF(MonthlyFAME!J654=0,"",MonthlyFAME!J654)</f>
        <v>970.1</v>
      </c>
      <c r="J652" s="21">
        <f>IF(MonthlyFAME!K654=0,"",MonthlyFAME!K654)</f>
        <v>572</v>
      </c>
      <c r="K652" s="21">
        <f>IF(MonthlyFAME!L654=0,"",MonthlyFAME!L654)</f>
        <v>467.66383703812301</v>
      </c>
      <c r="L652" s="21">
        <f>IF(MonthlyFAME!M654=0,"",MonthlyFAME!M654)</f>
        <v>1242</v>
      </c>
      <c r="M652" s="21" t="str">
        <f>IF(MonthlyFAME!N654=0,"",MonthlyFAME!N654)</f>
        <v/>
      </c>
      <c r="N652" s="21" t="str">
        <f>IF(MonthlyFAME!O654=0,"",MonthlyFAME!O654)</f>
        <v/>
      </c>
      <c r="O652" s="21" t="str">
        <f>IF(MonthlyFAME!P654=0,"",MonthlyFAME!P654)</f>
        <v/>
      </c>
      <c r="P652" s="21" t="str">
        <f>IF(MonthlyFAME!Q654=0,"",MonthlyFAME!Q654)</f>
        <v/>
      </c>
      <c r="Q652" s="21" t="str">
        <f>IF(MonthlyFAME!R654=0,"",MonthlyFAME!R654)</f>
        <v/>
      </c>
      <c r="R652" s="21" t="str">
        <f>IF(MonthlyFAME!S654=0,"",MonthlyFAME!S654)</f>
        <v/>
      </c>
      <c r="S652" s="21" t="str">
        <f>IF(MonthlyFAME!T654=0,"",MonthlyFAME!T654)</f>
        <v/>
      </c>
      <c r="T652" s="21">
        <f>IF(MonthlyFAME!U654=0,"",MonthlyFAME!U654)</f>
        <v>110.79363636363634</v>
      </c>
    </row>
    <row r="653" spans="1:20" x14ac:dyDescent="0.2">
      <c r="A653" s="23">
        <f>IF(MonthlyFAME!A655=0,"",MonthlyFAME!A655)</f>
        <v>41670</v>
      </c>
      <c r="B653" s="21">
        <f>IF(MonthlyFAME!B655=0,"",MonthlyFAME!B655)</f>
        <v>89.1</v>
      </c>
      <c r="C653" s="21">
        <f>IF(MonthlyFAME!C655=0,"",MonthlyFAME!C655)</f>
        <v>90</v>
      </c>
      <c r="D653" s="21">
        <f>IF(MonthlyFAME!D655=0,"",MonthlyFAME!D655)</f>
        <v>88.444100000000006</v>
      </c>
      <c r="E653" s="21">
        <f>IF(MonthlyFAME!F655=0,"",MonthlyFAME!F655)</f>
        <v>25783</v>
      </c>
      <c r="F653" s="21">
        <f>IF(MonthlyFAME!G655=0,"",MonthlyFAME!G655)</f>
        <v>36457</v>
      </c>
      <c r="G653" s="21">
        <f>IF(MonthlyFAME!H655=0,"",MonthlyFAME!H655)</f>
        <v>7.1823710993612275</v>
      </c>
      <c r="H653" s="21">
        <f>IF(MonthlyFAME!I655=0,"",MonthlyFAME!I655)</f>
        <v>30369</v>
      </c>
      <c r="I653" s="21">
        <f>IF(MonthlyFAME!J655=0,"",MonthlyFAME!J655)</f>
        <v>970.1</v>
      </c>
      <c r="J653" s="21">
        <f>IF(MonthlyFAME!K655=0,"",MonthlyFAME!K655)</f>
        <v>581</v>
      </c>
      <c r="K653" s="21">
        <f>IF(MonthlyFAME!L655=0,"",MonthlyFAME!L655)</f>
        <v>469.07288375960701</v>
      </c>
      <c r="L653" s="21">
        <f>IF(MonthlyFAME!M655=0,"",MonthlyFAME!M655)</f>
        <v>1221.4000000000001</v>
      </c>
      <c r="M653" s="21" t="str">
        <f>IF(MonthlyFAME!N655=0,"",MonthlyFAME!N655)</f>
        <v/>
      </c>
      <c r="N653" s="21" t="str">
        <f>IF(MonthlyFAME!O655=0,"",MonthlyFAME!O655)</f>
        <v/>
      </c>
      <c r="O653" s="21" t="str">
        <f>IF(MonthlyFAME!P655=0,"",MonthlyFAME!P655)</f>
        <v/>
      </c>
      <c r="P653" s="21" t="str">
        <f>IF(MonthlyFAME!Q655=0,"",MonthlyFAME!Q655)</f>
        <v/>
      </c>
      <c r="Q653" s="21" t="str">
        <f>IF(MonthlyFAME!R655=0,"",MonthlyFAME!R655)</f>
        <v/>
      </c>
      <c r="R653" s="21" t="str">
        <f>IF(MonthlyFAME!S655=0,"",MonthlyFAME!S655)</f>
        <v/>
      </c>
      <c r="S653" s="21" t="str">
        <f>IF(MonthlyFAME!T655=0,"",MonthlyFAME!T655)</f>
        <v/>
      </c>
      <c r="T653" s="21">
        <f>IF(MonthlyFAME!U655=0,"",MonthlyFAME!U655)</f>
        <v>108.19739130434782</v>
      </c>
    </row>
    <row r="654" spans="1:20" x14ac:dyDescent="0.2">
      <c r="A654" s="23">
        <f>IF(MonthlyFAME!A656=0,"",MonthlyFAME!A656)</f>
        <v>41698</v>
      </c>
      <c r="B654" s="21">
        <f>IF(MonthlyFAME!B656=0,"",MonthlyFAME!B656)</f>
        <v>89.5</v>
      </c>
      <c r="C654" s="21">
        <f>IF(MonthlyFAME!C656=0,"",MonthlyFAME!C656)</f>
        <v>90.5</v>
      </c>
      <c r="D654" s="21">
        <f>IF(MonthlyFAME!D656=0,"",MonthlyFAME!D656)</f>
        <v>88.923299999999998</v>
      </c>
      <c r="E654" s="21">
        <f>IF(MonthlyFAME!F656=0,"",MonthlyFAME!F656)</f>
        <v>26180</v>
      </c>
      <c r="F654" s="21">
        <f>IF(MonthlyFAME!G656=0,"",MonthlyFAME!G656)</f>
        <v>36031</v>
      </c>
      <c r="G654" s="21">
        <f>IF(MonthlyFAME!H656=0,"",MonthlyFAME!H656)</f>
        <v>6.9115853658536581</v>
      </c>
      <c r="H654" s="21">
        <f>IF(MonthlyFAME!I656=0,"",MonthlyFAME!I656)</f>
        <v>30533</v>
      </c>
      <c r="I654" s="21">
        <f>IF(MonthlyFAME!J656=0,"",MonthlyFAME!J656)</f>
        <v>976.1</v>
      </c>
      <c r="J654" s="21">
        <f>IF(MonthlyFAME!K656=0,"",MonthlyFAME!K656)</f>
        <v>595</v>
      </c>
      <c r="K654" s="21">
        <f>IF(MonthlyFAME!L656=0,"",MonthlyFAME!L656)</f>
        <v>471.80721789555599</v>
      </c>
      <c r="L654" s="21">
        <f>IF(MonthlyFAME!M656=0,"",MonthlyFAME!M656)</f>
        <v>1187.2</v>
      </c>
      <c r="M654" s="21" t="str">
        <f>IF(MonthlyFAME!N656=0,"",MonthlyFAME!N656)</f>
        <v/>
      </c>
      <c r="N654" s="21" t="str">
        <f>IF(MonthlyFAME!O656=0,"",MonthlyFAME!O656)</f>
        <v/>
      </c>
      <c r="O654" s="21" t="str">
        <f>IF(MonthlyFAME!P656=0,"",MonthlyFAME!P656)</f>
        <v/>
      </c>
      <c r="P654" s="21" t="str">
        <f>IF(MonthlyFAME!Q656=0,"",MonthlyFAME!Q656)</f>
        <v/>
      </c>
      <c r="Q654" s="21" t="str">
        <f>IF(MonthlyFAME!R656=0,"",MonthlyFAME!R656)</f>
        <v/>
      </c>
      <c r="R654" s="21" t="str">
        <f>IF(MonthlyFAME!S656=0,"",MonthlyFAME!S656)</f>
        <v/>
      </c>
      <c r="S654" s="21" t="str">
        <f>IF(MonthlyFAME!T656=0,"",MonthlyFAME!T656)</f>
        <v/>
      </c>
      <c r="T654" s="21">
        <f>IF(MonthlyFAME!U656=0,"",MonthlyFAME!U656)</f>
        <v>108.90800000000002</v>
      </c>
    </row>
    <row r="655" spans="1:20" x14ac:dyDescent="0.2">
      <c r="A655" s="23">
        <f>IF(MonthlyFAME!A657=0,"",MonthlyFAME!A657)</f>
        <v>41729</v>
      </c>
      <c r="B655" s="21">
        <f>IF(MonthlyFAME!B657=0,"",MonthlyFAME!B657)</f>
        <v>89.9</v>
      </c>
      <c r="C655" s="21">
        <f>IF(MonthlyFAME!C657=0,"",MonthlyFAME!C657)</f>
        <v>89.8</v>
      </c>
      <c r="D655" s="21">
        <f>IF(MonthlyFAME!D657=0,"",MonthlyFAME!D657)</f>
        <v>89.5625</v>
      </c>
      <c r="E655" s="21">
        <f>IF(MonthlyFAME!F657=0,"",MonthlyFAME!F657)</f>
        <v>27266</v>
      </c>
      <c r="F655" s="21">
        <f>IF(MonthlyFAME!G657=0,"",MonthlyFAME!G657)</f>
        <v>36147</v>
      </c>
      <c r="G655" s="21">
        <f>IF(MonthlyFAME!H657=0,"",MonthlyFAME!H657)</f>
        <v>6.7782656421514815</v>
      </c>
      <c r="H655" s="21">
        <f>IF(MonthlyFAME!I657=0,"",MonthlyFAME!I657)</f>
        <v>30573</v>
      </c>
      <c r="I655" s="21">
        <f>IF(MonthlyFAME!J657=0,"",MonthlyFAME!J657)</f>
        <v>978.9</v>
      </c>
      <c r="J655" s="21">
        <f>IF(MonthlyFAME!K657=0,"",MonthlyFAME!K657)</f>
        <v>616</v>
      </c>
      <c r="K655" s="21">
        <f>IF(MonthlyFAME!L657=0,"",MonthlyFAME!L657)</f>
        <v>461.40990072755699</v>
      </c>
      <c r="L655" s="21">
        <f>IF(MonthlyFAME!M657=0,"",MonthlyFAME!M657)</f>
        <v>1152.5</v>
      </c>
      <c r="M655" s="21" t="str">
        <f>IF(MonthlyFAME!N657=0,"",MonthlyFAME!N657)</f>
        <v/>
      </c>
      <c r="N655" s="21" t="str">
        <f>IF(MonthlyFAME!O657=0,"",MonthlyFAME!O657)</f>
        <v/>
      </c>
      <c r="O655" s="21" t="str">
        <f>IF(MonthlyFAME!P657=0,"",MonthlyFAME!P657)</f>
        <v/>
      </c>
      <c r="P655" s="21" t="str">
        <f>IF(MonthlyFAME!Q657=0,"",MonthlyFAME!Q657)</f>
        <v/>
      </c>
      <c r="Q655" s="21" t="str">
        <f>IF(MonthlyFAME!R657=0,"",MonthlyFAME!R657)</f>
        <v/>
      </c>
      <c r="R655" s="21" t="str">
        <f>IF(MonthlyFAME!S657=0,"",MonthlyFAME!S657)</f>
        <v/>
      </c>
      <c r="S655" s="21" t="str">
        <f>IF(MonthlyFAME!T657=0,"",MonthlyFAME!T657)</f>
        <v/>
      </c>
      <c r="T655" s="21">
        <f>IF(MonthlyFAME!U657=0,"",MonthlyFAME!U657)</f>
        <v>107.48095238095237</v>
      </c>
    </row>
    <row r="656" spans="1:20" x14ac:dyDescent="0.2">
      <c r="A656" s="23">
        <f>IF(MonthlyFAME!A658=0,"",MonthlyFAME!A658)</f>
        <v>41759</v>
      </c>
      <c r="B656" s="21">
        <f>IF(MonthlyFAME!B658=0,"",MonthlyFAME!B658)</f>
        <v>90.2</v>
      </c>
      <c r="C656" s="21">
        <f>IF(MonthlyFAME!C658=0,"",MonthlyFAME!C658)</f>
        <v>90.2</v>
      </c>
      <c r="D656" s="21">
        <f>IF(MonthlyFAME!D658=0,"",MonthlyFAME!D658)</f>
        <v>89.6053</v>
      </c>
      <c r="E656" s="21">
        <f>IF(MonthlyFAME!F658=0,"",MonthlyFAME!F658)</f>
        <v>27252</v>
      </c>
      <c r="F656" s="21">
        <f>IF(MonthlyFAME!G658=0,"",MonthlyFAME!G658)</f>
        <v>36381</v>
      </c>
      <c r="G656" s="21">
        <f>IF(MonthlyFAME!H658=0,"",MonthlyFAME!H658)</f>
        <v>6.6110671455530525</v>
      </c>
      <c r="H656" s="21">
        <f>IF(MonthlyFAME!I658=0,"",MonthlyFAME!I658)</f>
        <v>30682</v>
      </c>
      <c r="I656" s="21">
        <f>IF(MonthlyFAME!J658=0,"",MonthlyFAME!J658)</f>
        <v>983.8</v>
      </c>
      <c r="J656" s="21">
        <f>IF(MonthlyFAME!K658=0,"",MonthlyFAME!K658)</f>
        <v>638</v>
      </c>
      <c r="K656" s="21">
        <f>IF(MonthlyFAME!L658=0,"",MonthlyFAME!L658)</f>
        <v>469.335408373034</v>
      </c>
      <c r="L656" s="21">
        <f>IF(MonthlyFAME!M658=0,"",MonthlyFAME!M658)</f>
        <v>1119.8</v>
      </c>
      <c r="M656" s="21" t="str">
        <f>IF(MonthlyFAME!N658=0,"",MonthlyFAME!N658)</f>
        <v/>
      </c>
      <c r="N656" s="21" t="str">
        <f>IF(MonthlyFAME!O658=0,"",MonthlyFAME!O658)</f>
        <v/>
      </c>
      <c r="O656" s="21" t="str">
        <f>IF(MonthlyFAME!P658=0,"",MonthlyFAME!P658)</f>
        <v/>
      </c>
      <c r="P656" s="21" t="str">
        <f>IF(MonthlyFAME!Q658=0,"",MonthlyFAME!Q658)</f>
        <v/>
      </c>
      <c r="Q656" s="21" t="str">
        <f>IF(MonthlyFAME!R658=0,"",MonthlyFAME!R658)</f>
        <v/>
      </c>
      <c r="R656" s="21" t="str">
        <f>IF(MonthlyFAME!S658=0,"",MonthlyFAME!S658)</f>
        <v/>
      </c>
      <c r="S656" s="21" t="str">
        <f>IF(MonthlyFAME!T658=0,"",MonthlyFAME!T658)</f>
        <v/>
      </c>
      <c r="T656" s="21">
        <f>IF(MonthlyFAME!U658=0,"",MonthlyFAME!U658)</f>
        <v>107.85227272727273</v>
      </c>
    </row>
    <row r="657" spans="1:20" x14ac:dyDescent="0.2">
      <c r="A657" s="23">
        <f>IF(MonthlyFAME!A659=0,"",MonthlyFAME!A659)</f>
        <v>41790</v>
      </c>
      <c r="B657" s="21">
        <f>IF(MonthlyFAME!B659=0,"",MonthlyFAME!B659)</f>
        <v>90.3</v>
      </c>
      <c r="C657" s="21">
        <f>IF(MonthlyFAME!C659=0,"",MonthlyFAME!C659)</f>
        <v>89.7</v>
      </c>
      <c r="D657" s="21">
        <f>IF(MonthlyFAME!D659=0,"",MonthlyFAME!D659)</f>
        <v>90.002399999999994</v>
      </c>
      <c r="E657" s="21">
        <f>IF(MonthlyFAME!F659=0,"",MonthlyFAME!F659)</f>
        <v>28085</v>
      </c>
      <c r="F657" s="21">
        <f>IF(MonthlyFAME!G659=0,"",MonthlyFAME!G659)</f>
        <v>36896</v>
      </c>
      <c r="G657" s="21">
        <f>IF(MonthlyFAME!H659=0,"",MonthlyFAME!H659)</f>
        <v>6.4543576030144649</v>
      </c>
      <c r="H657" s="21">
        <f>IF(MonthlyFAME!I659=0,"",MonthlyFAME!I659)</f>
        <v>30784</v>
      </c>
      <c r="I657" s="21">
        <f>IF(MonthlyFAME!J659=0,"",MonthlyFAME!J659)</f>
        <v>988</v>
      </c>
      <c r="J657" s="21">
        <f>IF(MonthlyFAME!K659=0,"",MonthlyFAME!K659)</f>
        <v>654</v>
      </c>
      <c r="K657" s="21">
        <f>IF(MonthlyFAME!L659=0,"",MonthlyFAME!L659)</f>
        <v>469.344294402407</v>
      </c>
      <c r="L657" s="21">
        <f>IF(MonthlyFAME!M659=0,"",MonthlyFAME!M659)</f>
        <v>1085.5</v>
      </c>
      <c r="M657" s="21" t="str">
        <f>IF(MonthlyFAME!N659=0,"",MonthlyFAME!N659)</f>
        <v/>
      </c>
      <c r="N657" s="21" t="str">
        <f>IF(MonthlyFAME!O659=0,"",MonthlyFAME!O659)</f>
        <v/>
      </c>
      <c r="O657" s="21" t="str">
        <f>IF(MonthlyFAME!P659=0,"",MonthlyFAME!P659)</f>
        <v/>
      </c>
      <c r="P657" s="21" t="str">
        <f>IF(MonthlyFAME!Q659=0,"",MonthlyFAME!Q659)</f>
        <v/>
      </c>
      <c r="Q657" s="21" t="str">
        <f>IF(MonthlyFAME!R659=0,"",MonthlyFAME!R659)</f>
        <v/>
      </c>
      <c r="R657" s="21" t="str">
        <f>IF(MonthlyFAME!S659=0,"",MonthlyFAME!S659)</f>
        <v/>
      </c>
      <c r="S657" s="21" t="str">
        <f>IF(MonthlyFAME!T659=0,"",MonthlyFAME!T659)</f>
        <v/>
      </c>
      <c r="T657" s="21">
        <f>IF(MonthlyFAME!U659=0,"",MonthlyFAME!U659)</f>
        <v>109.54727272727274</v>
      </c>
    </row>
    <row r="658" spans="1:20" x14ac:dyDescent="0.2">
      <c r="A658" s="23">
        <f>IF(MonthlyFAME!A660=0,"",MonthlyFAME!A660)</f>
        <v>41820</v>
      </c>
      <c r="B658" s="21">
        <f>IF(MonthlyFAME!B660=0,"",MonthlyFAME!B660)</f>
        <v>90.6</v>
      </c>
      <c r="C658" s="21">
        <f>IF(MonthlyFAME!C660=0,"",MonthlyFAME!C660)</f>
        <v>90</v>
      </c>
      <c r="D658" s="21">
        <f>IF(MonthlyFAME!D660=0,"",MonthlyFAME!D660)</f>
        <v>90.293899999999994</v>
      </c>
      <c r="E658" s="21">
        <f>IF(MonthlyFAME!F660=0,"",MonthlyFAME!F660)</f>
        <v>25809</v>
      </c>
      <c r="F658" s="21">
        <f>IF(MonthlyFAME!G660=0,"",MonthlyFAME!G660)</f>
        <v>36082</v>
      </c>
      <c r="G658" s="21">
        <f>IF(MonthlyFAME!H660=0,"",MonthlyFAME!H660)</f>
        <v>6.3162705667276056</v>
      </c>
      <c r="H658" s="21">
        <f>IF(MonthlyFAME!I660=0,"",MonthlyFAME!I660)</f>
        <v>30747</v>
      </c>
      <c r="I658" s="21">
        <f>IF(MonthlyFAME!J660=0,"",MonthlyFAME!J660)</f>
        <v>988.4</v>
      </c>
      <c r="J658" s="21">
        <f>IF(MonthlyFAME!K660=0,"",MonthlyFAME!K660)</f>
        <v>663</v>
      </c>
      <c r="K658" s="21">
        <f>IF(MonthlyFAME!L660=0,"",MonthlyFAME!L660)</f>
        <v>469.74024641825901</v>
      </c>
      <c r="L658" s="21">
        <f>IF(MonthlyFAME!M660=0,"",MonthlyFAME!M660)</f>
        <v>1042.0999999999999</v>
      </c>
      <c r="M658" s="21" t="str">
        <f>IF(MonthlyFAME!N660=0,"",MonthlyFAME!N660)</f>
        <v/>
      </c>
      <c r="N658" s="21" t="str">
        <f>IF(MonthlyFAME!O660=0,"",MonthlyFAME!O660)</f>
        <v/>
      </c>
      <c r="O658" s="21" t="str">
        <f>IF(MonthlyFAME!P660=0,"",MonthlyFAME!P660)</f>
        <v/>
      </c>
      <c r="P658" s="21" t="str">
        <f>IF(MonthlyFAME!Q660=0,"",MonthlyFAME!Q660)</f>
        <v/>
      </c>
      <c r="Q658" s="21" t="str">
        <f>IF(MonthlyFAME!R660=0,"",MonthlyFAME!R660)</f>
        <v/>
      </c>
      <c r="R658" s="21" t="str">
        <f>IF(MonthlyFAME!S660=0,"",MonthlyFAME!S660)</f>
        <v/>
      </c>
      <c r="S658" s="21" t="str">
        <f>IF(MonthlyFAME!T660=0,"",MonthlyFAME!T660)</f>
        <v/>
      </c>
      <c r="T658" s="21">
        <f>IF(MonthlyFAME!U660=0,"",MonthlyFAME!U660)</f>
        <v>111.7952380952381</v>
      </c>
    </row>
    <row r="659" spans="1:20" x14ac:dyDescent="0.2">
      <c r="A659" s="23">
        <f>IF(MonthlyFAME!A661=0,"",MonthlyFAME!A661)</f>
        <v>41851</v>
      </c>
      <c r="B659" s="21">
        <f>IF(MonthlyFAME!B661=0,"",MonthlyFAME!B661)</f>
        <v>91.1</v>
      </c>
      <c r="C659" s="21">
        <f>IF(MonthlyFAME!C661=0,"",MonthlyFAME!C661)</f>
        <v>90.9</v>
      </c>
      <c r="D659" s="21">
        <f>IF(MonthlyFAME!D661=0,"",MonthlyFAME!D661)</f>
        <v>90.688199999999995</v>
      </c>
      <c r="E659" s="21">
        <f>IF(MonthlyFAME!F661=0,"",MonthlyFAME!F661)</f>
        <v>26873</v>
      </c>
      <c r="F659" s="21">
        <f>IF(MonthlyFAME!G661=0,"",MonthlyFAME!G661)</f>
        <v>39328</v>
      </c>
      <c r="G659" s="21">
        <f>IF(MonthlyFAME!H661=0,"",MonthlyFAME!H661)</f>
        <v>6.1708426160466319</v>
      </c>
      <c r="H659" s="21">
        <f>IF(MonthlyFAME!I661=0,"",MonthlyFAME!I661)</f>
        <v>30745</v>
      </c>
      <c r="I659" s="21">
        <f>IF(MonthlyFAME!J661=0,"",MonthlyFAME!J661)</f>
        <v>987.2</v>
      </c>
      <c r="J659" s="21">
        <f>IF(MonthlyFAME!K661=0,"",MonthlyFAME!K661)</f>
        <v>670</v>
      </c>
      <c r="K659" s="21">
        <f>IF(MonthlyFAME!L661=0,"",MonthlyFAME!L661)</f>
        <v>467.71454159533403</v>
      </c>
      <c r="L659" s="21">
        <f>IF(MonthlyFAME!M661=0,"",MonthlyFAME!M661)</f>
        <v>1008.8</v>
      </c>
      <c r="M659" s="21" t="str">
        <f>IF(MonthlyFAME!N661=0,"",MonthlyFAME!N661)</f>
        <v/>
      </c>
      <c r="N659" s="21" t="str">
        <f>IF(MonthlyFAME!O661=0,"",MonthlyFAME!O661)</f>
        <v/>
      </c>
      <c r="O659" s="21" t="str">
        <f>IF(MonthlyFAME!P661=0,"",MonthlyFAME!P661)</f>
        <v/>
      </c>
      <c r="P659" s="21" t="str">
        <f>IF(MonthlyFAME!Q661=0,"",MonthlyFAME!Q661)</f>
        <v/>
      </c>
      <c r="Q659" s="21" t="str">
        <f>IF(MonthlyFAME!R661=0,"",MonthlyFAME!R661)</f>
        <v/>
      </c>
      <c r="R659" s="21" t="str">
        <f>IF(MonthlyFAME!S661=0,"",MonthlyFAME!S661)</f>
        <v/>
      </c>
      <c r="S659" s="21" t="str">
        <f>IF(MonthlyFAME!T661=0,"",MonthlyFAME!T661)</f>
        <v/>
      </c>
      <c r="T659" s="21">
        <f>IF(MonthlyFAME!U661=0,"",MonthlyFAME!U661)</f>
        <v>106.86130434782608</v>
      </c>
    </row>
    <row r="660" spans="1:20" x14ac:dyDescent="0.2">
      <c r="A660" s="23">
        <f>IF(MonthlyFAME!A662=0,"",MonthlyFAME!A662)</f>
        <v>41882</v>
      </c>
      <c r="B660" s="21">
        <f>IF(MonthlyFAME!B662=0,"",MonthlyFAME!B662)</f>
        <v>91</v>
      </c>
      <c r="C660" s="21">
        <f>IF(MonthlyFAME!C662=0,"",MonthlyFAME!C662)</f>
        <v>90.4</v>
      </c>
      <c r="D660" s="21">
        <f>IF(MonthlyFAME!D662=0,"",MonthlyFAME!D662)</f>
        <v>90.594899999999996</v>
      </c>
      <c r="E660" s="21">
        <f>IF(MonthlyFAME!F662=0,"",MonthlyFAME!F662)</f>
        <v>25329</v>
      </c>
      <c r="F660" s="21">
        <f>IF(MonthlyFAME!G662=0,"",MonthlyFAME!G662)</f>
        <v>36560</v>
      </c>
      <c r="G660" s="21">
        <f>IF(MonthlyFAME!H662=0,"",MonthlyFAME!H662)</f>
        <v>6.0465683286602463</v>
      </c>
      <c r="H660" s="21">
        <f>IF(MonthlyFAME!I662=0,"",MonthlyFAME!I662)</f>
        <v>30828</v>
      </c>
      <c r="I660" s="21">
        <f>IF(MonthlyFAME!J662=0,"",MonthlyFAME!J662)</f>
        <v>990.2</v>
      </c>
      <c r="J660" s="21">
        <f>IF(MonthlyFAME!K662=0,"",MonthlyFAME!K662)</f>
        <v>681</v>
      </c>
      <c r="K660" s="21">
        <f>IF(MonthlyFAME!L662=0,"",MonthlyFAME!L662)</f>
        <v>469.43844077819898</v>
      </c>
      <c r="L660" s="21">
        <f>IF(MonthlyFAME!M662=0,"",MonthlyFAME!M662)</f>
        <v>971.7</v>
      </c>
      <c r="M660" s="21" t="str">
        <f>IF(MonthlyFAME!N662=0,"",MonthlyFAME!N662)</f>
        <v/>
      </c>
      <c r="N660" s="21" t="str">
        <f>IF(MonthlyFAME!O662=0,"",MonthlyFAME!O662)</f>
        <v/>
      </c>
      <c r="O660" s="21" t="str">
        <f>IF(MonthlyFAME!P662=0,"",MonthlyFAME!P662)</f>
        <v/>
      </c>
      <c r="P660" s="21" t="str">
        <f>IF(MonthlyFAME!Q662=0,"",MonthlyFAME!Q662)</f>
        <v/>
      </c>
      <c r="Q660" s="21" t="str">
        <f>IF(MonthlyFAME!R662=0,"",MonthlyFAME!R662)</f>
        <v/>
      </c>
      <c r="R660" s="21" t="str">
        <f>IF(MonthlyFAME!S662=0,"",MonthlyFAME!S662)</f>
        <v/>
      </c>
      <c r="S660" s="21" t="str">
        <f>IF(MonthlyFAME!T662=0,"",MonthlyFAME!T662)</f>
        <v/>
      </c>
      <c r="T660" s="21">
        <f>IF(MonthlyFAME!U662=0,"",MonthlyFAME!U662)</f>
        <v>101.60809523809523</v>
      </c>
    </row>
    <row r="661" spans="1:20" x14ac:dyDescent="0.2">
      <c r="A661" s="23">
        <f>IF(MonthlyFAME!A663=0,"",MonthlyFAME!A663)</f>
        <v>41912</v>
      </c>
      <c r="B661" s="21">
        <f>IF(MonthlyFAME!B663=0,"",MonthlyFAME!B663)</f>
        <v>91.4</v>
      </c>
      <c r="C661" s="21">
        <f>IF(MonthlyFAME!C663=0,"",MonthlyFAME!C663)</f>
        <v>91.2</v>
      </c>
      <c r="D661" s="21">
        <f>IF(MonthlyFAME!D663=0,"",MonthlyFAME!D663)</f>
        <v>90.896699999999996</v>
      </c>
      <c r="E661" s="21">
        <f>IF(MonthlyFAME!F663=0,"",MonthlyFAME!F663)</f>
        <v>26543</v>
      </c>
      <c r="F661" s="21">
        <f>IF(MonthlyFAME!G663=0,"",MonthlyFAME!G663)</f>
        <v>37239</v>
      </c>
      <c r="G661" s="21">
        <f>IF(MonthlyFAME!H663=0,"",MonthlyFAME!H663)</f>
        <v>6.009681249429172</v>
      </c>
      <c r="H661" s="21">
        <f>IF(MonthlyFAME!I663=0,"",MonthlyFAME!I663)</f>
        <v>30873</v>
      </c>
      <c r="I661" s="21">
        <f>IF(MonthlyFAME!J663=0,"",MonthlyFAME!J663)</f>
        <v>991.6</v>
      </c>
      <c r="J661" s="21">
        <f>IF(MonthlyFAME!K663=0,"",MonthlyFAME!K663)</f>
        <v>687</v>
      </c>
      <c r="K661" s="21">
        <f>IF(MonthlyFAME!L663=0,"",MonthlyFAME!L663)</f>
        <v>472.89221633231301</v>
      </c>
      <c r="L661" s="21">
        <f>IF(MonthlyFAME!M663=0,"",MonthlyFAME!M663)</f>
        <v>947.4</v>
      </c>
      <c r="M661" s="21" t="str">
        <f>IF(MonthlyFAME!N663=0,"",MonthlyFAME!N663)</f>
        <v/>
      </c>
      <c r="N661" s="21" t="str">
        <f>IF(MonthlyFAME!O663=0,"",MonthlyFAME!O663)</f>
        <v/>
      </c>
      <c r="O661" s="21" t="str">
        <f>IF(MonthlyFAME!P663=0,"",MonthlyFAME!P663)</f>
        <v/>
      </c>
      <c r="P661" s="21" t="str">
        <f>IF(MonthlyFAME!Q663=0,"",MonthlyFAME!Q663)</f>
        <v/>
      </c>
      <c r="Q661" s="21" t="str">
        <f>IF(MonthlyFAME!R663=0,"",MonthlyFAME!R663)</f>
        <v/>
      </c>
      <c r="R661" s="21" t="str">
        <f>IF(MonthlyFAME!S663=0,"",MonthlyFAME!S663)</f>
        <v/>
      </c>
      <c r="S661" s="21" t="str">
        <f>IF(MonthlyFAME!T663=0,"",MonthlyFAME!T663)</f>
        <v/>
      </c>
      <c r="T661" s="21">
        <f>IF(MonthlyFAME!U663=0,"",MonthlyFAME!U663)</f>
        <v>97.287272727272708</v>
      </c>
    </row>
    <row r="662" spans="1:20" x14ac:dyDescent="0.2">
      <c r="A662" s="23">
        <f>IF(MonthlyFAME!A664=0,"",MonthlyFAME!A664)</f>
        <v>41943</v>
      </c>
      <c r="B662" s="21">
        <f>IF(MonthlyFAME!B664=0,"",MonthlyFAME!B664)</f>
        <v>91.7</v>
      </c>
      <c r="C662" s="21">
        <f>IF(MonthlyFAME!C664=0,"",MonthlyFAME!C664)</f>
        <v>91.2</v>
      </c>
      <c r="D662" s="21">
        <f>IF(MonthlyFAME!D664=0,"",MonthlyFAME!D664)</f>
        <v>91.352800000000002</v>
      </c>
      <c r="E662" s="21">
        <f>IF(MonthlyFAME!F664=0,"",MonthlyFAME!F664)</f>
        <v>26826</v>
      </c>
      <c r="F662" s="21">
        <f>IF(MonthlyFAME!G664=0,"",MonthlyFAME!G664)</f>
        <v>38258</v>
      </c>
      <c r="G662" s="21">
        <f>IF(MonthlyFAME!H664=0,"",MonthlyFAME!H664)</f>
        <v>5.98423279456975</v>
      </c>
      <c r="H662" s="21">
        <f>IF(MonthlyFAME!I664=0,"",MonthlyFAME!I664)</f>
        <v>30887</v>
      </c>
      <c r="I662" s="21">
        <f>IF(MonthlyFAME!J664=0,"",MonthlyFAME!J664)</f>
        <v>996.3</v>
      </c>
      <c r="J662" s="21">
        <f>IF(MonthlyFAME!K664=0,"",MonthlyFAME!K664)</f>
        <v>702</v>
      </c>
      <c r="K662" s="21">
        <f>IF(MonthlyFAME!L664=0,"",MonthlyFAME!L664)</f>
        <v>474.79499653970697</v>
      </c>
      <c r="L662" s="21">
        <f>IF(MonthlyFAME!M664=0,"",MonthlyFAME!M664)</f>
        <v>922.5</v>
      </c>
      <c r="M662" s="21" t="str">
        <f>IF(MonthlyFAME!N664=0,"",MonthlyFAME!N664)</f>
        <v/>
      </c>
      <c r="N662" s="21" t="str">
        <f>IF(MonthlyFAME!O664=0,"",MonthlyFAME!O664)</f>
        <v/>
      </c>
      <c r="O662" s="21" t="str">
        <f>IF(MonthlyFAME!P664=0,"",MonthlyFAME!P664)</f>
        <v/>
      </c>
      <c r="P662" s="21" t="str">
        <f>IF(MonthlyFAME!Q664=0,"",MonthlyFAME!Q664)</f>
        <v/>
      </c>
      <c r="Q662" s="21" t="str">
        <f>IF(MonthlyFAME!R664=0,"",MonthlyFAME!R664)</f>
        <v/>
      </c>
      <c r="R662" s="21" t="str">
        <f>IF(MonthlyFAME!S664=0,"",MonthlyFAME!S664)</f>
        <v/>
      </c>
      <c r="S662" s="21" t="str">
        <f>IF(MonthlyFAME!T664=0,"",MonthlyFAME!T664)</f>
        <v/>
      </c>
      <c r="T662" s="21">
        <f>IF(MonthlyFAME!U664=0,"",MonthlyFAME!U664)</f>
        <v>87.463043478260886</v>
      </c>
    </row>
    <row r="663" spans="1:20" x14ac:dyDescent="0.2">
      <c r="A663" s="23">
        <f>IF(MonthlyFAME!A665=0,"",MonthlyFAME!A665)</f>
        <v>41973</v>
      </c>
      <c r="B663" s="21">
        <f>IF(MonthlyFAME!B665=0,"",MonthlyFAME!B665)</f>
        <v>91.6</v>
      </c>
      <c r="C663" s="21">
        <f>IF(MonthlyFAME!C665=0,"",MonthlyFAME!C665)</f>
        <v>91.5</v>
      </c>
      <c r="D663" s="21">
        <f>IF(MonthlyFAME!D665=0,"",MonthlyFAME!D665)</f>
        <v>91.110900000000001</v>
      </c>
      <c r="E663" s="21">
        <f>IF(MonthlyFAME!F665=0,"",MonthlyFAME!F665)</f>
        <v>27117</v>
      </c>
      <c r="F663" s="21">
        <f>IF(MonthlyFAME!G665=0,"",MonthlyFAME!G665)</f>
        <v>39000</v>
      </c>
      <c r="G663" s="21">
        <f>IF(MonthlyFAME!H665=0,"",MonthlyFAME!H665)</f>
        <v>5.9009900990099009</v>
      </c>
      <c r="H663" s="21">
        <f>IF(MonthlyFAME!I665=0,"",MonthlyFAME!I665)</f>
        <v>30888</v>
      </c>
      <c r="I663" s="21">
        <f>IF(MonthlyFAME!J665=0,"",MonthlyFAME!J665)</f>
        <v>996</v>
      </c>
      <c r="J663" s="21">
        <f>IF(MonthlyFAME!K665=0,"",MonthlyFAME!K665)</f>
        <v>703</v>
      </c>
      <c r="K663" s="21">
        <f>IF(MonthlyFAME!L665=0,"",MonthlyFAME!L665)</f>
        <v>474.85323745236599</v>
      </c>
      <c r="L663" s="21">
        <f>IF(MonthlyFAME!M665=0,"",MonthlyFAME!M665)</f>
        <v>897.9</v>
      </c>
      <c r="M663" s="21" t="str">
        <f>IF(MonthlyFAME!N665=0,"",MonthlyFAME!N665)</f>
        <v/>
      </c>
      <c r="N663" s="21" t="str">
        <f>IF(MonthlyFAME!O665=0,"",MonthlyFAME!O665)</f>
        <v/>
      </c>
      <c r="O663" s="21" t="str">
        <f>IF(MonthlyFAME!P665=0,"",MonthlyFAME!P665)</f>
        <v/>
      </c>
      <c r="P663" s="21" t="str">
        <f>IF(MonthlyFAME!Q665=0,"",MonthlyFAME!Q665)</f>
        <v/>
      </c>
      <c r="Q663" s="21" t="str">
        <f>IF(MonthlyFAME!R665=0,"",MonthlyFAME!R665)</f>
        <v/>
      </c>
      <c r="R663" s="21" t="str">
        <f>IF(MonthlyFAME!S665=0,"",MonthlyFAME!S665)</f>
        <v/>
      </c>
      <c r="S663" s="21" t="str">
        <f>IF(MonthlyFAME!T665=0,"",MonthlyFAME!T665)</f>
        <v/>
      </c>
      <c r="T663" s="21">
        <f>IF(MonthlyFAME!U665=0,"",MonthlyFAME!U665)</f>
        <v>79.001500000000007</v>
      </c>
    </row>
    <row r="664" spans="1:20" x14ac:dyDescent="0.2">
      <c r="A664" s="23">
        <f>IF(MonthlyFAME!A666=0,"",MonthlyFAME!A666)</f>
        <v>42004</v>
      </c>
      <c r="B664" s="21">
        <f>IF(MonthlyFAME!B666=0,"",MonthlyFAME!B666)</f>
        <v>91.9</v>
      </c>
      <c r="C664" s="21">
        <f>IF(MonthlyFAME!C666=0,"",MonthlyFAME!C666)</f>
        <v>92.9</v>
      </c>
      <c r="D664" s="21">
        <f>IF(MonthlyFAME!D666=0,"",MonthlyFAME!D666)</f>
        <v>91.236599999999996</v>
      </c>
      <c r="E664" s="21">
        <f>IF(MonthlyFAME!F666=0,"",MonthlyFAME!F666)</f>
        <v>28085</v>
      </c>
      <c r="F664" s="21">
        <f>IF(MonthlyFAME!G666=0,"",MonthlyFAME!G666)</f>
        <v>43111</v>
      </c>
      <c r="G664" s="21">
        <f>IF(MonthlyFAME!H666=0,"",MonthlyFAME!H666)</f>
        <v>5.7296738072054527</v>
      </c>
      <c r="H664" s="21">
        <f>IF(MonthlyFAME!I666=0,"",MonthlyFAME!I666)</f>
        <v>30981</v>
      </c>
      <c r="I664" s="21">
        <f>IF(MonthlyFAME!J666=0,"",MonthlyFAME!J666)</f>
        <v>997.5</v>
      </c>
      <c r="J664" s="21">
        <f>IF(MonthlyFAME!K666=0,"",MonthlyFAME!K666)</f>
        <v>707</v>
      </c>
      <c r="K664" s="21">
        <f>IF(MonthlyFAME!L666=0,"",MonthlyFAME!L666)</f>
        <v>478.45403846845801</v>
      </c>
      <c r="L664" s="21">
        <f>IF(MonthlyFAME!M666=0,"",MonthlyFAME!M666)</f>
        <v>876.6</v>
      </c>
      <c r="M664" s="21" t="str">
        <f>IF(MonthlyFAME!N666=0,"",MonthlyFAME!N666)</f>
        <v/>
      </c>
      <c r="N664" s="21" t="str">
        <f>IF(MonthlyFAME!O666=0,"",MonthlyFAME!O666)</f>
        <v/>
      </c>
      <c r="O664" s="21" t="str">
        <f>IF(MonthlyFAME!P666=0,"",MonthlyFAME!P666)</f>
        <v/>
      </c>
      <c r="P664" s="21" t="str">
        <f>IF(MonthlyFAME!Q666=0,"",MonthlyFAME!Q666)</f>
        <v/>
      </c>
      <c r="Q664" s="21" t="str">
        <f>IF(MonthlyFAME!R666=0,"",MonthlyFAME!R666)</f>
        <v/>
      </c>
      <c r="R664" s="21" t="str">
        <f>IF(MonthlyFAME!S666=0,"",MonthlyFAME!S666)</f>
        <v/>
      </c>
      <c r="S664" s="21" t="str">
        <f>IF(MonthlyFAME!T666=0,"",MonthlyFAME!T666)</f>
        <v/>
      </c>
      <c r="T664" s="21">
        <f>IF(MonthlyFAME!U666=0,"",MonthlyFAME!U666)</f>
        <v>62.144347826086957</v>
      </c>
    </row>
    <row r="665" spans="1:20" x14ac:dyDescent="0.2">
      <c r="A665" s="23">
        <f>IF(MonthlyFAME!A667=0,"",MonthlyFAME!A667)</f>
        <v>42035</v>
      </c>
      <c r="B665" s="21">
        <f>IF(MonthlyFAME!B667=0,"",MonthlyFAME!B667)</f>
        <v>91.7</v>
      </c>
      <c r="C665" s="21">
        <f>IF(MonthlyFAME!C667=0,"",MonthlyFAME!C667)</f>
        <v>92.3</v>
      </c>
      <c r="D665" s="21">
        <f>IF(MonthlyFAME!D667=0,"",MonthlyFAME!D667)</f>
        <v>90.994500000000002</v>
      </c>
      <c r="E665" s="21">
        <f>IF(MonthlyFAME!F667=0,"",MonthlyFAME!F667)</f>
        <v>27070</v>
      </c>
      <c r="F665" s="21">
        <f>IF(MonthlyFAME!G667=0,"",MonthlyFAME!G667)</f>
        <v>40019</v>
      </c>
      <c r="G665" s="21">
        <f>IF(MonthlyFAME!H667=0,"",MonthlyFAME!H667)</f>
        <v>5.6880678192701533</v>
      </c>
      <c r="H665" s="21">
        <f>IF(MonthlyFAME!I667=0,"",MonthlyFAME!I667)</f>
        <v>31039</v>
      </c>
      <c r="I665" s="21">
        <f>IF(MonthlyFAME!J667=0,"",MonthlyFAME!J667)</f>
        <v>996.7</v>
      </c>
      <c r="J665" s="21">
        <f>IF(MonthlyFAME!K667=0,"",MonthlyFAME!K667)</f>
        <v>708</v>
      </c>
      <c r="K665" s="21">
        <f>IF(MonthlyFAME!L667=0,"",MonthlyFAME!L667)</f>
        <v>475.59784911160301</v>
      </c>
      <c r="L665" s="21">
        <f>IF(MonthlyFAME!M667=0,"",MonthlyFAME!M667)</f>
        <v>855.5</v>
      </c>
      <c r="M665" s="21" t="str">
        <f>IF(MonthlyFAME!N667=0,"",MonthlyFAME!N667)</f>
        <v/>
      </c>
      <c r="N665" s="21" t="str">
        <f>IF(MonthlyFAME!O667=0,"",MonthlyFAME!O667)</f>
        <v/>
      </c>
      <c r="O665" s="21" t="str">
        <f>IF(MonthlyFAME!P667=0,"",MonthlyFAME!P667)</f>
        <v/>
      </c>
      <c r="P665" s="21" t="str">
        <f>IF(MonthlyFAME!Q667=0,"",MonthlyFAME!Q667)</f>
        <v/>
      </c>
      <c r="Q665" s="21" t="str">
        <f>IF(MonthlyFAME!R667=0,"",MonthlyFAME!R667)</f>
        <v/>
      </c>
      <c r="R665" s="21" t="str">
        <f>IF(MonthlyFAME!S667=0,"",MonthlyFAME!S667)</f>
        <v/>
      </c>
      <c r="S665" s="21" t="str">
        <f>IF(MonthlyFAME!T667=0,"",MonthlyFAME!T667)</f>
        <v/>
      </c>
      <c r="T665" s="21">
        <f>IF(MonthlyFAME!U667=0,"",MonthlyFAME!U667)</f>
        <v>48.051818181818184</v>
      </c>
    </row>
    <row r="666" spans="1:20" x14ac:dyDescent="0.2">
      <c r="A666" s="23">
        <f>IF(MonthlyFAME!A668=0,"",MonthlyFAME!A668)</f>
        <v>42063</v>
      </c>
      <c r="B666" s="21">
        <f>IF(MonthlyFAME!B668=0,"",MonthlyFAME!B668)</f>
        <v>92</v>
      </c>
      <c r="C666" s="21">
        <f>IF(MonthlyFAME!C668=0,"",MonthlyFAME!C668)</f>
        <v>93.4</v>
      </c>
      <c r="D666" s="21">
        <f>IF(MonthlyFAME!D668=0,"",MonthlyFAME!D668)</f>
        <v>91.198400000000007</v>
      </c>
      <c r="E666" s="21">
        <f>IF(MonthlyFAME!F668=0,"",MonthlyFAME!F668)</f>
        <v>26630</v>
      </c>
      <c r="F666" s="21">
        <f>IF(MonthlyFAME!G668=0,"",MonthlyFAME!G668)</f>
        <v>39707</v>
      </c>
      <c r="G666" s="21">
        <f>IF(MonthlyFAME!H668=0,"",MonthlyFAME!H668)</f>
        <v>5.6164798545895183</v>
      </c>
      <c r="H666" s="21">
        <f>IF(MonthlyFAME!I668=0,"",MonthlyFAME!I668)</f>
        <v>31156</v>
      </c>
      <c r="I666" s="21">
        <f>IF(MonthlyFAME!J668=0,"",MonthlyFAME!J668)</f>
        <v>999</v>
      </c>
      <c r="J666" s="21">
        <f>IF(MonthlyFAME!K668=0,"",MonthlyFAME!K668)</f>
        <v>720</v>
      </c>
      <c r="K666" s="21">
        <f>IF(MonthlyFAME!L668=0,"",MonthlyFAME!L668)</f>
        <v>478.47976455259999</v>
      </c>
      <c r="L666" s="21">
        <f>IF(MonthlyFAME!M668=0,"",MonthlyFAME!M668)</f>
        <v>834.7</v>
      </c>
      <c r="M666" s="21" t="str">
        <f>IF(MonthlyFAME!N668=0,"",MonthlyFAME!N668)</f>
        <v/>
      </c>
      <c r="N666" s="21" t="str">
        <f>IF(MonthlyFAME!O668=0,"",MonthlyFAME!O668)</f>
        <v/>
      </c>
      <c r="O666" s="21" t="str">
        <f>IF(MonthlyFAME!P668=0,"",MonthlyFAME!P668)</f>
        <v/>
      </c>
      <c r="P666" s="21" t="str">
        <f>IF(MonthlyFAME!Q668=0,"",MonthlyFAME!Q668)</f>
        <v/>
      </c>
      <c r="Q666" s="21" t="str">
        <f>IF(MonthlyFAME!R668=0,"",MonthlyFAME!R668)</f>
        <v/>
      </c>
      <c r="R666" s="21" t="str">
        <f>IF(MonthlyFAME!S668=0,"",MonthlyFAME!S668)</f>
        <v/>
      </c>
      <c r="S666" s="21" t="str">
        <f>IF(MonthlyFAME!T668=0,"",MonthlyFAME!T668)</f>
        <v/>
      </c>
      <c r="T666" s="21">
        <f>IF(MonthlyFAME!U668=0,"",MonthlyFAME!U668)</f>
        <v>58.095500000000015</v>
      </c>
    </row>
    <row r="667" spans="1:20" x14ac:dyDescent="0.2">
      <c r="A667" s="23">
        <f>IF(MonthlyFAME!A669=0,"",MonthlyFAME!A669)</f>
        <v>42094</v>
      </c>
      <c r="B667" s="21">
        <f>IF(MonthlyFAME!B669=0,"",MonthlyFAME!B669)</f>
        <v>92</v>
      </c>
      <c r="C667" s="21">
        <f>IF(MonthlyFAME!C669=0,"",MonthlyFAME!C669)</f>
        <v>94.5</v>
      </c>
      <c r="D667" s="21">
        <f>IF(MonthlyFAME!D669=0,"",MonthlyFAME!D669)</f>
        <v>91.006900000000002</v>
      </c>
      <c r="E667" s="21">
        <f>IF(MonthlyFAME!F669=0,"",MonthlyFAME!F669)</f>
        <v>27560</v>
      </c>
      <c r="F667" s="21">
        <f>IF(MonthlyFAME!G669=0,"",MonthlyFAME!G669)</f>
        <v>38859</v>
      </c>
      <c r="G667" s="21">
        <f>IF(MonthlyFAME!H669=0,"",MonthlyFAME!H669)</f>
        <v>5.5710306406685239</v>
      </c>
      <c r="H667" s="21">
        <f>IF(MonthlyFAME!I669=0,"",MonthlyFAME!I669)</f>
        <v>31188</v>
      </c>
      <c r="I667" s="21">
        <f>IF(MonthlyFAME!J669=0,"",MonthlyFAME!J669)</f>
        <v>1000.3</v>
      </c>
      <c r="J667" s="21">
        <f>IF(MonthlyFAME!K669=0,"",MonthlyFAME!K669)</f>
        <v>729</v>
      </c>
      <c r="K667" s="21">
        <f>IF(MonthlyFAME!L669=0,"",MonthlyFAME!L669)</f>
        <v>480.20379548841601</v>
      </c>
      <c r="L667" s="21">
        <f>IF(MonthlyFAME!M669=0,"",MonthlyFAME!M669)</f>
        <v>814.8</v>
      </c>
      <c r="M667" s="21" t="str">
        <f>IF(MonthlyFAME!N669=0,"",MonthlyFAME!N669)</f>
        <v/>
      </c>
      <c r="N667" s="21" t="str">
        <f>IF(MonthlyFAME!O669=0,"",MonthlyFAME!O669)</f>
        <v/>
      </c>
      <c r="O667" s="21" t="str">
        <f>IF(MonthlyFAME!P669=0,"",MonthlyFAME!P669)</f>
        <v/>
      </c>
      <c r="P667" s="21" t="str">
        <f>IF(MonthlyFAME!Q669=0,"",MonthlyFAME!Q669)</f>
        <v/>
      </c>
      <c r="Q667" s="21" t="str">
        <f>IF(MonthlyFAME!R669=0,"",MonthlyFAME!R669)</f>
        <v/>
      </c>
      <c r="R667" s="21" t="str">
        <f>IF(MonthlyFAME!S669=0,"",MonthlyFAME!S669)</f>
        <v/>
      </c>
      <c r="S667" s="21" t="str">
        <f>IF(MonthlyFAME!T669=0,"",MonthlyFAME!T669)</f>
        <v/>
      </c>
      <c r="T667" s="21">
        <f>IF(MonthlyFAME!U669=0,"",MonthlyFAME!U669)</f>
        <v>55.885454545454543</v>
      </c>
    </row>
    <row r="668" spans="1:20" x14ac:dyDescent="0.2">
      <c r="A668" s="23">
        <f>IF(MonthlyFAME!A670=0,"",MonthlyFAME!A670)</f>
        <v>42124</v>
      </c>
      <c r="B668" s="21">
        <f>IF(MonthlyFAME!B670=0,"",MonthlyFAME!B670)</f>
        <v>92.6</v>
      </c>
      <c r="C668" s="21">
        <f>IF(MonthlyFAME!C670=0,"",MonthlyFAME!C670)</f>
        <v>95</v>
      </c>
      <c r="D668" s="21">
        <f>IF(MonthlyFAME!D670=0,"",MonthlyFAME!D670)</f>
        <v>91.478800000000007</v>
      </c>
      <c r="E668" s="21">
        <f>IF(MonthlyFAME!F670=0,"",MonthlyFAME!F670)</f>
        <v>27634</v>
      </c>
      <c r="F668" s="21">
        <f>IF(MonthlyFAME!G670=0,"",MonthlyFAME!G670)</f>
        <v>38190</v>
      </c>
      <c r="G668" s="21">
        <f>IF(MonthlyFAME!H670=0,"",MonthlyFAME!H670)</f>
        <v>5.538545487616334</v>
      </c>
      <c r="H668" s="21">
        <f>IF(MonthlyFAME!I670=0,"",MonthlyFAME!I670)</f>
        <v>31160</v>
      </c>
      <c r="I668" s="21">
        <f>IF(MonthlyFAME!J670=0,"",MonthlyFAME!J670)</f>
        <v>1000.2</v>
      </c>
      <c r="J668" s="21">
        <f>IF(MonthlyFAME!K670=0,"",MonthlyFAME!K670)</f>
        <v>728</v>
      </c>
      <c r="K668" s="21">
        <f>IF(MonthlyFAME!L670=0,"",MonthlyFAME!L670)</f>
        <v>481.24387817300601</v>
      </c>
      <c r="L668" s="21">
        <f>IF(MonthlyFAME!M670=0,"",MonthlyFAME!M670)</f>
        <v>804.7</v>
      </c>
      <c r="M668" s="21" t="str">
        <f>IF(MonthlyFAME!N670=0,"",MonthlyFAME!N670)</f>
        <v/>
      </c>
      <c r="N668" s="21" t="str">
        <f>IF(MonthlyFAME!O670=0,"",MonthlyFAME!O670)</f>
        <v/>
      </c>
      <c r="O668" s="21" t="str">
        <f>IF(MonthlyFAME!P670=0,"",MonthlyFAME!P670)</f>
        <v/>
      </c>
      <c r="P668" s="21" t="str">
        <f>IF(MonthlyFAME!Q670=0,"",MonthlyFAME!Q670)</f>
        <v/>
      </c>
      <c r="Q668" s="21" t="str">
        <f>IF(MonthlyFAME!R670=0,"",MonthlyFAME!R670)</f>
        <v/>
      </c>
      <c r="R668" s="21" t="str">
        <f>IF(MonthlyFAME!S670=0,"",MonthlyFAME!S670)</f>
        <v/>
      </c>
      <c r="S668" s="21" t="str">
        <f>IF(MonthlyFAME!T670=0,"",MonthlyFAME!T670)</f>
        <v/>
      </c>
      <c r="T668" s="21">
        <f>IF(MonthlyFAME!U670=0,"",MonthlyFAME!U670)</f>
        <v>59.131818181818176</v>
      </c>
    </row>
    <row r="669" spans="1:20" x14ac:dyDescent="0.2">
      <c r="A669" s="23">
        <f>IF(MonthlyFAME!A671=0,"",MonthlyFAME!A671)</f>
        <v>42155</v>
      </c>
      <c r="B669" s="21">
        <f>IF(MonthlyFAME!B671=0,"",MonthlyFAME!B671)</f>
        <v>92.3</v>
      </c>
      <c r="C669" s="21">
        <f>IF(MonthlyFAME!C671=0,"",MonthlyFAME!C671)</f>
        <v>95.4</v>
      </c>
      <c r="D669" s="21">
        <f>IF(MonthlyFAME!D671=0,"",MonthlyFAME!D671)</f>
        <v>91.152100000000004</v>
      </c>
      <c r="E669" s="21">
        <f>IF(MonthlyFAME!F671=0,"",MonthlyFAME!F671)</f>
        <v>29087</v>
      </c>
      <c r="F669" s="21">
        <f>IF(MonthlyFAME!G671=0,"",MonthlyFAME!G671)</f>
        <v>37674</v>
      </c>
      <c r="G669" s="21">
        <f>IF(MonthlyFAME!H671=0,"",MonthlyFAME!H671)</f>
        <v>5.6538496555491484</v>
      </c>
      <c r="H669" s="21">
        <f>IF(MonthlyFAME!I671=0,"",MonthlyFAME!I671)</f>
        <v>31088</v>
      </c>
      <c r="I669" s="21">
        <f>IF(MonthlyFAME!J671=0,"",MonthlyFAME!J671)</f>
        <v>997.8</v>
      </c>
      <c r="J669" s="21">
        <f>IF(MonthlyFAME!K671=0,"",MonthlyFAME!K671)</f>
        <v>728</v>
      </c>
      <c r="K669" s="21">
        <f>IF(MonthlyFAME!L671=0,"",MonthlyFAME!L671)</f>
        <v>481.722384569177</v>
      </c>
      <c r="L669" s="21">
        <f>IF(MonthlyFAME!M671=0,"",MonthlyFAME!M671)</f>
        <v>795.8</v>
      </c>
      <c r="M669" s="21" t="str">
        <f>IF(MonthlyFAME!N671=0,"",MonthlyFAME!N671)</f>
        <v/>
      </c>
      <c r="N669" s="21" t="str">
        <f>IF(MonthlyFAME!O671=0,"",MonthlyFAME!O671)</f>
        <v/>
      </c>
      <c r="O669" s="21" t="str">
        <f>IF(MonthlyFAME!P671=0,"",MonthlyFAME!P671)</f>
        <v/>
      </c>
      <c r="P669" s="21" t="str">
        <f>IF(MonthlyFAME!Q671=0,"",MonthlyFAME!Q671)</f>
        <v/>
      </c>
      <c r="Q669" s="21" t="str">
        <f>IF(MonthlyFAME!R671=0,"",MonthlyFAME!R671)</f>
        <v/>
      </c>
      <c r="R669" s="21" t="str">
        <f>IF(MonthlyFAME!S671=0,"",MonthlyFAME!S671)</f>
        <v/>
      </c>
      <c r="S669" s="21" t="str">
        <f>IF(MonthlyFAME!T671=0,"",MonthlyFAME!T671)</f>
        <v/>
      </c>
      <c r="T669" s="21">
        <f>IF(MonthlyFAME!U671=0,"",MonthlyFAME!U671)</f>
        <v>64.087619047619057</v>
      </c>
    </row>
    <row r="670" spans="1:20" x14ac:dyDescent="0.2">
      <c r="A670" s="23">
        <f>IF(MonthlyFAME!A672=0,"",MonthlyFAME!A672)</f>
        <v>42185</v>
      </c>
      <c r="B670" s="21">
        <f>IF(MonthlyFAME!B672=0,"",MonthlyFAME!B672)</f>
        <v>92.2</v>
      </c>
      <c r="C670" s="21">
        <f>IF(MonthlyFAME!C672=0,"",MonthlyFAME!C672)</f>
        <v>95.5</v>
      </c>
      <c r="D670" s="21">
        <f>IF(MonthlyFAME!D672=0,"",MonthlyFAME!D672)</f>
        <v>91.063400000000001</v>
      </c>
      <c r="E670" s="21">
        <f>IF(MonthlyFAME!F672=0,"",MonthlyFAME!F672)</f>
        <v>28723</v>
      </c>
      <c r="F670" s="21">
        <f>IF(MonthlyFAME!G672=0,"",MonthlyFAME!G672)</f>
        <v>38488</v>
      </c>
      <c r="G670" s="21">
        <f>IF(MonthlyFAME!H672=0,"",MonthlyFAME!H672)</f>
        <v>5.6449413689664576</v>
      </c>
      <c r="H670" s="21">
        <f>IF(MonthlyFAME!I672=0,"",MonthlyFAME!I672)</f>
        <v>31140</v>
      </c>
      <c r="I670" s="21">
        <f>IF(MonthlyFAME!J672=0,"",MonthlyFAME!J672)</f>
        <v>999</v>
      </c>
      <c r="J670" s="21">
        <f>IF(MonthlyFAME!K672=0,"",MonthlyFAME!K672)</f>
        <v>732</v>
      </c>
      <c r="K670" s="21">
        <f>IF(MonthlyFAME!L672=0,"",MonthlyFAME!L672)</f>
        <v>480.74045694357801</v>
      </c>
      <c r="L670" s="21">
        <f>IF(MonthlyFAME!M672=0,"",MonthlyFAME!M672)</f>
        <v>794.7</v>
      </c>
      <c r="M670" s="21" t="str">
        <f>IF(MonthlyFAME!N672=0,"",MonthlyFAME!N672)</f>
        <v/>
      </c>
      <c r="N670" s="21" t="str">
        <f>IF(MonthlyFAME!O672=0,"",MonthlyFAME!O672)</f>
        <v/>
      </c>
      <c r="O670" s="21" t="str">
        <f>IF(MonthlyFAME!P672=0,"",MonthlyFAME!P672)</f>
        <v/>
      </c>
      <c r="P670" s="21" t="str">
        <f>IF(MonthlyFAME!Q672=0,"",MonthlyFAME!Q672)</f>
        <v/>
      </c>
      <c r="Q670" s="21" t="str">
        <f>IF(MonthlyFAME!R672=0,"",MonthlyFAME!R672)</f>
        <v/>
      </c>
      <c r="R670" s="21" t="str">
        <f>IF(MonthlyFAME!S672=0,"",MonthlyFAME!S672)</f>
        <v/>
      </c>
      <c r="S670" s="21" t="str">
        <f>IF(MonthlyFAME!T672=0,"",MonthlyFAME!T672)</f>
        <v/>
      </c>
      <c r="T670" s="21">
        <f>IF(MonthlyFAME!U672=0,"",MonthlyFAME!U672)</f>
        <v>61.470909090909096</v>
      </c>
    </row>
    <row r="671" spans="1:20" x14ac:dyDescent="0.2">
      <c r="A671" s="23">
        <f>IF(MonthlyFAME!A673=0,"",MonthlyFAME!A673)</f>
        <v>42216</v>
      </c>
      <c r="B671" s="21">
        <f>IF(MonthlyFAME!B673=0,"",MonthlyFAME!B673)</f>
        <v>92.7</v>
      </c>
      <c r="C671" s="21">
        <f>IF(MonthlyFAME!C673=0,"",MonthlyFAME!C673)</f>
        <v>95.3</v>
      </c>
      <c r="D671" s="21">
        <f>IF(MonthlyFAME!D673=0,"",MonthlyFAME!D673)</f>
        <v>91.668599999999998</v>
      </c>
      <c r="E671" s="21">
        <f>IF(MonthlyFAME!F673=0,"",MonthlyFAME!F673)</f>
        <v>26612</v>
      </c>
      <c r="F671" s="21">
        <f>IF(MonthlyFAME!G673=0,"",MonthlyFAME!G673)</f>
        <v>38952</v>
      </c>
      <c r="G671" s="21">
        <f>IF(MonthlyFAME!H673=0,"",MonthlyFAME!H673)</f>
        <v>5.5577405984328196</v>
      </c>
      <c r="H671" s="21">
        <f>IF(MonthlyFAME!I673=0,"",MonthlyFAME!I673)</f>
        <v>31216</v>
      </c>
      <c r="I671" s="21">
        <f>IF(MonthlyFAME!J673=0,"",MonthlyFAME!J673)</f>
        <v>997.5</v>
      </c>
      <c r="J671" s="21">
        <f>IF(MonthlyFAME!K673=0,"",MonthlyFAME!K673)</f>
        <v>742</v>
      </c>
      <c r="K671" s="21">
        <f>IF(MonthlyFAME!L673=0,"",MonthlyFAME!L673)</f>
        <v>483.899705299711</v>
      </c>
      <c r="L671" s="21">
        <f>IF(MonthlyFAME!M673=0,"",MonthlyFAME!M673)</f>
        <v>790.9</v>
      </c>
      <c r="M671" s="21" t="str">
        <f>IF(MonthlyFAME!N673=0,"",MonthlyFAME!N673)</f>
        <v/>
      </c>
      <c r="N671" s="21" t="str">
        <f>IF(MonthlyFAME!O673=0,"",MonthlyFAME!O673)</f>
        <v/>
      </c>
      <c r="O671" s="21" t="str">
        <f>IF(MonthlyFAME!P673=0,"",MonthlyFAME!P673)</f>
        <v/>
      </c>
      <c r="P671" s="21" t="str">
        <f>IF(MonthlyFAME!Q673=0,"",MonthlyFAME!Q673)</f>
        <v/>
      </c>
      <c r="Q671" s="21" t="str">
        <f>IF(MonthlyFAME!R673=0,"",MonthlyFAME!R673)</f>
        <v/>
      </c>
      <c r="R671" s="21" t="str">
        <f>IF(MonthlyFAME!S673=0,"",MonthlyFAME!S673)</f>
        <v/>
      </c>
      <c r="S671" s="21" t="str">
        <f>IF(MonthlyFAME!T673=0,"",MonthlyFAME!T673)</f>
        <v/>
      </c>
      <c r="T671" s="21">
        <f>IF(MonthlyFAME!U673=0,"",MonthlyFAME!U673)</f>
        <v>56.561304347826088</v>
      </c>
    </row>
    <row r="672" spans="1:20" x14ac:dyDescent="0.2">
      <c r="A672" s="23">
        <f>IF(MonthlyFAME!A674=0,"",MonthlyFAME!A674)</f>
        <v>42247</v>
      </c>
      <c r="B672" s="21">
        <f>IF(MonthlyFAME!B674=0,"",MonthlyFAME!B674)</f>
        <v>92.5</v>
      </c>
      <c r="C672" s="21">
        <f>IF(MonthlyFAME!C674=0,"",MonthlyFAME!C674)</f>
        <v>95.8</v>
      </c>
      <c r="D672" s="21">
        <f>IF(MonthlyFAME!D674=0,"",MonthlyFAME!D674)</f>
        <v>91.537199999999999</v>
      </c>
      <c r="E672" s="21">
        <f>IF(MonthlyFAME!F674=0,"",MonthlyFAME!F674)</f>
        <v>27888</v>
      </c>
      <c r="F672" s="21">
        <f>IF(MonthlyFAME!G674=0,"",MonthlyFAME!G674)</f>
        <v>37780</v>
      </c>
      <c r="G672" s="21">
        <f>IF(MonthlyFAME!H674=0,"",MonthlyFAME!H674)</f>
        <v>5.4323154677238747</v>
      </c>
      <c r="H672" s="21">
        <f>IF(MonthlyFAME!I674=0,"",MonthlyFAME!I674)</f>
        <v>31248</v>
      </c>
      <c r="I672" s="21">
        <f>IF(MonthlyFAME!J674=0,"",MonthlyFAME!J674)</f>
        <v>1000.1</v>
      </c>
      <c r="J672" s="21">
        <f>IF(MonthlyFAME!K674=0,"",MonthlyFAME!K674)</f>
        <v>742</v>
      </c>
      <c r="K672" s="21">
        <f>IF(MonthlyFAME!L674=0,"",MonthlyFAME!L674)</f>
        <v>484.31588896928798</v>
      </c>
      <c r="L672" s="21">
        <f>IF(MonthlyFAME!M674=0,"",MonthlyFAME!M674)</f>
        <v>785.2</v>
      </c>
      <c r="M672" s="21" t="str">
        <f>IF(MonthlyFAME!N674=0,"",MonthlyFAME!N674)</f>
        <v/>
      </c>
      <c r="N672" s="21" t="str">
        <f>IF(MonthlyFAME!O674=0,"",MonthlyFAME!O674)</f>
        <v/>
      </c>
      <c r="O672" s="21" t="str">
        <f>IF(MonthlyFAME!P674=0,"",MonthlyFAME!P674)</f>
        <v/>
      </c>
      <c r="P672" s="21" t="str">
        <f>IF(MonthlyFAME!Q674=0,"",MonthlyFAME!Q674)</f>
        <v/>
      </c>
      <c r="Q672" s="21" t="str">
        <f>IF(MonthlyFAME!R674=0,"",MonthlyFAME!R674)</f>
        <v/>
      </c>
      <c r="R672" s="21" t="str">
        <f>IF(MonthlyFAME!S674=0,"",MonthlyFAME!S674)</f>
        <v/>
      </c>
      <c r="S672" s="21" t="str">
        <f>IF(MonthlyFAME!T674=0,"",MonthlyFAME!T674)</f>
        <v/>
      </c>
      <c r="T672" s="21">
        <f>IF(MonthlyFAME!U674=0,"",MonthlyFAME!U674)</f>
        <v>46.58428571428572</v>
      </c>
    </row>
    <row r="673" spans="1:20" x14ac:dyDescent="0.2">
      <c r="A673" s="23">
        <f>IF(MonthlyFAME!A675=0,"",MonthlyFAME!A675)</f>
        <v>42277</v>
      </c>
      <c r="B673" s="21">
        <f>IF(MonthlyFAME!B675=0,"",MonthlyFAME!B675)</f>
        <v>92.7</v>
      </c>
      <c r="C673" s="21">
        <f>IF(MonthlyFAME!C675=0,"",MonthlyFAME!C675)</f>
        <v>95.7</v>
      </c>
      <c r="D673" s="21">
        <f>IF(MonthlyFAME!D675=0,"",MonthlyFAME!D675)</f>
        <v>91.738299999999995</v>
      </c>
      <c r="E673" s="21">
        <f>IF(MonthlyFAME!F675=0,"",MonthlyFAME!F675)</f>
        <v>27823</v>
      </c>
      <c r="F673" s="21">
        <f>IF(MonthlyFAME!G675=0,"",MonthlyFAME!G675)</f>
        <v>38458</v>
      </c>
      <c r="G673" s="21">
        <f>IF(MonthlyFAME!H675=0,"",MonthlyFAME!H675)</f>
        <v>5.3595678546639709</v>
      </c>
      <c r="H673" s="21">
        <f>IF(MonthlyFAME!I675=0,"",MonthlyFAME!I675)</f>
        <v>31361</v>
      </c>
      <c r="I673" s="21">
        <f>IF(MonthlyFAME!J675=0,"",MonthlyFAME!J675)</f>
        <v>999.3</v>
      </c>
      <c r="J673" s="21">
        <f>IF(MonthlyFAME!K675=0,"",MonthlyFAME!K675)</f>
        <v>742</v>
      </c>
      <c r="K673" s="21">
        <f>IF(MonthlyFAME!L675=0,"",MonthlyFAME!L675)</f>
        <v>482.71150132724</v>
      </c>
      <c r="L673" s="21">
        <f>IF(MonthlyFAME!M675=0,"",MonthlyFAME!M675)</f>
        <v>780.6</v>
      </c>
      <c r="M673" s="21" t="str">
        <f>IF(MonthlyFAME!N675=0,"",MonthlyFAME!N675)</f>
        <v/>
      </c>
      <c r="N673" s="21" t="str">
        <f>IF(MonthlyFAME!O675=0,"",MonthlyFAME!O675)</f>
        <v/>
      </c>
      <c r="O673" s="21" t="str">
        <f>IF(MonthlyFAME!P675=0,"",MonthlyFAME!P675)</f>
        <v/>
      </c>
      <c r="P673" s="21" t="str">
        <f>IF(MonthlyFAME!Q675=0,"",MonthlyFAME!Q675)</f>
        <v/>
      </c>
      <c r="Q673" s="21" t="str">
        <f>IF(MonthlyFAME!R675=0,"",MonthlyFAME!R675)</f>
        <v/>
      </c>
      <c r="R673" s="21" t="str">
        <f>IF(MonthlyFAME!S675=0,"",MonthlyFAME!S675)</f>
        <v/>
      </c>
      <c r="S673" s="21" t="str">
        <f>IF(MonthlyFAME!T675=0,"",MonthlyFAME!T675)</f>
        <v/>
      </c>
      <c r="T673" s="21">
        <f>IF(MonthlyFAME!U675=0,"",MonthlyFAME!U675)</f>
        <v>47.62318181818182</v>
      </c>
    </row>
    <row r="674" spans="1:20" x14ac:dyDescent="0.2">
      <c r="A674" s="23">
        <f>IF(MonthlyFAME!A676=0,"",MonthlyFAME!A676)</f>
        <v>42308</v>
      </c>
      <c r="B674" s="21">
        <f>IF(MonthlyFAME!B676=0,"",MonthlyFAME!B676)</f>
        <v>93</v>
      </c>
      <c r="C674" s="21">
        <f>IF(MonthlyFAME!C676=0,"",MonthlyFAME!C676)</f>
        <v>96.5</v>
      </c>
      <c r="D674" s="21">
        <f>IF(MonthlyFAME!D676=0,"",MonthlyFAME!D676)</f>
        <v>91.963399999999993</v>
      </c>
      <c r="E674" s="21">
        <f>IF(MonthlyFAME!F676=0,"",MonthlyFAME!F676)</f>
        <v>26899</v>
      </c>
      <c r="F674" s="21">
        <f>IF(MonthlyFAME!G676=0,"",MonthlyFAME!G676)</f>
        <v>40991</v>
      </c>
      <c r="G674" s="21">
        <f>IF(MonthlyFAME!H676=0,"",MonthlyFAME!H676)</f>
        <v>5.2173389161671233</v>
      </c>
      <c r="H674" s="21">
        <f>IF(MonthlyFAME!I676=0,"",MonthlyFAME!I676)</f>
        <v>31465</v>
      </c>
      <c r="I674" s="21">
        <f>IF(MonthlyFAME!J676=0,"",MonthlyFAME!J676)</f>
        <v>1008.6</v>
      </c>
      <c r="J674" s="21">
        <f>IF(MonthlyFAME!K676=0,"",MonthlyFAME!K676)</f>
        <v>741</v>
      </c>
      <c r="K674" s="21">
        <f>IF(MonthlyFAME!L676=0,"",MonthlyFAME!L676)</f>
        <v>483.52908818051401</v>
      </c>
      <c r="L674" s="21">
        <f>IF(MonthlyFAME!M676=0,"",MonthlyFAME!M676)</f>
        <v>776.9</v>
      </c>
      <c r="M674" s="21" t="str">
        <f>IF(MonthlyFAME!N676=0,"",MonthlyFAME!N676)</f>
        <v/>
      </c>
      <c r="N674" s="21" t="str">
        <f>IF(MonthlyFAME!O676=0,"",MonthlyFAME!O676)</f>
        <v/>
      </c>
      <c r="O674" s="21" t="str">
        <f>IF(MonthlyFAME!P676=0,"",MonthlyFAME!P676)</f>
        <v/>
      </c>
      <c r="P674" s="21" t="str">
        <f>IF(MonthlyFAME!Q676=0,"",MonthlyFAME!Q676)</f>
        <v/>
      </c>
      <c r="Q674" s="21" t="str">
        <f>IF(MonthlyFAME!R676=0,"",MonthlyFAME!R676)</f>
        <v/>
      </c>
      <c r="R674" s="21" t="str">
        <f>IF(MonthlyFAME!S676=0,"",MonthlyFAME!S676)</f>
        <v/>
      </c>
      <c r="S674" s="21" t="str">
        <f>IF(MonthlyFAME!T676=0,"",MonthlyFAME!T676)</f>
        <v/>
      </c>
      <c r="T674" s="21">
        <f>IF(MonthlyFAME!U676=0,"",MonthlyFAME!U676)</f>
        <v>48.43</v>
      </c>
    </row>
    <row r="675" spans="1:20" x14ac:dyDescent="0.2">
      <c r="A675" s="23">
        <f>IF(MonthlyFAME!A677=0,"",MonthlyFAME!A677)</f>
        <v>42338</v>
      </c>
      <c r="B675" s="21">
        <f>IF(MonthlyFAME!B677=0,"",MonthlyFAME!B677)</f>
        <v>92.9</v>
      </c>
      <c r="C675" s="21">
        <f>IF(MonthlyFAME!C677=0,"",MonthlyFAME!C677)</f>
        <v>95.2</v>
      </c>
      <c r="D675" s="21">
        <f>IF(MonthlyFAME!D677=0,"",MonthlyFAME!D677)</f>
        <v>92.075400000000002</v>
      </c>
      <c r="E675" s="21">
        <f>IF(MonthlyFAME!F677=0,"",MonthlyFAME!F677)</f>
        <v>27850</v>
      </c>
      <c r="F675" s="21">
        <f>IF(MonthlyFAME!G677=0,"",MonthlyFAME!G677)</f>
        <v>39504</v>
      </c>
      <c r="G675" s="21">
        <f>IF(MonthlyFAME!H677=0,"",MonthlyFAME!H677)</f>
        <v>5.1254286229922394</v>
      </c>
      <c r="H675" s="21">
        <f>IF(MonthlyFAME!I677=0,"",MonthlyFAME!I677)</f>
        <v>31542</v>
      </c>
      <c r="I675" s="21">
        <f>IF(MonthlyFAME!J677=0,"",MonthlyFAME!J677)</f>
        <v>1014.3</v>
      </c>
      <c r="J675" s="21">
        <f>IF(MonthlyFAME!K677=0,"",MonthlyFAME!K677)</f>
        <v>742</v>
      </c>
      <c r="K675" s="21">
        <f>IF(MonthlyFAME!L677=0,"",MonthlyFAME!L677)</f>
        <v>484.410826697863</v>
      </c>
      <c r="L675" s="21">
        <f>IF(MonthlyFAME!M677=0,"",MonthlyFAME!M677)</f>
        <v>771.5</v>
      </c>
      <c r="M675" s="21" t="str">
        <f>IF(MonthlyFAME!N677=0,"",MonthlyFAME!N677)</f>
        <v/>
      </c>
      <c r="N675" s="21" t="str">
        <f>IF(MonthlyFAME!O677=0,"",MonthlyFAME!O677)</f>
        <v/>
      </c>
      <c r="O675" s="21" t="str">
        <f>IF(MonthlyFAME!P677=0,"",MonthlyFAME!P677)</f>
        <v/>
      </c>
      <c r="P675" s="21" t="str">
        <f>IF(MonthlyFAME!Q677=0,"",MonthlyFAME!Q677)</f>
        <v/>
      </c>
      <c r="Q675" s="21" t="str">
        <f>IF(MonthlyFAME!R677=0,"",MonthlyFAME!R677)</f>
        <v/>
      </c>
      <c r="R675" s="21" t="str">
        <f>IF(MonthlyFAME!S677=0,"",MonthlyFAME!S677)</f>
        <v/>
      </c>
      <c r="S675" s="21" t="str">
        <f>IF(MonthlyFAME!T677=0,"",MonthlyFAME!T677)</f>
        <v/>
      </c>
      <c r="T675" s="21">
        <f>IF(MonthlyFAME!U677=0,"",MonthlyFAME!U677)</f>
        <v>44.267619047619057</v>
      </c>
    </row>
    <row r="676" spans="1:20" x14ac:dyDescent="0.2">
      <c r="A676" s="23">
        <f>IF(MonthlyFAME!A678=0,"",MonthlyFAME!A678)</f>
        <v>42369</v>
      </c>
      <c r="B676" s="21">
        <f>IF(MonthlyFAME!B678=0,"",MonthlyFAME!B678)</f>
        <v>93.3</v>
      </c>
      <c r="C676" s="21">
        <f>IF(MonthlyFAME!C678=0,"",MonthlyFAME!C678)</f>
        <v>94.8</v>
      </c>
      <c r="D676" s="21">
        <f>IF(MonthlyFAME!D678=0,"",MonthlyFAME!D678)</f>
        <v>92.495699999999999</v>
      </c>
      <c r="E676" s="21">
        <f>IF(MonthlyFAME!F678=0,"",MonthlyFAME!F678)</f>
        <v>28684</v>
      </c>
      <c r="F676" s="21">
        <f>IF(MonthlyFAME!G678=0,"",MonthlyFAME!G678)</f>
        <v>38682</v>
      </c>
      <c r="G676" s="21">
        <f>IF(MonthlyFAME!H678=0,"",MonthlyFAME!H678)</f>
        <v>5.124120935264771</v>
      </c>
      <c r="H676" s="21">
        <f>IF(MonthlyFAME!I678=0,"",MonthlyFAME!I678)</f>
        <v>31569</v>
      </c>
      <c r="I676" s="21">
        <f>IF(MonthlyFAME!J678=0,"",MonthlyFAME!J678)</f>
        <v>1019</v>
      </c>
      <c r="J676" s="21">
        <f>IF(MonthlyFAME!K678=0,"",MonthlyFAME!K678)</f>
        <v>743</v>
      </c>
      <c r="K676" s="21">
        <f>IF(MonthlyFAME!L678=0,"",MonthlyFAME!L678)</f>
        <v>486.88122954657001</v>
      </c>
      <c r="L676" s="21">
        <f>IF(MonthlyFAME!M678=0,"",MonthlyFAME!M678)</f>
        <v>769.6</v>
      </c>
      <c r="M676" s="21" t="str">
        <f>IF(MonthlyFAME!N678=0,"",MonthlyFAME!N678)</f>
        <v/>
      </c>
      <c r="N676" s="21" t="str">
        <f>IF(MonthlyFAME!O678=0,"",MonthlyFAME!O678)</f>
        <v/>
      </c>
      <c r="O676" s="21" t="str">
        <f>IF(MonthlyFAME!P678=0,"",MonthlyFAME!P678)</f>
        <v/>
      </c>
      <c r="P676" s="21" t="str">
        <f>IF(MonthlyFAME!Q678=0,"",MonthlyFAME!Q678)</f>
        <v/>
      </c>
      <c r="Q676" s="21" t="str">
        <f>IF(MonthlyFAME!R678=0,"",MonthlyFAME!R678)</f>
        <v/>
      </c>
      <c r="R676" s="21" t="str">
        <f>IF(MonthlyFAME!S678=0,"",MonthlyFAME!S678)</f>
        <v/>
      </c>
      <c r="S676" s="21" t="str">
        <f>IF(MonthlyFAME!T678=0,"",MonthlyFAME!T678)</f>
        <v/>
      </c>
      <c r="T676" s="21">
        <f>IF(MonthlyFAME!U678=0,"",MonthlyFAME!U678)</f>
        <v>37.96521739130435</v>
      </c>
    </row>
    <row r="677" spans="1:20" x14ac:dyDescent="0.2">
      <c r="A677" s="23">
        <f>IF(MonthlyFAME!A679=0,"",MonthlyFAME!A679)</f>
        <v>42400</v>
      </c>
      <c r="B677" s="21">
        <f>IF(MonthlyFAME!B679=0,"",MonthlyFAME!B679)</f>
        <v>93.2</v>
      </c>
      <c r="C677" s="21">
        <f>IF(MonthlyFAME!C679=0,"",MonthlyFAME!C679)</f>
        <v>95.3</v>
      </c>
      <c r="D677" s="21">
        <f>IF(MonthlyFAME!D679=0,"",MonthlyFAME!D679)</f>
        <v>92.497299999999996</v>
      </c>
      <c r="E677" s="21">
        <f>IF(MonthlyFAME!F679=0,"",MonthlyFAME!F679)</f>
        <v>27934</v>
      </c>
      <c r="F677" s="21">
        <f>IF(MonthlyFAME!G679=0,"",MonthlyFAME!G679)</f>
        <v>37731</v>
      </c>
      <c r="G677" s="21">
        <f>IF(MonthlyFAME!H679=0,"",MonthlyFAME!H679)</f>
        <v>5.1152586180987587</v>
      </c>
      <c r="H677" s="21">
        <f>IF(MonthlyFAME!I679=0,"",MonthlyFAME!I679)</f>
        <v>31571</v>
      </c>
      <c r="I677" s="21">
        <f>IF(MonthlyFAME!J679=0,"",MonthlyFAME!J679)</f>
        <v>1014.5</v>
      </c>
      <c r="J677" s="21">
        <f>IF(MonthlyFAME!K679=0,"",MonthlyFAME!K679)</f>
        <v>746</v>
      </c>
      <c r="K677" s="21">
        <f>IF(MonthlyFAME!L679=0,"",MonthlyFAME!L679)</f>
        <v>488.99549044623899</v>
      </c>
      <c r="L677" s="21">
        <f>IF(MonthlyFAME!M679=0,"",MonthlyFAME!M679)</f>
        <v>764.8</v>
      </c>
      <c r="M677" s="21" t="str">
        <f>IF(MonthlyFAME!N679=0,"",MonthlyFAME!N679)</f>
        <v/>
      </c>
      <c r="N677" s="21" t="str">
        <f>IF(MonthlyFAME!O679=0,"",MonthlyFAME!O679)</f>
        <v/>
      </c>
      <c r="O677" s="21" t="str">
        <f>IF(MonthlyFAME!P679=0,"",MonthlyFAME!P679)</f>
        <v/>
      </c>
      <c r="P677" s="21" t="str">
        <f>IF(MonthlyFAME!Q679=0,"",MonthlyFAME!Q679)</f>
        <v/>
      </c>
      <c r="Q677" s="21" t="str">
        <f>IF(MonthlyFAME!R679=0,"",MonthlyFAME!R679)</f>
        <v/>
      </c>
      <c r="R677" s="21" t="str">
        <f>IF(MonthlyFAME!S679=0,"",MonthlyFAME!S679)</f>
        <v/>
      </c>
      <c r="S677" s="21" t="str">
        <f>IF(MonthlyFAME!T679=0,"",MonthlyFAME!T679)</f>
        <v/>
      </c>
      <c r="T677" s="21">
        <f>IF(MonthlyFAME!U679=0,"",MonthlyFAME!U679)</f>
        <v>30.972380952380952</v>
      </c>
    </row>
    <row r="678" spans="1:20" x14ac:dyDescent="0.2">
      <c r="A678" s="23">
        <f>IF(MonthlyFAME!A680=0,"",MonthlyFAME!A680)</f>
        <v>42429</v>
      </c>
      <c r="B678" s="21">
        <f>IF(MonthlyFAME!B680=0,"",MonthlyFAME!B680)</f>
        <v>93.5</v>
      </c>
      <c r="C678" s="21">
        <f>IF(MonthlyFAME!C680=0,"",MonthlyFAME!C680)</f>
        <v>94.8</v>
      </c>
      <c r="D678" s="21">
        <f>IF(MonthlyFAME!D680=0,"",MonthlyFAME!D680)</f>
        <v>93.045100000000005</v>
      </c>
      <c r="E678" s="21">
        <f>IF(MonthlyFAME!F680=0,"",MonthlyFAME!F680)</f>
        <v>27530</v>
      </c>
      <c r="F678" s="21">
        <f>IF(MonthlyFAME!G680=0,"",MonthlyFAME!G680)</f>
        <v>40326</v>
      </c>
      <c r="G678" s="21">
        <f>IF(MonthlyFAME!H680=0,"",MonthlyFAME!H680)</f>
        <v>5.1586944119148423</v>
      </c>
      <c r="H678" s="21">
        <f>IF(MonthlyFAME!I680=0,"",MonthlyFAME!I680)</f>
        <v>31585</v>
      </c>
      <c r="I678" s="21">
        <f>IF(MonthlyFAME!J680=0,"",MonthlyFAME!J680)</f>
        <v>1012.9</v>
      </c>
      <c r="J678" s="21">
        <f>IF(MonthlyFAME!K680=0,"",MonthlyFAME!K680)</f>
        <v>745</v>
      </c>
      <c r="K678" s="21">
        <f>IF(MonthlyFAME!L680=0,"",MonthlyFAME!L680)</f>
        <v>485.80392076678601</v>
      </c>
      <c r="L678" s="21">
        <f>IF(MonthlyFAME!M680=0,"",MonthlyFAME!M680)</f>
        <v>758.5</v>
      </c>
      <c r="M678" s="21" t="str">
        <f>IF(MonthlyFAME!N680=0,"",MonthlyFAME!N680)</f>
        <v/>
      </c>
      <c r="N678" s="21" t="str">
        <f>IF(MonthlyFAME!O680=0,"",MonthlyFAME!O680)</f>
        <v/>
      </c>
      <c r="O678" s="21" t="str">
        <f>IF(MonthlyFAME!P680=0,"",MonthlyFAME!P680)</f>
        <v/>
      </c>
      <c r="P678" s="21" t="str">
        <f>IF(MonthlyFAME!Q680=0,"",MonthlyFAME!Q680)</f>
        <v/>
      </c>
      <c r="Q678" s="21" t="str">
        <f>IF(MonthlyFAME!R680=0,"",MonthlyFAME!R680)</f>
        <v/>
      </c>
      <c r="R678" s="21" t="str">
        <f>IF(MonthlyFAME!S680=0,"",MonthlyFAME!S680)</f>
        <v/>
      </c>
      <c r="S678" s="21" t="str">
        <f>IF(MonthlyFAME!T680=0,"",MonthlyFAME!T680)</f>
        <v/>
      </c>
      <c r="T678" s="21">
        <f>IF(MonthlyFAME!U680=0,"",MonthlyFAME!U680)</f>
        <v>32.200476190476188</v>
      </c>
    </row>
    <row r="679" spans="1:20" x14ac:dyDescent="0.2">
      <c r="A679" s="23">
        <f>IF(MonthlyFAME!A681=0,"",MonthlyFAME!A681)</f>
        <v>42460</v>
      </c>
      <c r="B679" s="21">
        <f>IF(MonthlyFAME!B681=0,"",MonthlyFAME!B681)</f>
        <v>93.7</v>
      </c>
      <c r="C679" s="21">
        <f>IF(MonthlyFAME!C681=0,"",MonthlyFAME!C681)</f>
        <v>94.8</v>
      </c>
      <c r="D679" s="21">
        <f>IF(MonthlyFAME!D681=0,"",MonthlyFAME!D681)</f>
        <v>93.3339</v>
      </c>
      <c r="E679" s="21">
        <f>IF(MonthlyFAME!F681=0,"",MonthlyFAME!F681)</f>
        <v>27184</v>
      </c>
      <c r="F679" s="21">
        <f>IF(MonthlyFAME!G681=0,"",MonthlyFAME!G681)</f>
        <v>40665</v>
      </c>
      <c r="G679" s="21">
        <f>IF(MonthlyFAME!H681=0,"",MonthlyFAME!H681)</f>
        <v>5.11889035667107</v>
      </c>
      <c r="H679" s="21">
        <f>IF(MonthlyFAME!I681=0,"",MonthlyFAME!I681)</f>
        <v>31603</v>
      </c>
      <c r="I679" s="21">
        <f>IF(MonthlyFAME!J681=0,"",MonthlyFAME!J681)</f>
        <v>1013.9</v>
      </c>
      <c r="J679" s="21">
        <f>IF(MonthlyFAME!K681=0,"",MonthlyFAME!K681)</f>
        <v>746</v>
      </c>
      <c r="K679" s="21">
        <f>IF(MonthlyFAME!L681=0,"",MonthlyFAME!L681)</f>
        <v>489.84831585791602</v>
      </c>
      <c r="L679" s="21">
        <f>IF(MonthlyFAME!M681=0,"",MonthlyFAME!M681)</f>
        <v>766.5</v>
      </c>
      <c r="M679" s="21" t="str">
        <f>IF(MonthlyFAME!N681=0,"",MonthlyFAME!N681)</f>
        <v/>
      </c>
      <c r="N679" s="21" t="str">
        <f>IF(MonthlyFAME!O681=0,"",MonthlyFAME!O681)</f>
        <v/>
      </c>
      <c r="O679" s="21" t="str">
        <f>IF(MonthlyFAME!P681=0,"",MonthlyFAME!P681)</f>
        <v/>
      </c>
      <c r="P679" s="21" t="str">
        <f>IF(MonthlyFAME!Q681=0,"",MonthlyFAME!Q681)</f>
        <v/>
      </c>
      <c r="Q679" s="21" t="str">
        <f>IF(MonthlyFAME!R681=0,"",MonthlyFAME!R681)</f>
        <v/>
      </c>
      <c r="R679" s="21" t="str">
        <f>IF(MonthlyFAME!S681=0,"",MonthlyFAME!S681)</f>
        <v/>
      </c>
      <c r="S679" s="21" t="str">
        <f>IF(MonthlyFAME!T681=0,"",MonthlyFAME!T681)</f>
        <v/>
      </c>
      <c r="T679" s="21">
        <f>IF(MonthlyFAME!U681=0,"",MonthlyFAME!U681)</f>
        <v>38.426956521739136</v>
      </c>
    </row>
    <row r="680" spans="1:20" x14ac:dyDescent="0.2">
      <c r="A680" s="23">
        <f>IF(MonthlyFAME!A682=0,"",MonthlyFAME!A682)</f>
        <v>42490</v>
      </c>
      <c r="B680" s="21">
        <f>IF(MonthlyFAME!B682=0,"",MonthlyFAME!B682)</f>
        <v>94.2</v>
      </c>
      <c r="C680" s="21">
        <f>IF(MonthlyFAME!C682=0,"",MonthlyFAME!C682)</f>
        <v>97.3</v>
      </c>
      <c r="D680" s="21">
        <f>IF(MonthlyFAME!D682=0,"",MonthlyFAME!D682)</f>
        <v>93.484899999999996</v>
      </c>
      <c r="E680" s="21">
        <f>IF(MonthlyFAME!F682=0,"",MonthlyFAME!F682)</f>
        <v>29714</v>
      </c>
      <c r="F680" s="21">
        <f>IF(MonthlyFAME!G682=0,"",MonthlyFAME!G682)</f>
        <v>41751</v>
      </c>
      <c r="G680" s="21">
        <f>IF(MonthlyFAME!H682=0,"",MonthlyFAME!H682)</f>
        <v>5.0570228091236498</v>
      </c>
      <c r="H680" s="21">
        <f>IF(MonthlyFAME!I682=0,"",MonthlyFAME!I682)</f>
        <v>31635</v>
      </c>
      <c r="I680" s="21">
        <f>IF(MonthlyFAME!J682=0,"",MonthlyFAME!J682)</f>
        <v>1014.7</v>
      </c>
      <c r="J680" s="21">
        <f>IF(MonthlyFAME!K682=0,"",MonthlyFAME!K682)</f>
        <v>745</v>
      </c>
      <c r="K680" s="21">
        <f>IF(MonthlyFAME!L682=0,"",MonthlyFAME!L682)</f>
        <v>495.29342686047897</v>
      </c>
      <c r="L680" s="21">
        <f>IF(MonthlyFAME!M682=0,"",MonthlyFAME!M682)</f>
        <v>765.1</v>
      </c>
      <c r="M680" s="21" t="str">
        <f>IF(MonthlyFAME!N682=0,"",MonthlyFAME!N682)</f>
        <v/>
      </c>
      <c r="N680" s="21" t="str">
        <f>IF(MonthlyFAME!O682=0,"",MonthlyFAME!O682)</f>
        <v/>
      </c>
      <c r="O680" s="21" t="str">
        <f>IF(MonthlyFAME!P682=0,"",MonthlyFAME!P682)</f>
        <v/>
      </c>
      <c r="P680" s="21" t="str">
        <f>IF(MonthlyFAME!Q682=0,"",MonthlyFAME!Q682)</f>
        <v/>
      </c>
      <c r="Q680" s="21" t="str">
        <f>IF(MonthlyFAME!R682=0,"",MonthlyFAME!R682)</f>
        <v/>
      </c>
      <c r="R680" s="21" t="str">
        <f>IF(MonthlyFAME!S682=0,"",MonthlyFAME!S682)</f>
        <v/>
      </c>
      <c r="S680" s="21" t="str">
        <f>IF(MonthlyFAME!T682=0,"",MonthlyFAME!T682)</f>
        <v/>
      </c>
      <c r="T680" s="21">
        <f>IF(MonthlyFAME!U682=0,"",MonthlyFAME!U682)</f>
        <v>41.583333333333336</v>
      </c>
    </row>
    <row r="681" spans="1:20" x14ac:dyDescent="0.2">
      <c r="A681" s="23">
        <f>IF(MonthlyFAME!A683=0,"",MonthlyFAME!A683)</f>
        <v>42521</v>
      </c>
      <c r="B681" s="21">
        <f>IF(MonthlyFAME!B683=0,"",MonthlyFAME!B683)</f>
        <v>94</v>
      </c>
      <c r="C681" s="21">
        <f>IF(MonthlyFAME!C683=0,"",MonthlyFAME!C683)</f>
        <v>95.8</v>
      </c>
      <c r="D681" s="21">
        <f>IF(MonthlyFAME!D683=0,"",MonthlyFAME!D683)</f>
        <v>93.498900000000006</v>
      </c>
      <c r="E681" s="21">
        <f>IF(MonthlyFAME!F683=0,"",MonthlyFAME!F683)</f>
        <v>28635</v>
      </c>
      <c r="F681" s="21">
        <f>IF(MonthlyFAME!G683=0,"",MonthlyFAME!G683)</f>
        <v>38463</v>
      </c>
      <c r="G681" s="21">
        <f>IF(MonthlyFAME!H683=0,"",MonthlyFAME!H683)</f>
        <v>4.9895240945824604</v>
      </c>
      <c r="H681" s="21">
        <f>IF(MonthlyFAME!I683=0,"",MonthlyFAME!I683)</f>
        <v>31743</v>
      </c>
      <c r="I681" s="21">
        <f>IF(MonthlyFAME!J683=0,"",MonthlyFAME!J683)</f>
        <v>1018</v>
      </c>
      <c r="J681" s="21">
        <f>IF(MonthlyFAME!K683=0,"",MonthlyFAME!K683)</f>
        <v>748</v>
      </c>
      <c r="K681" s="21">
        <f>IF(MonthlyFAME!L683=0,"",MonthlyFAME!L683)</f>
        <v>493.115635203419</v>
      </c>
      <c r="L681" s="21">
        <f>IF(MonthlyFAME!M683=0,"",MonthlyFAME!M683)</f>
        <v>767.3</v>
      </c>
      <c r="M681" s="21" t="str">
        <f>IF(MonthlyFAME!N683=0,"",MonthlyFAME!N683)</f>
        <v/>
      </c>
      <c r="N681" s="21" t="str">
        <f>IF(MonthlyFAME!O683=0,"",MonthlyFAME!O683)</f>
        <v/>
      </c>
      <c r="O681" s="21" t="str">
        <f>IF(MonthlyFAME!P683=0,"",MonthlyFAME!P683)</f>
        <v/>
      </c>
      <c r="P681" s="21" t="str">
        <f>IF(MonthlyFAME!Q683=0,"",MonthlyFAME!Q683)</f>
        <v/>
      </c>
      <c r="Q681" s="21" t="str">
        <f>IF(MonthlyFAME!R683=0,"",MonthlyFAME!R683)</f>
        <v/>
      </c>
      <c r="R681" s="21" t="str">
        <f>IF(MonthlyFAME!S683=0,"",MonthlyFAME!S683)</f>
        <v/>
      </c>
      <c r="S681" s="21" t="str">
        <f>IF(MonthlyFAME!T683=0,"",MonthlyFAME!T683)</f>
        <v/>
      </c>
      <c r="T681" s="21">
        <f>IF(MonthlyFAME!U683=0,"",MonthlyFAME!U683)</f>
        <v>46.840909090909093</v>
      </c>
    </row>
    <row r="682" spans="1:20" x14ac:dyDescent="0.2">
      <c r="A682" s="23">
        <f>IF(MonthlyFAME!A684=0,"",MonthlyFAME!A684)</f>
        <v>42551</v>
      </c>
      <c r="B682" s="21">
        <f>IF(MonthlyFAME!B684=0,"",MonthlyFAME!B684)</f>
        <v>94.1</v>
      </c>
      <c r="C682" s="21">
        <f>IF(MonthlyFAME!C684=0,"",MonthlyFAME!C684)</f>
        <v>94.9</v>
      </c>
      <c r="D682" s="21">
        <f>IF(MonthlyFAME!D684=0,"",MonthlyFAME!D684)</f>
        <v>93.843299999999999</v>
      </c>
      <c r="E682" s="21">
        <f>IF(MonthlyFAME!F684=0,"",MonthlyFAME!F684)</f>
        <v>27416</v>
      </c>
      <c r="F682" s="21">
        <f>IF(MonthlyFAME!G684=0,"",MonthlyFAME!G684)</f>
        <v>40588</v>
      </c>
      <c r="G682" s="21">
        <f>IF(MonthlyFAME!H684=0,"",MonthlyFAME!H684)</f>
        <v>4.9729374121587275</v>
      </c>
      <c r="H682" s="21">
        <f>IF(MonthlyFAME!I684=0,"",MonthlyFAME!I684)</f>
        <v>31778</v>
      </c>
      <c r="I682" s="21">
        <f>IF(MonthlyFAME!J684=0,"",MonthlyFAME!J684)</f>
        <v>1016.5</v>
      </c>
      <c r="J682" s="21">
        <f>IF(MonthlyFAME!K684=0,"",MonthlyFAME!K684)</f>
        <v>750</v>
      </c>
      <c r="K682" s="21">
        <f>IF(MonthlyFAME!L684=0,"",MonthlyFAME!L684)</f>
        <v>493.07361912373602</v>
      </c>
      <c r="L682" s="21">
        <f>IF(MonthlyFAME!M684=0,"",MonthlyFAME!M684)</f>
        <v>772.4</v>
      </c>
      <c r="M682" s="21" t="str">
        <f>IF(MonthlyFAME!N684=0,"",MonthlyFAME!N684)</f>
        <v/>
      </c>
      <c r="N682" s="21" t="str">
        <f>IF(MonthlyFAME!O684=0,"",MonthlyFAME!O684)</f>
        <v/>
      </c>
      <c r="O682" s="21" t="str">
        <f>IF(MonthlyFAME!P684=0,"",MonthlyFAME!P684)</f>
        <v/>
      </c>
      <c r="P682" s="21" t="str">
        <f>IF(MonthlyFAME!Q684=0,"",MonthlyFAME!Q684)</f>
        <v/>
      </c>
      <c r="Q682" s="21" t="str">
        <f>IF(MonthlyFAME!R684=0,"",MonthlyFAME!R684)</f>
        <v/>
      </c>
      <c r="R682" s="21" t="str">
        <f>IF(MonthlyFAME!S684=0,"",MonthlyFAME!S684)</f>
        <v/>
      </c>
      <c r="S682" s="21" t="str">
        <f>IF(MonthlyFAME!T684=0,"",MonthlyFAME!T684)</f>
        <v/>
      </c>
      <c r="T682" s="21">
        <f>IF(MonthlyFAME!U684=0,"",MonthlyFAME!U684)</f>
        <v>48.247272727272723</v>
      </c>
    </row>
    <row r="683" spans="1:20" x14ac:dyDescent="0.2">
      <c r="A683" s="23">
        <f>IF(MonthlyFAME!A685=0,"",MonthlyFAME!A685)</f>
        <v>42582</v>
      </c>
      <c r="B683" s="21">
        <f>IF(MonthlyFAME!B685=0,"",MonthlyFAME!B685)</f>
        <v>94.2</v>
      </c>
      <c r="C683" s="21">
        <f>IF(MonthlyFAME!C685=0,"",MonthlyFAME!C685)</f>
        <v>94.9</v>
      </c>
      <c r="D683" s="21">
        <f>IF(MonthlyFAME!D685=0,"",MonthlyFAME!D685)</f>
        <v>93.947699999999998</v>
      </c>
      <c r="E683" s="21">
        <f>IF(MonthlyFAME!F685=0,"",MonthlyFAME!F685)</f>
        <v>26736</v>
      </c>
      <c r="F683" s="21">
        <f>IF(MonthlyFAME!G685=0,"",MonthlyFAME!G685)</f>
        <v>40370</v>
      </c>
      <c r="G683" s="21">
        <f>IF(MonthlyFAME!H685=0,"",MonthlyFAME!H685)</f>
        <v>4.9453176358094781</v>
      </c>
      <c r="H683" s="21">
        <f>IF(MonthlyFAME!I685=0,"",MonthlyFAME!I685)</f>
        <v>31811</v>
      </c>
      <c r="I683" s="21">
        <f>IF(MonthlyFAME!J685=0,"",MonthlyFAME!J685)</f>
        <v>1018.3</v>
      </c>
      <c r="J683" s="21">
        <f>IF(MonthlyFAME!K685=0,"",MonthlyFAME!K685)</f>
        <v>749</v>
      </c>
      <c r="K683" s="21">
        <f>IF(MonthlyFAME!L685=0,"",MonthlyFAME!L685)</f>
        <v>495.84867279321003</v>
      </c>
      <c r="L683" s="21">
        <f>IF(MonthlyFAME!M685=0,"",MonthlyFAME!M685)</f>
        <v>772.1</v>
      </c>
      <c r="M683" s="21" t="str">
        <f>IF(MonthlyFAME!N685=0,"",MonthlyFAME!N685)</f>
        <v/>
      </c>
      <c r="N683" s="21" t="str">
        <f>IF(MonthlyFAME!O685=0,"",MonthlyFAME!O685)</f>
        <v/>
      </c>
      <c r="O683" s="21" t="str">
        <f>IF(MonthlyFAME!P685=0,"",MonthlyFAME!P685)</f>
        <v/>
      </c>
      <c r="P683" s="21" t="str">
        <f>IF(MonthlyFAME!Q685=0,"",MonthlyFAME!Q685)</f>
        <v/>
      </c>
      <c r="Q683" s="21" t="str">
        <f>IF(MonthlyFAME!R685=0,"",MonthlyFAME!R685)</f>
        <v/>
      </c>
      <c r="R683" s="21" t="str">
        <f>IF(MonthlyFAME!S685=0,"",MonthlyFAME!S685)</f>
        <v/>
      </c>
      <c r="S683" s="21" t="str">
        <f>IF(MonthlyFAME!T685=0,"",MonthlyFAME!T685)</f>
        <v/>
      </c>
      <c r="T683" s="21">
        <f>IF(MonthlyFAME!U685=0,"",MonthlyFAME!U685)</f>
        <v>44.951904761904771</v>
      </c>
    </row>
    <row r="684" spans="1:20" x14ac:dyDescent="0.2">
      <c r="A684" s="23">
        <f>IF(MonthlyFAME!A686=0,"",MonthlyFAME!A686)</f>
        <v>42613</v>
      </c>
      <c r="B684" s="21">
        <f>IF(MonthlyFAME!B686=0,"",MonthlyFAME!B686)</f>
        <v>94.5</v>
      </c>
      <c r="C684" s="21">
        <f>IF(MonthlyFAME!C686=0,"",MonthlyFAME!C686)</f>
        <v>94.5</v>
      </c>
      <c r="D684" s="21">
        <f>IF(MonthlyFAME!D686=0,"",MonthlyFAME!D686)</f>
        <v>94.445300000000003</v>
      </c>
      <c r="E684" s="21">
        <f>IF(MonthlyFAME!F686=0,"",MonthlyFAME!F686)</f>
        <v>27346</v>
      </c>
      <c r="F684" s="21">
        <f>IF(MonthlyFAME!G686=0,"",MonthlyFAME!G686)</f>
        <v>42438</v>
      </c>
      <c r="G684" s="21">
        <f>IF(MonthlyFAME!H686=0,"",MonthlyFAME!H686)</f>
        <v>5.0369796015746156</v>
      </c>
      <c r="H684" s="21">
        <f>IF(MonthlyFAME!I686=0,"",MonthlyFAME!I686)</f>
        <v>31843</v>
      </c>
      <c r="I684" s="21">
        <f>IF(MonthlyFAME!J686=0,"",MonthlyFAME!J686)</f>
        <v>1016.2</v>
      </c>
      <c r="J684" s="21">
        <f>IF(MonthlyFAME!K686=0,"",MonthlyFAME!K686)</f>
        <v>753</v>
      </c>
      <c r="K684" s="21">
        <f>IF(MonthlyFAME!L686=0,"",MonthlyFAME!L686)</f>
        <v>494.47820503686199</v>
      </c>
      <c r="L684" s="21">
        <f>IF(MonthlyFAME!M686=0,"",MonthlyFAME!M686)</f>
        <v>776.7</v>
      </c>
      <c r="M684" s="21" t="str">
        <f>IF(MonthlyFAME!N686=0,"",MonthlyFAME!N686)</f>
        <v/>
      </c>
      <c r="N684" s="21" t="str">
        <f>IF(MonthlyFAME!O686=0,"",MonthlyFAME!O686)</f>
        <v/>
      </c>
      <c r="O684" s="21" t="str">
        <f>IF(MonthlyFAME!P686=0,"",MonthlyFAME!P686)</f>
        <v/>
      </c>
      <c r="P684" s="21" t="str">
        <f>IF(MonthlyFAME!Q686=0,"",MonthlyFAME!Q686)</f>
        <v/>
      </c>
      <c r="Q684" s="21" t="str">
        <f>IF(MonthlyFAME!R686=0,"",MonthlyFAME!R686)</f>
        <v/>
      </c>
      <c r="R684" s="21" t="str">
        <f>IF(MonthlyFAME!S686=0,"",MonthlyFAME!S686)</f>
        <v/>
      </c>
      <c r="S684" s="21" t="str">
        <f>IF(MonthlyFAME!T686=0,"",MonthlyFAME!T686)</f>
        <v/>
      </c>
      <c r="T684" s="21">
        <f>IF(MonthlyFAME!U686=0,"",MonthlyFAME!U686)</f>
        <v>45.755652173913049</v>
      </c>
    </row>
    <row r="685" spans="1:20" x14ac:dyDescent="0.2">
      <c r="A685" s="23">
        <f>IF(MonthlyFAME!A687=0,"",MonthlyFAME!A687)</f>
        <v>42643</v>
      </c>
      <c r="B685" s="21">
        <f>IF(MonthlyFAME!B687=0,"",MonthlyFAME!B687)</f>
        <v>95</v>
      </c>
      <c r="C685" s="21">
        <f>IF(MonthlyFAME!C687=0,"",MonthlyFAME!C687)</f>
        <v>94.6</v>
      </c>
      <c r="D685" s="21">
        <f>IF(MonthlyFAME!D687=0,"",MonthlyFAME!D687)</f>
        <v>95.0471</v>
      </c>
      <c r="E685" s="21">
        <f>IF(MonthlyFAME!F687=0,"",MonthlyFAME!F687)</f>
        <v>27250</v>
      </c>
      <c r="F685" s="21">
        <f>IF(MonthlyFAME!G687=0,"",MonthlyFAME!G687)</f>
        <v>41814</v>
      </c>
      <c r="G685" s="21">
        <f>IF(MonthlyFAME!H687=0,"",MonthlyFAME!H687)</f>
        <v>4.8923269914279741</v>
      </c>
      <c r="H685" s="21">
        <f>IF(MonthlyFAME!I687=0,"",MonthlyFAME!I687)</f>
        <v>31843</v>
      </c>
      <c r="I685" s="21">
        <f>IF(MonthlyFAME!J687=0,"",MonthlyFAME!J687)</f>
        <v>1018.9</v>
      </c>
      <c r="J685" s="21">
        <f>IF(MonthlyFAME!K687=0,"",MonthlyFAME!K687)</f>
        <v>755</v>
      </c>
      <c r="K685" s="21">
        <f>IF(MonthlyFAME!L687=0,"",MonthlyFAME!L687)</f>
        <v>494.80596248885797</v>
      </c>
      <c r="L685" s="21">
        <f>IF(MonthlyFAME!M687=0,"",MonthlyFAME!M687)</f>
        <v>779.6</v>
      </c>
      <c r="M685" s="21" t="str">
        <f>IF(MonthlyFAME!N687=0,"",MonthlyFAME!N687)</f>
        <v/>
      </c>
      <c r="N685" s="21" t="str">
        <f>IF(MonthlyFAME!O687=0,"",MonthlyFAME!O687)</f>
        <v/>
      </c>
      <c r="O685" s="21" t="str">
        <f>IF(MonthlyFAME!P687=0,"",MonthlyFAME!P687)</f>
        <v/>
      </c>
      <c r="P685" s="21" t="str">
        <f>IF(MonthlyFAME!Q687=0,"",MonthlyFAME!Q687)</f>
        <v/>
      </c>
      <c r="Q685" s="21" t="str">
        <f>IF(MonthlyFAME!R687=0,"",MonthlyFAME!R687)</f>
        <v/>
      </c>
      <c r="R685" s="21" t="str">
        <f>IF(MonthlyFAME!S687=0,"",MonthlyFAME!S687)</f>
        <v/>
      </c>
      <c r="S685" s="21" t="str">
        <f>IF(MonthlyFAME!T687=0,"",MonthlyFAME!T687)</f>
        <v/>
      </c>
      <c r="T685" s="21">
        <f>IF(MonthlyFAME!U687=0,"",MonthlyFAME!U687)</f>
        <v>46.567727272727275</v>
      </c>
    </row>
    <row r="686" spans="1:20" x14ac:dyDescent="0.2">
      <c r="A686" s="23">
        <f>IF(MonthlyFAME!A688=0,"",MonthlyFAME!A688)</f>
        <v>42674</v>
      </c>
      <c r="B686" s="21">
        <f>IF(MonthlyFAME!B688=0,"",MonthlyFAME!B688)</f>
        <v>94.7</v>
      </c>
      <c r="C686" s="21">
        <f>IF(MonthlyFAME!C688=0,"",MonthlyFAME!C688)</f>
        <v>92.5</v>
      </c>
      <c r="D686" s="21">
        <f>IF(MonthlyFAME!D688=0,"",MonthlyFAME!D688)</f>
        <v>95.115899999999996</v>
      </c>
      <c r="E686" s="21">
        <f>IF(MonthlyFAME!F688=0,"",MonthlyFAME!F688)</f>
        <v>27825</v>
      </c>
      <c r="F686" s="21">
        <f>IF(MonthlyFAME!G688=0,"",MonthlyFAME!G688)</f>
        <v>38827</v>
      </c>
      <c r="G686" s="21">
        <f>IF(MonthlyFAME!H688=0,"",MonthlyFAME!H688)</f>
        <v>4.8834429169157199</v>
      </c>
      <c r="H686" s="21">
        <f>IF(MonthlyFAME!I688=0,"",MonthlyFAME!I688)</f>
        <v>31826</v>
      </c>
      <c r="I686" s="21">
        <f>IF(MonthlyFAME!J688=0,"",MonthlyFAME!J688)</f>
        <v>1014.8</v>
      </c>
      <c r="J686" s="21">
        <f>IF(MonthlyFAME!K688=0,"",MonthlyFAME!K688)</f>
        <v>762</v>
      </c>
      <c r="K686" s="21">
        <f>IF(MonthlyFAME!L688=0,"",MonthlyFAME!L688)</f>
        <v>496.84656599667397</v>
      </c>
      <c r="L686" s="21">
        <f>IF(MonthlyFAME!M688=0,"",MonthlyFAME!M688)</f>
        <v>783</v>
      </c>
      <c r="M686" s="21" t="str">
        <f>IF(MonthlyFAME!N688=0,"",MonthlyFAME!N688)</f>
        <v/>
      </c>
      <c r="N686" s="21" t="str">
        <f>IF(MonthlyFAME!O688=0,"",MonthlyFAME!O688)</f>
        <v/>
      </c>
      <c r="O686" s="21" t="str">
        <f>IF(MonthlyFAME!P688=0,"",MonthlyFAME!P688)</f>
        <v/>
      </c>
      <c r="P686" s="21" t="str">
        <f>IF(MonthlyFAME!Q688=0,"",MonthlyFAME!Q688)</f>
        <v/>
      </c>
      <c r="Q686" s="21" t="str">
        <f>IF(MonthlyFAME!R688=0,"",MonthlyFAME!R688)</f>
        <v/>
      </c>
      <c r="R686" s="21" t="str">
        <f>IF(MonthlyFAME!S688=0,"",MonthlyFAME!S688)</f>
        <v/>
      </c>
      <c r="S686" s="21" t="str">
        <f>IF(MonthlyFAME!T688=0,"",MonthlyFAME!T688)</f>
        <v/>
      </c>
      <c r="T686" s="21">
        <f>IF(MonthlyFAME!U688=0,"",MonthlyFAME!U688)</f>
        <v>49.522380952380956</v>
      </c>
    </row>
    <row r="687" spans="1:20" x14ac:dyDescent="0.2">
      <c r="A687" s="23">
        <f>IF(MonthlyFAME!A689=0,"",MonthlyFAME!A689)</f>
        <v>42704</v>
      </c>
      <c r="B687" s="21">
        <f>IF(MonthlyFAME!B689=0,"",MonthlyFAME!B689)</f>
        <v>95.2</v>
      </c>
      <c r="C687" s="21">
        <f>IF(MonthlyFAME!C689=0,"",MonthlyFAME!C689)</f>
        <v>94</v>
      </c>
      <c r="D687" s="21">
        <f>IF(MonthlyFAME!D689=0,"",MonthlyFAME!D689)</f>
        <v>95.481200000000001</v>
      </c>
      <c r="E687" s="21">
        <f>IF(MonthlyFAME!F689=0,"",MonthlyFAME!F689)</f>
        <v>28605</v>
      </c>
      <c r="F687" s="21">
        <f>IF(MonthlyFAME!G689=0,"",MonthlyFAME!G689)</f>
        <v>41326</v>
      </c>
      <c r="G687" s="21">
        <f>IF(MonthlyFAME!H689=0,"",MonthlyFAME!H689)</f>
        <v>4.8501329826973079</v>
      </c>
      <c r="H687" s="21">
        <f>IF(MonthlyFAME!I689=0,"",MonthlyFAME!I689)</f>
        <v>31840</v>
      </c>
      <c r="I687" s="21">
        <f>IF(MonthlyFAME!J689=0,"",MonthlyFAME!J689)</f>
        <v>1019.1</v>
      </c>
      <c r="J687" s="21">
        <f>IF(MonthlyFAME!K689=0,"",MonthlyFAME!K689)</f>
        <v>758</v>
      </c>
      <c r="K687" s="21">
        <f>IF(MonthlyFAME!L689=0,"",MonthlyFAME!L689)</f>
        <v>498.287126807422</v>
      </c>
      <c r="L687" s="21">
        <f>IF(MonthlyFAME!M689=0,"",MonthlyFAME!M689)</f>
        <v>787.2</v>
      </c>
      <c r="M687" s="21" t="str">
        <f>IF(MonthlyFAME!N689=0,"",MonthlyFAME!N689)</f>
        <v/>
      </c>
      <c r="N687" s="21" t="str">
        <f>IF(MonthlyFAME!O689=0,"",MonthlyFAME!O689)</f>
        <v/>
      </c>
      <c r="O687" s="21" t="str">
        <f>IF(MonthlyFAME!P689=0,"",MonthlyFAME!P689)</f>
        <v/>
      </c>
      <c r="P687" s="21" t="str">
        <f>IF(MonthlyFAME!Q689=0,"",MonthlyFAME!Q689)</f>
        <v/>
      </c>
      <c r="Q687" s="21" t="str">
        <f>IF(MonthlyFAME!R689=0,"",MonthlyFAME!R689)</f>
        <v/>
      </c>
      <c r="R687" s="21" t="str">
        <f>IF(MonthlyFAME!S689=0,"",MonthlyFAME!S689)</f>
        <v/>
      </c>
      <c r="S687" s="21" t="str">
        <f>IF(MonthlyFAME!T689=0,"",MonthlyFAME!T689)</f>
        <v/>
      </c>
      <c r="T687" s="21">
        <f>IF(MonthlyFAME!U689=0,"",MonthlyFAME!U689)</f>
        <v>44.734090909090916</v>
      </c>
    </row>
    <row r="688" spans="1:20" x14ac:dyDescent="0.2">
      <c r="A688" s="23">
        <f>IF(MonthlyFAME!A690=0,"",MonthlyFAME!A690)</f>
        <v>42735</v>
      </c>
      <c r="B688" s="21">
        <f>IF(MonthlyFAME!B690=0,"",MonthlyFAME!B690)</f>
        <v>95.9</v>
      </c>
      <c r="C688" s="21">
        <f>IF(MonthlyFAME!C690=0,"",MonthlyFAME!C690)</f>
        <v>96</v>
      </c>
      <c r="D688" s="21">
        <f>IF(MonthlyFAME!D690=0,"",MonthlyFAME!D690)</f>
        <v>95.755099999999999</v>
      </c>
      <c r="E688" s="21">
        <f>IF(MonthlyFAME!F690=0,"",MonthlyFAME!F690)</f>
        <v>29136</v>
      </c>
      <c r="F688" s="21">
        <f>IF(MonthlyFAME!G690=0,"",MonthlyFAME!G690)</f>
        <v>41383</v>
      </c>
      <c r="G688" s="21">
        <f>IF(MonthlyFAME!H690=0,"",MonthlyFAME!H690)</f>
        <v>4.7993071317644249</v>
      </c>
      <c r="H688" s="21">
        <f>IF(MonthlyFAME!I690=0,"",MonthlyFAME!I690)</f>
        <v>31877</v>
      </c>
      <c r="I688" s="21">
        <f>IF(MonthlyFAME!J690=0,"",MonthlyFAME!J690)</f>
        <v>1022.9</v>
      </c>
      <c r="J688" s="21">
        <f>IF(MonthlyFAME!K690=0,"",MonthlyFAME!K690)</f>
        <v>758</v>
      </c>
      <c r="K688" s="21">
        <f>IF(MonthlyFAME!L690=0,"",MonthlyFAME!L690)</f>
        <v>495.98619046446402</v>
      </c>
      <c r="L688" s="21">
        <f>IF(MonthlyFAME!M690=0,"",MonthlyFAME!M690)</f>
        <v>780.5</v>
      </c>
      <c r="M688" s="21" t="str">
        <f>IF(MonthlyFAME!N690=0,"",MonthlyFAME!N690)</f>
        <v/>
      </c>
      <c r="N688" s="21" t="str">
        <f>IF(MonthlyFAME!O690=0,"",MonthlyFAME!O690)</f>
        <v/>
      </c>
      <c r="O688" s="21" t="str">
        <f>IF(MonthlyFAME!P690=0,"",MonthlyFAME!P690)</f>
        <v/>
      </c>
      <c r="P688" s="21" t="str">
        <f>IF(MonthlyFAME!Q690=0,"",MonthlyFAME!Q690)</f>
        <v/>
      </c>
      <c r="Q688" s="21" t="str">
        <f>IF(MonthlyFAME!R690=0,"",MonthlyFAME!R690)</f>
        <v/>
      </c>
      <c r="R688" s="21" t="str">
        <f>IF(MonthlyFAME!S690=0,"",MonthlyFAME!S690)</f>
        <v/>
      </c>
      <c r="S688" s="21" t="str">
        <f>IF(MonthlyFAME!T690=0,"",MonthlyFAME!T690)</f>
        <v/>
      </c>
      <c r="T688" s="21">
        <f>IF(MonthlyFAME!U690=0,"",MonthlyFAME!U690)</f>
        <v>53.364999999999988</v>
      </c>
    </row>
    <row r="689" spans="1:20" x14ac:dyDescent="0.2">
      <c r="A689" s="23">
        <f>IF(MonthlyFAME!A691=0,"",MonthlyFAME!A691)</f>
        <v>42766</v>
      </c>
      <c r="B689" s="21">
        <f>IF(MonthlyFAME!B691=0,"",MonthlyFAME!B691)</f>
        <v>96.1</v>
      </c>
      <c r="C689" s="21">
        <f>IF(MonthlyFAME!C691=0,"",MonthlyFAME!C691)</f>
        <v>95.1</v>
      </c>
      <c r="D689" s="21">
        <f>IF(MonthlyFAME!D691=0,"",MonthlyFAME!D691)</f>
        <v>95.966999999999999</v>
      </c>
      <c r="E689" s="21">
        <f>IF(MonthlyFAME!F691=0,"",MonthlyFAME!F691)</f>
        <v>28750</v>
      </c>
      <c r="F689" s="21">
        <f>IF(MonthlyFAME!G691=0,"",MonthlyFAME!G691)</f>
        <v>40247</v>
      </c>
      <c r="G689" s="21">
        <f>IF(MonthlyFAME!H691=0,"",MonthlyFAME!H691)</f>
        <v>4.7647498132935029</v>
      </c>
      <c r="H689" s="21">
        <f>IF(MonthlyFAME!I691=0,"",MonthlyFAME!I691)</f>
        <v>31880</v>
      </c>
      <c r="I689" s="21">
        <f>IF(MonthlyFAME!J691=0,"",MonthlyFAME!J691)</f>
        <v>1027</v>
      </c>
      <c r="J689" s="21">
        <f>IF(MonthlyFAME!K691=0,"",MonthlyFAME!K691)</f>
        <v>754</v>
      </c>
      <c r="K689" s="21">
        <f>IF(MonthlyFAME!L691=0,"",MonthlyFAME!L691)</f>
        <v>497.34061823549001</v>
      </c>
      <c r="L689" s="21">
        <f>IF(MonthlyFAME!M691=0,"",MonthlyFAME!M691)</f>
        <v>772.3</v>
      </c>
      <c r="M689" s="21" t="str">
        <f>IF(MonthlyFAME!N691=0,"",MonthlyFAME!N691)</f>
        <v/>
      </c>
      <c r="N689" s="21" t="str">
        <f>IF(MonthlyFAME!O691=0,"",MonthlyFAME!O691)</f>
        <v/>
      </c>
      <c r="O689" s="21" t="str">
        <f>IF(MonthlyFAME!P691=0,"",MonthlyFAME!P691)</f>
        <v/>
      </c>
      <c r="P689" s="21" t="str">
        <f>IF(MonthlyFAME!Q691=0,"",MonthlyFAME!Q691)</f>
        <v/>
      </c>
      <c r="Q689" s="21" t="str">
        <f>IF(MonthlyFAME!R691=0,"",MonthlyFAME!R691)</f>
        <v/>
      </c>
      <c r="R689" s="21" t="str">
        <f>IF(MonthlyFAME!S691=0,"",MonthlyFAME!S691)</f>
        <v/>
      </c>
      <c r="S689" s="21" t="str">
        <f>IF(MonthlyFAME!T691=0,"",MonthlyFAME!T691)</f>
        <v/>
      </c>
      <c r="T689" s="21">
        <f>IF(MonthlyFAME!U691=0,"",MonthlyFAME!U691)</f>
        <v>54.594090909090895</v>
      </c>
    </row>
    <row r="690" spans="1:20" x14ac:dyDescent="0.2">
      <c r="A690" s="23">
        <f>IF(MonthlyFAME!A692=0,"",MonthlyFAME!A692)</f>
        <v>42794</v>
      </c>
      <c r="B690" s="21">
        <f>IF(MonthlyFAME!B692=0,"",MonthlyFAME!B692)</f>
        <v>96.1</v>
      </c>
      <c r="C690" s="21">
        <f>IF(MonthlyFAME!C692=0,"",MonthlyFAME!C692)</f>
        <v>94.3</v>
      </c>
      <c r="D690" s="21">
        <f>IF(MonthlyFAME!D692=0,"",MonthlyFAME!D692)</f>
        <v>96.091999999999999</v>
      </c>
      <c r="E690" s="21">
        <f>IF(MonthlyFAME!F692=0,"",MonthlyFAME!F692)</f>
        <v>29003</v>
      </c>
      <c r="F690" s="21">
        <f>IF(MonthlyFAME!G692=0,"",MonthlyFAME!G692)</f>
        <v>40216</v>
      </c>
      <c r="G690" s="21">
        <f>IF(MonthlyFAME!H692=0,"",MonthlyFAME!H692)</f>
        <v>4.7004332885103839</v>
      </c>
      <c r="H690" s="21">
        <f>IF(MonthlyFAME!I692=0,"",MonthlyFAME!I692)</f>
        <v>31892</v>
      </c>
      <c r="I690" s="21">
        <f>IF(MonthlyFAME!J692=0,"",MonthlyFAME!J692)</f>
        <v>1029.0999999999999</v>
      </c>
      <c r="J690" s="21">
        <f>IF(MonthlyFAME!K692=0,"",MonthlyFAME!K692)</f>
        <v>767</v>
      </c>
      <c r="K690" s="21">
        <f>IF(MonthlyFAME!L692=0,"",MonthlyFAME!L692)</f>
        <v>499.23785921802698</v>
      </c>
      <c r="L690" s="21">
        <f>IF(MonthlyFAME!M692=0,"",MonthlyFAME!M692)</f>
        <v>768.3</v>
      </c>
      <c r="M690" s="21" t="str">
        <f>IF(MonthlyFAME!N692=0,"",MonthlyFAME!N692)</f>
        <v/>
      </c>
      <c r="N690" s="21" t="str">
        <f>IF(MonthlyFAME!O692=0,"",MonthlyFAME!O692)</f>
        <v/>
      </c>
      <c r="O690" s="21" t="str">
        <f>IF(MonthlyFAME!P692=0,"",MonthlyFAME!P692)</f>
        <v/>
      </c>
      <c r="P690" s="21" t="str">
        <f>IF(MonthlyFAME!Q692=0,"",MonthlyFAME!Q692)</f>
        <v/>
      </c>
      <c r="Q690" s="21" t="str">
        <f>IF(MonthlyFAME!R692=0,"",MonthlyFAME!R692)</f>
        <v/>
      </c>
      <c r="R690" s="21" t="str">
        <f>IF(MonthlyFAME!S692=0,"",MonthlyFAME!S692)</f>
        <v/>
      </c>
      <c r="S690" s="21" t="str">
        <f>IF(MonthlyFAME!T692=0,"",MonthlyFAME!T692)</f>
        <v/>
      </c>
      <c r="T690" s="21">
        <f>IF(MonthlyFAME!U692=0,"",MonthlyFAME!U692)</f>
        <v>54.869500000000002</v>
      </c>
    </row>
    <row r="691" spans="1:20" x14ac:dyDescent="0.2">
      <c r="A691" s="23">
        <f>IF(MonthlyFAME!A693=0,"",MonthlyFAME!A693)</f>
        <v>42825</v>
      </c>
      <c r="B691" s="21">
        <f>IF(MonthlyFAME!B693=0,"",MonthlyFAME!B693)</f>
        <v>96.2</v>
      </c>
      <c r="C691" s="21">
        <f>IF(MonthlyFAME!C693=0,"",MonthlyFAME!C693)</f>
        <v>93.5</v>
      </c>
      <c r="D691" s="21">
        <f>IF(MonthlyFAME!D693=0,"",MonthlyFAME!D693)</f>
        <v>96.332599999999999</v>
      </c>
      <c r="E691" s="21">
        <f>IF(MonthlyFAME!F693=0,"",MonthlyFAME!F693)</f>
        <v>29760</v>
      </c>
      <c r="F691" s="21">
        <f>IF(MonthlyFAME!G693=0,"",MonthlyFAME!G693)</f>
        <v>42372</v>
      </c>
      <c r="G691" s="21">
        <f>IF(MonthlyFAME!H693=0,"",MonthlyFAME!H693)</f>
        <v>4.6258462823227653</v>
      </c>
      <c r="H691" s="21">
        <f>IF(MonthlyFAME!I693=0,"",MonthlyFAME!I693)</f>
        <v>31978</v>
      </c>
      <c r="I691" s="21">
        <f>IF(MonthlyFAME!J693=0,"",MonthlyFAME!J693)</f>
        <v>1029.3</v>
      </c>
      <c r="J691" s="21">
        <f>IF(MonthlyFAME!K693=0,"",MonthlyFAME!K693)</f>
        <v>773</v>
      </c>
      <c r="K691" s="21">
        <f>IF(MonthlyFAME!L693=0,"",MonthlyFAME!L693)</f>
        <v>501.364684294558</v>
      </c>
      <c r="L691" s="21">
        <f>IF(MonthlyFAME!M693=0,"",MonthlyFAME!M693)</f>
        <v>782.8</v>
      </c>
      <c r="M691" s="21" t="str">
        <f>IF(MonthlyFAME!N693=0,"",MonthlyFAME!N693)</f>
        <v/>
      </c>
      <c r="N691" s="21" t="str">
        <f>IF(MonthlyFAME!O693=0,"",MonthlyFAME!O693)</f>
        <v/>
      </c>
      <c r="O691" s="21" t="str">
        <f>IF(MonthlyFAME!P693=0,"",MonthlyFAME!P693)</f>
        <v/>
      </c>
      <c r="P691" s="21" t="str">
        <f>IF(MonthlyFAME!Q693=0,"",MonthlyFAME!Q693)</f>
        <v/>
      </c>
      <c r="Q691" s="21" t="str">
        <f>IF(MonthlyFAME!R693=0,"",MonthlyFAME!R693)</f>
        <v/>
      </c>
      <c r="R691" s="21" t="str">
        <f>IF(MonthlyFAME!S693=0,"",MonthlyFAME!S693)</f>
        <v/>
      </c>
      <c r="S691" s="21" t="str">
        <f>IF(MonthlyFAME!T693=0,"",MonthlyFAME!T693)</f>
        <v/>
      </c>
      <c r="T691" s="21">
        <f>IF(MonthlyFAME!U693=0,"",MonthlyFAME!U693)</f>
        <v>51.589130434782604</v>
      </c>
    </row>
    <row r="692" spans="1:20" x14ac:dyDescent="0.2">
      <c r="A692" s="23">
        <f>IF(MonthlyFAME!A694=0,"",MonthlyFAME!A694)</f>
        <v>42855</v>
      </c>
      <c r="B692" s="21">
        <f>IF(MonthlyFAME!B694=0,"",MonthlyFAME!B694)</f>
        <v>96.6</v>
      </c>
      <c r="C692" s="21">
        <f>IF(MonthlyFAME!C694=0,"",MonthlyFAME!C694)</f>
        <v>93.9</v>
      </c>
      <c r="D692" s="21">
        <f>IF(MonthlyFAME!D694=0,"",MonthlyFAME!D694)</f>
        <v>96.706599999999995</v>
      </c>
      <c r="E692" s="21">
        <f>IF(MonthlyFAME!F694=0,"",MonthlyFAME!F694)</f>
        <v>31101</v>
      </c>
      <c r="F692" s="21">
        <f>IF(MonthlyFAME!G694=0,"",MonthlyFAME!G694)</f>
        <v>40557</v>
      </c>
      <c r="G692" s="21">
        <f>IF(MonthlyFAME!H694=0,"",MonthlyFAME!H694)</f>
        <v>4.6017118487369899</v>
      </c>
      <c r="H692" s="21">
        <f>IF(MonthlyFAME!I694=0,"",MonthlyFAME!I694)</f>
        <v>31988</v>
      </c>
      <c r="I692" s="21">
        <f>IF(MonthlyFAME!J694=0,"",MonthlyFAME!J694)</f>
        <v>1029.9000000000001</v>
      </c>
      <c r="J692" s="21">
        <f>IF(MonthlyFAME!K694=0,"",MonthlyFAME!K694)</f>
        <v>788</v>
      </c>
      <c r="K692" s="21">
        <f>IF(MonthlyFAME!L694=0,"",MonthlyFAME!L694)</f>
        <v>502.04928304007097</v>
      </c>
      <c r="L692" s="21">
        <f>IF(MonthlyFAME!M694=0,"",MonthlyFAME!M694)</f>
        <v>791.7</v>
      </c>
      <c r="M692" s="21" t="str">
        <f>IF(MonthlyFAME!N694=0,"",MonthlyFAME!N694)</f>
        <v/>
      </c>
      <c r="N692" s="21" t="str">
        <f>IF(MonthlyFAME!O694=0,"",MonthlyFAME!O694)</f>
        <v/>
      </c>
      <c r="O692" s="21" t="str">
        <f>IF(MonthlyFAME!P694=0,"",MonthlyFAME!P694)</f>
        <v/>
      </c>
      <c r="P692" s="21" t="str">
        <f>IF(MonthlyFAME!Q694=0,"",MonthlyFAME!Q694)</f>
        <v/>
      </c>
      <c r="Q692" s="21" t="str">
        <f>IF(MonthlyFAME!R694=0,"",MonthlyFAME!R694)</f>
        <v/>
      </c>
      <c r="R692" s="21" t="str">
        <f>IF(MonthlyFAME!S694=0,"",MonthlyFAME!S694)</f>
        <v/>
      </c>
      <c r="S692" s="21" t="str">
        <f>IF(MonthlyFAME!T694=0,"",MonthlyFAME!T694)</f>
        <v/>
      </c>
      <c r="T692" s="21">
        <f>IF(MonthlyFAME!U694=0,"",MonthlyFAME!U694)</f>
        <v>52.479499999999994</v>
      </c>
    </row>
    <row r="693" spans="1:20" x14ac:dyDescent="0.2">
      <c r="A693" s="23">
        <f>IF(MonthlyFAME!A695=0,"",MonthlyFAME!A695)</f>
        <v>42886</v>
      </c>
      <c r="B693" s="21">
        <f>IF(MonthlyFAME!B695=0,"",MonthlyFAME!B695)</f>
        <v>96.8</v>
      </c>
      <c r="C693" s="21">
        <f>IF(MonthlyFAME!C695=0,"",MonthlyFAME!C695)</f>
        <v>94.3</v>
      </c>
      <c r="D693" s="21">
        <f>IF(MonthlyFAME!D695=0,"",MonthlyFAME!D695)</f>
        <v>96.914900000000003</v>
      </c>
      <c r="E693" s="21">
        <f>IF(MonthlyFAME!F695=0,"",MonthlyFAME!F695)</f>
        <v>30046</v>
      </c>
      <c r="F693" s="21">
        <f>IF(MonthlyFAME!G695=0,"",MonthlyFAME!G695)</f>
        <v>41320</v>
      </c>
      <c r="G693" s="21">
        <f>IF(MonthlyFAME!H695=0,"",MonthlyFAME!H695)</f>
        <v>4.5088806770771246</v>
      </c>
      <c r="H693" s="21">
        <f>IF(MonthlyFAME!I695=0,"",MonthlyFAME!I695)</f>
        <v>32043</v>
      </c>
      <c r="I693" s="21">
        <f>IF(MonthlyFAME!J695=0,"",MonthlyFAME!J695)</f>
        <v>1029.5</v>
      </c>
      <c r="J693" s="21">
        <f>IF(MonthlyFAME!K695=0,"",MonthlyFAME!K695)</f>
        <v>783</v>
      </c>
      <c r="K693" s="21">
        <f>IF(MonthlyFAME!L695=0,"",MonthlyFAME!L695)</f>
        <v>503.30372284575498</v>
      </c>
      <c r="L693" s="21">
        <f>IF(MonthlyFAME!M695=0,"",MonthlyFAME!M695)</f>
        <v>795.2</v>
      </c>
      <c r="M693" s="21" t="str">
        <f>IF(MonthlyFAME!N695=0,"",MonthlyFAME!N695)</f>
        <v/>
      </c>
      <c r="N693" s="21" t="str">
        <f>IF(MonthlyFAME!O695=0,"",MonthlyFAME!O695)</f>
        <v/>
      </c>
      <c r="O693" s="21" t="str">
        <f>IF(MonthlyFAME!P695=0,"",MonthlyFAME!P695)</f>
        <v/>
      </c>
      <c r="P693" s="21" t="str">
        <f>IF(MonthlyFAME!Q695=0,"",MonthlyFAME!Q695)</f>
        <v/>
      </c>
      <c r="Q693" s="21" t="str">
        <f>IF(MonthlyFAME!R695=0,"",MonthlyFAME!R695)</f>
        <v/>
      </c>
      <c r="R693" s="21" t="str">
        <f>IF(MonthlyFAME!S695=0,"",MonthlyFAME!S695)</f>
        <v/>
      </c>
      <c r="S693" s="21" t="str">
        <f>IF(MonthlyFAME!T695=0,"",MonthlyFAME!T695)</f>
        <v/>
      </c>
      <c r="T693" s="21">
        <f>IF(MonthlyFAME!U695=0,"",MonthlyFAME!U695)</f>
        <v>50.265217391304354</v>
      </c>
    </row>
    <row r="694" spans="1:20" x14ac:dyDescent="0.2">
      <c r="A694" s="23">
        <f>IF(MonthlyFAME!A696=0,"",MonthlyFAME!A696)</f>
        <v>42916</v>
      </c>
      <c r="B694" s="21">
        <f>IF(MonthlyFAME!B696=0,"",MonthlyFAME!B696)</f>
        <v>96.8</v>
      </c>
      <c r="C694" s="21">
        <f>IF(MonthlyFAME!C696=0,"",MonthlyFAME!C696)</f>
        <v>94.3</v>
      </c>
      <c r="D694" s="21">
        <f>IF(MonthlyFAME!D696=0,"",MonthlyFAME!D696)</f>
        <v>96.906099999999995</v>
      </c>
      <c r="E694" s="21">
        <f>IF(MonthlyFAME!F696=0,"",MonthlyFAME!F696)</f>
        <v>29841</v>
      </c>
      <c r="F694" s="21">
        <f>IF(MonthlyFAME!G696=0,"",MonthlyFAME!G696)</f>
        <v>43356</v>
      </c>
      <c r="G694" s="21">
        <f>IF(MonthlyFAME!H696=0,"",MonthlyFAME!H696)</f>
        <v>4.4901359835748504</v>
      </c>
      <c r="H694" s="21">
        <f>IF(MonthlyFAME!I696=0,"",MonthlyFAME!I696)</f>
        <v>32098</v>
      </c>
      <c r="I694" s="21">
        <f>IF(MonthlyFAME!J696=0,"",MonthlyFAME!J696)</f>
        <v>1034.8</v>
      </c>
      <c r="J694" s="21">
        <f>IF(MonthlyFAME!K696=0,"",MonthlyFAME!K696)</f>
        <v>782</v>
      </c>
      <c r="K694" s="21">
        <f>IF(MonthlyFAME!L696=0,"",MonthlyFAME!L696)</f>
        <v>508.064424615105</v>
      </c>
      <c r="L694" s="21">
        <f>IF(MonthlyFAME!M696=0,"",MonthlyFAME!M696)</f>
        <v>797</v>
      </c>
      <c r="M694" s="21" t="str">
        <f>IF(MonthlyFAME!N696=0,"",MonthlyFAME!N696)</f>
        <v/>
      </c>
      <c r="N694" s="21" t="str">
        <f>IF(MonthlyFAME!O696=0,"",MonthlyFAME!O696)</f>
        <v/>
      </c>
      <c r="O694" s="21" t="str">
        <f>IF(MonthlyFAME!P696=0,"",MonthlyFAME!P696)</f>
        <v/>
      </c>
      <c r="P694" s="21" t="str">
        <f>IF(MonthlyFAME!Q696=0,"",MonthlyFAME!Q696)</f>
        <v/>
      </c>
      <c r="Q694" s="21" t="str">
        <f>IF(MonthlyFAME!R696=0,"",MonthlyFAME!R696)</f>
        <v/>
      </c>
      <c r="R694" s="21" t="str">
        <f>IF(MonthlyFAME!S696=0,"",MonthlyFAME!S696)</f>
        <v/>
      </c>
      <c r="S694" s="21" t="str">
        <f>IF(MonthlyFAME!T696=0,"",MonthlyFAME!T696)</f>
        <v/>
      </c>
      <c r="T694" s="21">
        <f>IF(MonthlyFAME!U696=0,"",MonthlyFAME!U696)</f>
        <v>46.368181818181824</v>
      </c>
    </row>
    <row r="695" spans="1:20" x14ac:dyDescent="0.2">
      <c r="A695" s="23">
        <f>IF(MonthlyFAME!A697=0,"",MonthlyFAME!A697)</f>
        <v>42947</v>
      </c>
      <c r="B695" s="21">
        <f>IF(MonthlyFAME!B697=0,"",MonthlyFAME!B697)</f>
        <v>97</v>
      </c>
      <c r="C695" s="21">
        <f>IF(MonthlyFAME!C697=0,"",MonthlyFAME!C697)</f>
        <v>94.7</v>
      </c>
      <c r="D695" s="21">
        <f>IF(MonthlyFAME!D697=0,"",MonthlyFAME!D697)</f>
        <v>97.122200000000007</v>
      </c>
      <c r="E695" s="21">
        <f>IF(MonthlyFAME!F697=0,"",MonthlyFAME!F697)</f>
        <v>29828</v>
      </c>
      <c r="F695" s="21">
        <f>IF(MonthlyFAME!G697=0,"",MonthlyFAME!G697)</f>
        <v>42100</v>
      </c>
      <c r="G695" s="21">
        <f>IF(MonthlyFAME!H697=0,"",MonthlyFAME!H697)</f>
        <v>4.4044222539229674</v>
      </c>
      <c r="H695" s="21">
        <f>IF(MonthlyFAME!I697=0,"",MonthlyFAME!I697)</f>
        <v>32166</v>
      </c>
      <c r="I695" s="21">
        <f>IF(MonthlyFAME!J697=0,"",MonthlyFAME!J697)</f>
        <v>1033.0999999999999</v>
      </c>
      <c r="J695" s="21">
        <f>IF(MonthlyFAME!K697=0,"",MonthlyFAME!K697)</f>
        <v>785</v>
      </c>
      <c r="K695" s="21">
        <f>IF(MonthlyFAME!L697=0,"",MonthlyFAME!L697)</f>
        <v>503.99304121258302</v>
      </c>
      <c r="L695" s="21">
        <f>IF(MonthlyFAME!M697=0,"",MonthlyFAME!M697)</f>
        <v>797.3</v>
      </c>
      <c r="M695" s="21" t="str">
        <f>IF(MonthlyFAME!N697=0,"",MonthlyFAME!N697)</f>
        <v/>
      </c>
      <c r="N695" s="21" t="str">
        <f>IF(MonthlyFAME!O697=0,"",MonthlyFAME!O697)</f>
        <v/>
      </c>
      <c r="O695" s="21" t="str">
        <f>IF(MonthlyFAME!P697=0,"",MonthlyFAME!P697)</f>
        <v/>
      </c>
      <c r="P695" s="21" t="str">
        <f>IF(MonthlyFAME!Q697=0,"",MonthlyFAME!Q697)</f>
        <v/>
      </c>
      <c r="Q695" s="21" t="str">
        <f>IF(MonthlyFAME!R697=0,"",MonthlyFAME!R697)</f>
        <v/>
      </c>
      <c r="R695" s="21" t="str">
        <f>IF(MonthlyFAME!S697=0,"",MonthlyFAME!S697)</f>
        <v/>
      </c>
      <c r="S695" s="21" t="str">
        <f>IF(MonthlyFAME!T697=0,"",MonthlyFAME!T697)</f>
        <v/>
      </c>
      <c r="T695" s="21">
        <f>IF(MonthlyFAME!U697=0,"",MonthlyFAME!U697)</f>
        <v>48.478571428571428</v>
      </c>
    </row>
    <row r="696" spans="1:20" x14ac:dyDescent="0.2">
      <c r="A696" s="23">
        <f>IF(MonthlyFAME!A698=0,"",MonthlyFAME!A698)</f>
        <v>42978</v>
      </c>
      <c r="B696" s="21">
        <f>IF(MonthlyFAME!B698=0,"",MonthlyFAME!B698)</f>
        <v>97.2</v>
      </c>
      <c r="C696" s="21">
        <f>IF(MonthlyFAME!C698=0,"",MonthlyFAME!C698)</f>
        <v>94.9</v>
      </c>
      <c r="D696" s="21">
        <f>IF(MonthlyFAME!D698=0,"",MonthlyFAME!D698)</f>
        <v>97.222499999999997</v>
      </c>
      <c r="E696" s="21">
        <f>IF(MonthlyFAME!F698=0,"",MonthlyFAME!F698)</f>
        <v>29633</v>
      </c>
      <c r="F696" s="21">
        <f>IF(MonthlyFAME!G698=0,"",MonthlyFAME!G698)</f>
        <v>41999</v>
      </c>
      <c r="G696" s="21">
        <f>IF(MonthlyFAME!H698=0,"",MonthlyFAME!H698)</f>
        <v>4.3942639533499941</v>
      </c>
      <c r="H696" s="21">
        <f>IF(MonthlyFAME!I698=0,"",MonthlyFAME!I698)</f>
        <v>32135</v>
      </c>
      <c r="I696" s="21">
        <f>IF(MonthlyFAME!J698=0,"",MonthlyFAME!J698)</f>
        <v>1030.5999999999999</v>
      </c>
      <c r="J696" s="21">
        <f>IF(MonthlyFAME!K698=0,"",MonthlyFAME!K698)</f>
        <v>794</v>
      </c>
      <c r="K696" s="21">
        <f>IF(MonthlyFAME!L698=0,"",MonthlyFAME!L698)</f>
        <v>506.57270876398201</v>
      </c>
      <c r="L696" s="21">
        <f>IF(MonthlyFAME!M698=0,"",MonthlyFAME!M698)</f>
        <v>797.7</v>
      </c>
      <c r="M696" s="21" t="str">
        <f>IF(MonthlyFAME!N698=0,"",MonthlyFAME!N698)</f>
        <v/>
      </c>
      <c r="N696" s="21" t="str">
        <f>IF(MonthlyFAME!O698=0,"",MonthlyFAME!O698)</f>
        <v/>
      </c>
      <c r="O696" s="21" t="str">
        <f>IF(MonthlyFAME!P698=0,"",MonthlyFAME!P698)</f>
        <v/>
      </c>
      <c r="P696" s="21" t="str">
        <f>IF(MonthlyFAME!Q698=0,"",MonthlyFAME!Q698)</f>
        <v/>
      </c>
      <c r="Q696" s="21" t="str">
        <f>IF(MonthlyFAME!R698=0,"",MonthlyFAME!R698)</f>
        <v/>
      </c>
      <c r="R696" s="21" t="str">
        <f>IF(MonthlyFAME!S698=0,"",MonthlyFAME!S698)</f>
        <v/>
      </c>
      <c r="S696" s="21" t="str">
        <f>IF(MonthlyFAME!T698=0,"",MonthlyFAME!T698)</f>
        <v/>
      </c>
      <c r="T696" s="21">
        <f>IF(MonthlyFAME!U698=0,"",MonthlyFAME!U698)</f>
        <v>51.704347826086966</v>
      </c>
    </row>
    <row r="697" spans="1:20" x14ac:dyDescent="0.2">
      <c r="A697" s="23">
        <f>IF(MonthlyFAME!A699=0,"",MonthlyFAME!A699)</f>
        <v>43008</v>
      </c>
      <c r="B697" s="21">
        <f>IF(MonthlyFAME!B699=0,"",MonthlyFAME!B699)</f>
        <v>97.6</v>
      </c>
      <c r="C697" s="21">
        <f>IF(MonthlyFAME!C699=0,"",MonthlyFAME!C699)</f>
        <v>96.8</v>
      </c>
      <c r="D697" s="21">
        <f>IF(MonthlyFAME!D699=0,"",MonthlyFAME!D699)</f>
        <v>97.507800000000003</v>
      </c>
      <c r="E697" s="21">
        <f>IF(MonthlyFAME!F699=0,"",MonthlyFAME!F699)</f>
        <v>30865</v>
      </c>
      <c r="F697" s="21">
        <f>IF(MonthlyFAME!G699=0,"",MonthlyFAME!G699)</f>
        <v>42334</v>
      </c>
      <c r="G697" s="21">
        <f>IF(MonthlyFAME!H699=0,"",MonthlyFAME!H699)</f>
        <v>4.3342176647688317</v>
      </c>
      <c r="H697" s="21">
        <f>IF(MonthlyFAME!I699=0,"",MonthlyFAME!I699)</f>
        <v>32093</v>
      </c>
      <c r="I697" s="21">
        <f>IF(MonthlyFAME!J699=0,"",MonthlyFAME!J699)</f>
        <v>1024.5</v>
      </c>
      <c r="J697" s="21">
        <f>IF(MonthlyFAME!K699=0,"",MonthlyFAME!K699)</f>
        <v>799</v>
      </c>
      <c r="K697" s="21">
        <f>IF(MonthlyFAME!L699=0,"",MonthlyFAME!L699)</f>
        <v>508.87466968070203</v>
      </c>
      <c r="L697" s="21">
        <f>IF(MonthlyFAME!M699=0,"",MonthlyFAME!M699)</f>
        <v>800.5</v>
      </c>
      <c r="M697" s="21" t="str">
        <f>IF(MonthlyFAME!N699=0,"",MonthlyFAME!N699)</f>
        <v/>
      </c>
      <c r="N697" s="21" t="str">
        <f>IF(MonthlyFAME!O699=0,"",MonthlyFAME!O699)</f>
        <v/>
      </c>
      <c r="O697" s="21" t="str">
        <f>IF(MonthlyFAME!P699=0,"",MonthlyFAME!P699)</f>
        <v/>
      </c>
      <c r="P697" s="21" t="str">
        <f>IF(MonthlyFAME!Q699=0,"",MonthlyFAME!Q699)</f>
        <v/>
      </c>
      <c r="Q697" s="21" t="str">
        <f>IF(MonthlyFAME!R699=0,"",MonthlyFAME!R699)</f>
        <v/>
      </c>
      <c r="R697" s="21" t="str">
        <f>IF(MonthlyFAME!S699=0,"",MonthlyFAME!S699)</f>
        <v/>
      </c>
      <c r="S697" s="21" t="str">
        <f>IF(MonthlyFAME!T699=0,"",MonthlyFAME!T699)</f>
        <v/>
      </c>
      <c r="T697" s="21">
        <f>IF(MonthlyFAME!U699=0,"",MonthlyFAME!U699)</f>
        <v>56.152857142857137</v>
      </c>
    </row>
    <row r="698" spans="1:20" x14ac:dyDescent="0.2">
      <c r="A698" s="23">
        <f>IF(MonthlyFAME!A700=0,"",MonthlyFAME!A700)</f>
        <v>43039</v>
      </c>
      <c r="B698" s="21">
        <f>IF(MonthlyFAME!B700=0,"",MonthlyFAME!B700)</f>
        <v>97.6</v>
      </c>
      <c r="C698" s="21">
        <f>IF(MonthlyFAME!C700=0,"",MonthlyFAME!C700)</f>
        <v>97.2</v>
      </c>
      <c r="D698" s="21">
        <f>IF(MonthlyFAME!D700=0,"",MonthlyFAME!D700)</f>
        <v>97.521600000000007</v>
      </c>
      <c r="E698" s="21">
        <f>IF(MonthlyFAME!F700=0,"",MonthlyFAME!F700)</f>
        <v>30239</v>
      </c>
      <c r="F698" s="21">
        <f>IF(MonthlyFAME!G700=0,"",MonthlyFAME!G700)</f>
        <v>40907</v>
      </c>
      <c r="G698" s="21">
        <f>IF(MonthlyFAME!H700=0,"",MonthlyFAME!H700)</f>
        <v>4.313246552083644</v>
      </c>
      <c r="H698" s="21">
        <f>IF(MonthlyFAME!I700=0,"",MonthlyFAME!I700)</f>
        <v>32123</v>
      </c>
      <c r="I698" s="21">
        <f>IF(MonthlyFAME!J700=0,"",MonthlyFAME!J700)</f>
        <v>1024.9000000000001</v>
      </c>
      <c r="J698" s="21">
        <f>IF(MonthlyFAME!K700=0,"",MonthlyFAME!K700)</f>
        <v>809</v>
      </c>
      <c r="K698" s="21">
        <f>IF(MonthlyFAME!L700=0,"",MonthlyFAME!L700)</f>
        <v>508.682771836227</v>
      </c>
      <c r="L698" s="21">
        <f>IF(MonthlyFAME!M700=0,"",MonthlyFAME!M700)</f>
        <v>804.1</v>
      </c>
      <c r="M698" s="21" t="str">
        <f>IF(MonthlyFAME!N700=0,"",MonthlyFAME!N700)</f>
        <v/>
      </c>
      <c r="N698" s="21" t="str">
        <f>IF(MonthlyFAME!O700=0,"",MonthlyFAME!O700)</f>
        <v/>
      </c>
      <c r="O698" s="21" t="str">
        <f>IF(MonthlyFAME!P700=0,"",MonthlyFAME!P700)</f>
        <v/>
      </c>
      <c r="P698" s="21" t="str">
        <f>IF(MonthlyFAME!Q700=0,"",MonthlyFAME!Q700)</f>
        <v/>
      </c>
      <c r="Q698" s="21" t="str">
        <f>IF(MonthlyFAME!R700=0,"",MonthlyFAME!R700)</f>
        <v/>
      </c>
      <c r="R698" s="21" t="str">
        <f>IF(MonthlyFAME!S700=0,"",MonthlyFAME!S700)</f>
        <v/>
      </c>
      <c r="S698" s="21" t="str">
        <f>IF(MonthlyFAME!T700=0,"",MonthlyFAME!T700)</f>
        <v/>
      </c>
      <c r="T698" s="21">
        <f>IF(MonthlyFAME!U700=0,"",MonthlyFAME!U700)</f>
        <v>57.5</v>
      </c>
    </row>
    <row r="699" spans="1:20" x14ac:dyDescent="0.2">
      <c r="A699" s="23">
        <f>IF(MonthlyFAME!A701=0,"",MonthlyFAME!A701)</f>
        <v>43069</v>
      </c>
      <c r="B699" s="21">
        <f>IF(MonthlyFAME!B701=0,"",MonthlyFAME!B701)</f>
        <v>97.8</v>
      </c>
      <c r="C699" s="21">
        <f>IF(MonthlyFAME!C701=0,"",MonthlyFAME!C701)</f>
        <v>97.6</v>
      </c>
      <c r="D699" s="21">
        <f>IF(MonthlyFAME!D701=0,"",MonthlyFAME!D701)</f>
        <v>97.633600000000001</v>
      </c>
      <c r="E699" s="21">
        <f>IF(MonthlyFAME!F701=0,"",MonthlyFAME!F701)</f>
        <v>30142</v>
      </c>
      <c r="F699" s="21">
        <f>IF(MonthlyFAME!G701=0,"",MonthlyFAME!G701)</f>
        <v>41783</v>
      </c>
      <c r="G699" s="21">
        <f>IF(MonthlyFAME!H701=0,"",MonthlyFAME!H701)</f>
        <v>4.3436980773795399</v>
      </c>
      <c r="H699" s="21">
        <f>IF(MonthlyFAME!I701=0,"",MonthlyFAME!I701)</f>
        <v>32240</v>
      </c>
      <c r="I699" s="21">
        <f>IF(MonthlyFAME!J701=0,"",MonthlyFAME!J701)</f>
        <v>1028.5</v>
      </c>
      <c r="J699" s="21">
        <f>IF(MonthlyFAME!K701=0,"",MonthlyFAME!K701)</f>
        <v>819</v>
      </c>
      <c r="K699" s="21">
        <f>IF(MonthlyFAME!L701=0,"",MonthlyFAME!L701)</f>
        <v>509.72039684989602</v>
      </c>
      <c r="L699" s="21">
        <f>IF(MonthlyFAME!M701=0,"",MonthlyFAME!M701)</f>
        <v>811.5</v>
      </c>
      <c r="M699" s="21" t="str">
        <f>IF(MonthlyFAME!N701=0,"",MonthlyFAME!N701)</f>
        <v/>
      </c>
      <c r="N699" s="21" t="str">
        <f>IF(MonthlyFAME!O701=0,"",MonthlyFAME!O701)</f>
        <v/>
      </c>
      <c r="O699" s="21" t="str">
        <f>IF(MonthlyFAME!P701=0,"",MonthlyFAME!P701)</f>
        <v/>
      </c>
      <c r="P699" s="21" t="str">
        <f>IF(MonthlyFAME!Q701=0,"",MonthlyFAME!Q701)</f>
        <v/>
      </c>
      <c r="Q699" s="21" t="str">
        <f>IF(MonthlyFAME!R701=0,"",MonthlyFAME!R701)</f>
        <v/>
      </c>
      <c r="R699" s="21" t="str">
        <f>IF(MonthlyFAME!S701=0,"",MonthlyFAME!S701)</f>
        <v/>
      </c>
      <c r="S699" s="21" t="str">
        <f>IF(MonthlyFAME!T701=0,"",MonthlyFAME!T701)</f>
        <v/>
      </c>
      <c r="T699" s="21">
        <f>IF(MonthlyFAME!U701=0,"",MonthlyFAME!U701)</f>
        <v>62.73181818181817</v>
      </c>
    </row>
    <row r="700" spans="1:20" x14ac:dyDescent="0.2">
      <c r="A700" s="23">
        <f>IF(MonthlyFAME!A702=0,"",MonthlyFAME!A702)</f>
        <v>43100</v>
      </c>
      <c r="B700" s="21">
        <f>IF(MonthlyFAME!B702=0,"",MonthlyFAME!B702)</f>
        <v>98.1</v>
      </c>
      <c r="C700" s="21">
        <f>IF(MonthlyFAME!C702=0,"",MonthlyFAME!C702)</f>
        <v>97.4</v>
      </c>
      <c r="D700" s="21">
        <f>IF(MonthlyFAME!D702=0,"",MonthlyFAME!D702)</f>
        <v>97.764300000000006</v>
      </c>
      <c r="E700" s="21">
        <f>IF(MonthlyFAME!F702=0,"",MonthlyFAME!F702)</f>
        <v>29745</v>
      </c>
      <c r="F700" s="21">
        <f>IF(MonthlyFAME!G702=0,"",MonthlyFAME!G702)</f>
        <v>40302</v>
      </c>
      <c r="G700" s="21">
        <f>IF(MonthlyFAME!H702=0,"",MonthlyFAME!H702)</f>
        <v>4.4254358608809294</v>
      </c>
      <c r="H700" s="21">
        <f>IF(MonthlyFAME!I702=0,"",MonthlyFAME!I702)</f>
        <v>32179</v>
      </c>
      <c r="I700" s="21">
        <f>IF(MonthlyFAME!J702=0,"",MonthlyFAME!J702)</f>
        <v>1026.9000000000001</v>
      </c>
      <c r="J700" s="21">
        <f>IF(MonthlyFAME!K702=0,"",MonthlyFAME!K702)</f>
        <v>821</v>
      </c>
      <c r="K700" s="21">
        <f>IF(MonthlyFAME!L702=0,"",MonthlyFAME!L702)</f>
        <v>511.754325938477</v>
      </c>
      <c r="L700" s="21">
        <f>IF(MonthlyFAME!M702=0,"",MonthlyFAME!M702)</f>
        <v>824</v>
      </c>
      <c r="M700" s="21" t="str">
        <f>IF(MonthlyFAME!N702=0,"",MonthlyFAME!N702)</f>
        <v/>
      </c>
      <c r="N700" s="21" t="str">
        <f>IF(MonthlyFAME!O702=0,"",MonthlyFAME!O702)</f>
        <v/>
      </c>
      <c r="O700" s="21" t="str">
        <f>IF(MonthlyFAME!P702=0,"",MonthlyFAME!P702)</f>
        <v/>
      </c>
      <c r="P700" s="21" t="str">
        <f>IF(MonthlyFAME!Q702=0,"",MonthlyFAME!Q702)</f>
        <v/>
      </c>
      <c r="Q700" s="21" t="str">
        <f>IF(MonthlyFAME!R702=0,"",MonthlyFAME!R702)</f>
        <v/>
      </c>
      <c r="R700" s="21" t="str">
        <f>IF(MonthlyFAME!S702=0,"",MonthlyFAME!S702)</f>
        <v/>
      </c>
      <c r="S700" s="21" t="str">
        <f>IF(MonthlyFAME!T702=0,"",MonthlyFAME!T702)</f>
        <v/>
      </c>
      <c r="T700" s="21">
        <f>IF(MonthlyFAME!U702=0,"",MonthlyFAME!U702)</f>
        <v>64.406190476190474</v>
      </c>
    </row>
    <row r="701" spans="1:20" x14ac:dyDescent="0.2">
      <c r="A701" s="23">
        <f>IF(MonthlyFAME!A703=0,"",MonthlyFAME!A703)</f>
        <v>43131</v>
      </c>
      <c r="B701" s="21">
        <f>IF(MonthlyFAME!B703=0,"",MonthlyFAME!B703)</f>
        <v>97.8</v>
      </c>
      <c r="C701" s="21">
        <f>IF(MonthlyFAME!C703=0,"",MonthlyFAME!C703)</f>
        <v>98.7</v>
      </c>
      <c r="D701" s="21">
        <f>IF(MonthlyFAME!D703=0,"",MonthlyFAME!D703)</f>
        <v>97.543999999999997</v>
      </c>
      <c r="E701" s="21">
        <f>IF(MonthlyFAME!F703=0,"",MonthlyFAME!F703)</f>
        <v>30335</v>
      </c>
      <c r="F701" s="21">
        <f>IF(MonthlyFAME!G703=0,"",MonthlyFAME!G703)</f>
        <v>42528</v>
      </c>
      <c r="G701" s="21">
        <f>IF(MonthlyFAME!H703=0,"",MonthlyFAME!H703)</f>
        <v>4.3801677384939097</v>
      </c>
      <c r="H701" s="21">
        <f>IF(MonthlyFAME!I703=0,"",MonthlyFAME!I703)</f>
        <v>32265</v>
      </c>
      <c r="I701" s="21">
        <f>IF(MonthlyFAME!J703=0,"",MonthlyFAME!J703)</f>
        <v>1034.5999999999999</v>
      </c>
      <c r="J701" s="21">
        <f>IF(MonthlyFAME!K703=0,"",MonthlyFAME!K703)</f>
        <v>822</v>
      </c>
      <c r="K701" s="21">
        <f>IF(MonthlyFAME!L703=0,"",MonthlyFAME!L703)</f>
        <v>510.45652062048703</v>
      </c>
      <c r="L701" s="21">
        <f>IF(MonthlyFAME!M703=0,"",MonthlyFAME!M703)</f>
        <v>832.9</v>
      </c>
      <c r="M701" s="21" t="str">
        <f>IF(MonthlyFAME!N703=0,"",MonthlyFAME!N703)</f>
        <v/>
      </c>
      <c r="N701" s="21" t="str">
        <f>IF(MonthlyFAME!O703=0,"",MonthlyFAME!O703)</f>
        <v/>
      </c>
      <c r="O701" s="21" t="str">
        <f>IF(MonthlyFAME!P703=0,"",MonthlyFAME!P703)</f>
        <v/>
      </c>
      <c r="P701" s="21" t="str">
        <f>IF(MonthlyFAME!Q703=0,"",MonthlyFAME!Q703)</f>
        <v/>
      </c>
      <c r="Q701" s="21" t="str">
        <f>IF(MonthlyFAME!R703=0,"",MonthlyFAME!R703)</f>
        <v/>
      </c>
      <c r="R701" s="21" t="str">
        <f>IF(MonthlyFAME!S703=0,"",MonthlyFAME!S703)</f>
        <v/>
      </c>
      <c r="S701" s="21" t="str">
        <f>IF(MonthlyFAME!T703=0,"",MonthlyFAME!T703)</f>
        <v/>
      </c>
      <c r="T701" s="21">
        <f>IF(MonthlyFAME!U703=0,"",MonthlyFAME!U703)</f>
        <v>68.983478260869546</v>
      </c>
    </row>
    <row r="702" spans="1:20" x14ac:dyDescent="0.2">
      <c r="A702" s="23">
        <f>IF(MonthlyFAME!A704=0,"",MonthlyFAME!A704)</f>
        <v>43159</v>
      </c>
      <c r="B702" s="21">
        <f>IF(MonthlyFAME!B704=0,"",MonthlyFAME!B704)</f>
        <v>97.9</v>
      </c>
      <c r="C702" s="21">
        <f>IF(MonthlyFAME!C704=0,"",MonthlyFAME!C704)</f>
        <v>99.4</v>
      </c>
      <c r="D702" s="21">
        <f>IF(MonthlyFAME!D704=0,"",MonthlyFAME!D704)</f>
        <v>97.488500000000002</v>
      </c>
      <c r="E702" s="21">
        <f>IF(MonthlyFAME!F704=0,"",MonthlyFAME!F704)</f>
        <v>29366</v>
      </c>
      <c r="F702" s="21">
        <f>IF(MonthlyFAME!G704=0,"",MonthlyFAME!G704)</f>
        <v>39103</v>
      </c>
      <c r="G702" s="21">
        <f>IF(MonthlyFAME!H704=0,"",MonthlyFAME!H704)</f>
        <v>4.2867307008182145</v>
      </c>
      <c r="H702" s="21">
        <f>IF(MonthlyFAME!I704=0,"",MonthlyFAME!I704)</f>
        <v>32286</v>
      </c>
      <c r="I702" s="21">
        <f>IF(MonthlyFAME!J704=0,"",MonthlyFAME!J704)</f>
        <v>1031.7</v>
      </c>
      <c r="J702" s="21">
        <f>IF(MonthlyFAME!K704=0,"",MonthlyFAME!K704)</f>
        <v>815</v>
      </c>
      <c r="K702" s="21">
        <f>IF(MonthlyFAME!L704=0,"",MonthlyFAME!L704)</f>
        <v>512.818906853356</v>
      </c>
      <c r="L702" s="21">
        <f>IF(MonthlyFAME!M704=0,"",MonthlyFAME!M704)</f>
        <v>842.8</v>
      </c>
      <c r="M702" s="21" t="str">
        <f>IF(MonthlyFAME!N704=0,"",MonthlyFAME!N704)</f>
        <v/>
      </c>
      <c r="N702" s="21" t="str">
        <f>IF(MonthlyFAME!O704=0,"",MonthlyFAME!O704)</f>
        <v/>
      </c>
      <c r="O702" s="21" t="str">
        <f>IF(MonthlyFAME!P704=0,"",MonthlyFAME!P704)</f>
        <v/>
      </c>
      <c r="P702" s="21" t="str">
        <f>IF(MonthlyFAME!Q704=0,"",MonthlyFAME!Q704)</f>
        <v/>
      </c>
      <c r="Q702" s="21" t="str">
        <f>IF(MonthlyFAME!R704=0,"",MonthlyFAME!R704)</f>
        <v/>
      </c>
      <c r="R702" s="21" t="str">
        <f>IF(MonthlyFAME!S704=0,"",MonthlyFAME!S704)</f>
        <v/>
      </c>
      <c r="S702" s="21" t="str">
        <f>IF(MonthlyFAME!T704=0,"",MonthlyFAME!T704)</f>
        <v/>
      </c>
      <c r="T702" s="21">
        <f>IF(MonthlyFAME!U704=0,"",MonthlyFAME!U704)</f>
        <v>65.317499999999981</v>
      </c>
    </row>
    <row r="703" spans="1:20" x14ac:dyDescent="0.2">
      <c r="A703" s="23">
        <f>IF(MonthlyFAME!A705=0,"",MonthlyFAME!A705)</f>
        <v>43190</v>
      </c>
      <c r="B703" s="21">
        <f>IF(MonthlyFAME!B705=0,"",MonthlyFAME!B705)</f>
        <v>98</v>
      </c>
      <c r="C703" s="21">
        <f>IF(MonthlyFAME!C705=0,"",MonthlyFAME!C705)</f>
        <v>99</v>
      </c>
      <c r="D703" s="21">
        <f>IF(MonthlyFAME!D705=0,"",MonthlyFAME!D705)</f>
        <v>97.860299999999995</v>
      </c>
      <c r="E703" s="21">
        <f>IF(MonthlyFAME!F705=0,"",MonthlyFAME!F705)</f>
        <v>30158</v>
      </c>
      <c r="F703" s="21">
        <f>IF(MonthlyFAME!G705=0,"",MonthlyFAME!G705)</f>
        <v>42568</v>
      </c>
      <c r="G703" s="21">
        <f>IF(MonthlyFAME!H705=0,"",MonthlyFAME!H705)</f>
        <v>4.2740098790262948</v>
      </c>
      <c r="H703" s="21">
        <f>IF(MonthlyFAME!I705=0,"",MonthlyFAME!I705)</f>
        <v>32364</v>
      </c>
      <c r="I703" s="21">
        <f>IF(MonthlyFAME!J705=0,"",MonthlyFAME!J705)</f>
        <v>1031.9000000000001</v>
      </c>
      <c r="J703" s="21">
        <f>IF(MonthlyFAME!K705=0,"",MonthlyFAME!K705)</f>
        <v>814</v>
      </c>
      <c r="K703" s="21">
        <f>IF(MonthlyFAME!L705=0,"",MonthlyFAME!L705)</f>
        <v>513.31103629005997</v>
      </c>
      <c r="L703" s="21">
        <f>IF(MonthlyFAME!M705=0,"",MonthlyFAME!M705)</f>
        <v>854.6</v>
      </c>
      <c r="M703" s="21" t="str">
        <f>IF(MonthlyFAME!N705=0,"",MonthlyFAME!N705)</f>
        <v/>
      </c>
      <c r="N703" s="21" t="str">
        <f>IF(MonthlyFAME!O705=0,"",MonthlyFAME!O705)</f>
        <v/>
      </c>
      <c r="O703" s="21" t="str">
        <f>IF(MonthlyFAME!P705=0,"",MonthlyFAME!P705)</f>
        <v/>
      </c>
      <c r="P703" s="21" t="str">
        <f>IF(MonthlyFAME!Q705=0,"",MonthlyFAME!Q705)</f>
        <v/>
      </c>
      <c r="Q703" s="21" t="str">
        <f>IF(MonthlyFAME!R705=0,"",MonthlyFAME!R705)</f>
        <v/>
      </c>
      <c r="R703" s="21" t="str">
        <f>IF(MonthlyFAME!S705=0,"",MonthlyFAME!S705)</f>
        <v/>
      </c>
      <c r="S703" s="21" t="str">
        <f>IF(MonthlyFAME!T705=0,"",MonthlyFAME!T705)</f>
        <v/>
      </c>
      <c r="T703" s="21">
        <f>IF(MonthlyFAME!U705=0,"",MonthlyFAME!U705)</f>
        <v>66.153181818181807</v>
      </c>
    </row>
    <row r="704" spans="1:20" x14ac:dyDescent="0.2">
      <c r="A704" s="23">
        <f>IF(MonthlyFAME!A706=0,"",MonthlyFAME!A706)</f>
        <v>43220</v>
      </c>
      <c r="B704" s="21">
        <f>IF(MonthlyFAME!B706=0,"",MonthlyFAME!B706)</f>
        <v>97.8</v>
      </c>
      <c r="C704" s="21">
        <f>IF(MonthlyFAME!C706=0,"",MonthlyFAME!C706)</f>
        <v>98.5</v>
      </c>
      <c r="D704" s="21">
        <f>IF(MonthlyFAME!D706=0,"",MonthlyFAME!D706)</f>
        <v>97.75</v>
      </c>
      <c r="E704" s="21">
        <f>IF(MonthlyFAME!F706=0,"",MonthlyFAME!F706)</f>
        <v>29670</v>
      </c>
      <c r="F704" s="21">
        <f>IF(MonthlyFAME!G706=0,"",MonthlyFAME!G706)</f>
        <v>41802</v>
      </c>
      <c r="G704" s="21">
        <f>IF(MonthlyFAME!H706=0,"",MonthlyFAME!H706)</f>
        <v>4.2655008418751663</v>
      </c>
      <c r="H704" s="21">
        <f>IF(MonthlyFAME!I706=0,"",MonthlyFAME!I706)</f>
        <v>32409</v>
      </c>
      <c r="I704" s="21">
        <f>IF(MonthlyFAME!J706=0,"",MonthlyFAME!J706)</f>
        <v>1029.5999999999999</v>
      </c>
      <c r="J704" s="21">
        <f>IF(MonthlyFAME!K706=0,"",MonthlyFAME!K706)</f>
        <v>812</v>
      </c>
      <c r="K704" s="21">
        <f>IF(MonthlyFAME!L706=0,"",MonthlyFAME!L706)</f>
        <v>515.34961440522397</v>
      </c>
      <c r="L704" s="21">
        <f>IF(MonthlyFAME!M706=0,"",MonthlyFAME!M706)</f>
        <v>866.2</v>
      </c>
      <c r="M704" s="21" t="str">
        <f>IF(MonthlyFAME!N706=0,"",MonthlyFAME!N706)</f>
        <v/>
      </c>
      <c r="N704" s="21" t="str">
        <f>IF(MonthlyFAME!O706=0,"",MonthlyFAME!O706)</f>
        <v/>
      </c>
      <c r="O704" s="21" t="str">
        <f>IF(MonthlyFAME!P706=0,"",MonthlyFAME!P706)</f>
        <v/>
      </c>
      <c r="P704" s="21" t="str">
        <f>IF(MonthlyFAME!Q706=0,"",MonthlyFAME!Q706)</f>
        <v/>
      </c>
      <c r="Q704" s="21" t="str">
        <f>IF(MonthlyFAME!R706=0,"",MonthlyFAME!R706)</f>
        <v/>
      </c>
      <c r="R704" s="21" t="str">
        <f>IF(MonthlyFAME!S706=0,"",MonthlyFAME!S706)</f>
        <v/>
      </c>
      <c r="S704" s="21" t="str">
        <f>IF(MonthlyFAME!T706=0,"",MonthlyFAME!T706)</f>
        <v/>
      </c>
      <c r="T704" s="21">
        <f>IF(MonthlyFAME!U706=0,"",MonthlyFAME!U706)</f>
        <v>71.857142857142861</v>
      </c>
    </row>
    <row r="705" spans="1:20" x14ac:dyDescent="0.2">
      <c r="A705" s="23">
        <f>IF(MonthlyFAME!A707=0,"",MonthlyFAME!A707)</f>
        <v>43251</v>
      </c>
      <c r="B705" s="21">
        <f>IF(MonthlyFAME!B707=0,"",MonthlyFAME!B707)</f>
        <v>98.1</v>
      </c>
      <c r="C705" s="21">
        <f>IF(MonthlyFAME!C707=0,"",MonthlyFAME!C707)</f>
        <v>97.9</v>
      </c>
      <c r="D705" s="21">
        <f>IF(MonthlyFAME!D707=0,"",MonthlyFAME!D707)</f>
        <v>98.126499999999993</v>
      </c>
      <c r="E705" s="21">
        <f>IF(MonthlyFAME!F707=0,"",MonthlyFAME!F707)</f>
        <v>29746</v>
      </c>
      <c r="F705" s="21">
        <f>IF(MonthlyFAME!G707=0,"",MonthlyFAME!G707)</f>
        <v>41239</v>
      </c>
      <c r="G705" s="21">
        <f>IF(MonthlyFAME!H707=0,"",MonthlyFAME!H707)</f>
        <v>4.2451994091580501</v>
      </c>
      <c r="H705" s="21">
        <f>IF(MonthlyFAME!I707=0,"",MonthlyFAME!I707)</f>
        <v>32413</v>
      </c>
      <c r="I705" s="21">
        <f>IF(MonthlyFAME!J707=0,"",MonthlyFAME!J707)</f>
        <v>1032.5</v>
      </c>
      <c r="J705" s="21">
        <f>IF(MonthlyFAME!K707=0,"",MonthlyFAME!K707)</f>
        <v>819</v>
      </c>
      <c r="K705" s="21">
        <f>IF(MonthlyFAME!L707=0,"",MonthlyFAME!L707)</f>
        <v>516.16380793143105</v>
      </c>
      <c r="L705" s="21">
        <f>IF(MonthlyFAME!M707=0,"",MonthlyFAME!M707)</f>
        <v>880.1</v>
      </c>
      <c r="M705" s="21" t="str">
        <f>IF(MonthlyFAME!N707=0,"",MonthlyFAME!N707)</f>
        <v/>
      </c>
      <c r="N705" s="21" t="str">
        <f>IF(MonthlyFAME!O707=0,"",MonthlyFAME!O707)</f>
        <v/>
      </c>
      <c r="O705" s="21" t="str">
        <f>IF(MonthlyFAME!P707=0,"",MonthlyFAME!P707)</f>
        <v/>
      </c>
      <c r="P705" s="21" t="str">
        <f>IF(MonthlyFAME!Q707=0,"",MonthlyFAME!Q707)</f>
        <v/>
      </c>
      <c r="Q705" s="21" t="str">
        <f>IF(MonthlyFAME!R707=0,"",MonthlyFAME!R707)</f>
        <v/>
      </c>
      <c r="R705" s="21" t="str">
        <f>IF(MonthlyFAME!S707=0,"",MonthlyFAME!S707)</f>
        <v/>
      </c>
      <c r="S705" s="21" t="str">
        <f>IF(MonthlyFAME!T707=0,"",MonthlyFAME!T707)</f>
        <v/>
      </c>
      <c r="T705" s="21">
        <f>IF(MonthlyFAME!U707=0,"",MonthlyFAME!U707)</f>
        <v>76.862173913043492</v>
      </c>
    </row>
    <row r="706" spans="1:20" x14ac:dyDescent="0.2">
      <c r="A706" s="23">
        <f>IF(MonthlyFAME!A708=0,"",MonthlyFAME!A708)</f>
        <v>43281</v>
      </c>
      <c r="B706" s="21">
        <f>IF(MonthlyFAME!B708=0,"",MonthlyFAME!B708)</f>
        <v>98.4</v>
      </c>
      <c r="C706" s="21">
        <f>IF(MonthlyFAME!C708=0,"",MonthlyFAME!C708)</f>
        <v>100.1</v>
      </c>
      <c r="D706" s="21">
        <f>IF(MonthlyFAME!D708=0,"",MonthlyFAME!D708)</f>
        <v>98.129499999999993</v>
      </c>
      <c r="E706" s="21">
        <f>IF(MonthlyFAME!F708=0,"",MonthlyFAME!F708)</f>
        <v>31307</v>
      </c>
      <c r="F706" s="21">
        <f>IF(MonthlyFAME!G708=0,"",MonthlyFAME!G708)</f>
        <v>41312</v>
      </c>
      <c r="G706" s="21">
        <f>IF(MonthlyFAME!H708=0,"",MonthlyFAME!H708)</f>
        <v>4.1161152867372905</v>
      </c>
      <c r="H706" s="21">
        <f>IF(MonthlyFAME!I708=0,"",MonthlyFAME!I708)</f>
        <v>32403</v>
      </c>
      <c r="I706" s="21">
        <f>IF(MonthlyFAME!J708=0,"",MonthlyFAME!J708)</f>
        <v>1033.5999999999999</v>
      </c>
      <c r="J706" s="21">
        <f>IF(MonthlyFAME!K708=0,"",MonthlyFAME!K708)</f>
        <v>829</v>
      </c>
      <c r="K706" s="21">
        <f>IF(MonthlyFAME!L708=0,"",MonthlyFAME!L708)</f>
        <v>518.91389112941295</v>
      </c>
      <c r="L706" s="21">
        <f>IF(MonthlyFAME!M708=0,"",MonthlyFAME!M708)</f>
        <v>881.4</v>
      </c>
      <c r="M706" s="21" t="str">
        <f>IF(MonthlyFAME!N708=0,"",MonthlyFAME!N708)</f>
        <v/>
      </c>
      <c r="N706" s="21" t="str">
        <f>IF(MonthlyFAME!O708=0,"",MonthlyFAME!O708)</f>
        <v/>
      </c>
      <c r="O706" s="21" t="str">
        <f>IF(MonthlyFAME!P708=0,"",MonthlyFAME!P708)</f>
        <v/>
      </c>
      <c r="P706" s="21" t="str">
        <f>IF(MonthlyFAME!Q708=0,"",MonthlyFAME!Q708)</f>
        <v/>
      </c>
      <c r="Q706" s="21" t="str">
        <f>IF(MonthlyFAME!R708=0,"",MonthlyFAME!R708)</f>
        <v/>
      </c>
      <c r="R706" s="21" t="str">
        <f>IF(MonthlyFAME!S708=0,"",MonthlyFAME!S708)</f>
        <v/>
      </c>
      <c r="S706" s="21" t="str">
        <f>IF(MonthlyFAME!T708=0,"",MonthlyFAME!T708)</f>
        <v/>
      </c>
      <c r="T706" s="21">
        <f>IF(MonthlyFAME!U708=0,"",MonthlyFAME!U708)</f>
        <v>74.404761904761898</v>
      </c>
    </row>
    <row r="707" spans="1:20" x14ac:dyDescent="0.2">
      <c r="A707" s="23">
        <f>IF(MonthlyFAME!A709=0,"",MonthlyFAME!A709)</f>
        <v>43312</v>
      </c>
      <c r="B707" s="21">
        <f>IF(MonthlyFAME!B709=0,"",MonthlyFAME!B709)</f>
        <v>98.3</v>
      </c>
      <c r="C707" s="21">
        <f>IF(MonthlyFAME!C709=0,"",MonthlyFAME!C709)</f>
        <v>98.7</v>
      </c>
      <c r="D707" s="21">
        <f>IF(MonthlyFAME!D709=0,"",MonthlyFAME!D709)</f>
        <v>98.204999999999998</v>
      </c>
      <c r="E707" s="21">
        <f>IF(MonthlyFAME!F709=0,"",MonthlyFAME!F709)</f>
        <v>31067</v>
      </c>
      <c r="F707" s="21">
        <f>IF(MonthlyFAME!G709=0,"",MonthlyFAME!G709)</f>
        <v>41629</v>
      </c>
      <c r="G707" s="21">
        <f>IF(MonthlyFAME!H709=0,"",MonthlyFAME!H709)</f>
        <v>4.1023365868086366</v>
      </c>
      <c r="H707" s="21">
        <f>IF(MonthlyFAME!I709=0,"",MonthlyFAME!I709)</f>
        <v>32423</v>
      </c>
      <c r="I707" s="21">
        <f>IF(MonthlyFAME!J709=0,"",MonthlyFAME!J709)</f>
        <v>1035.2</v>
      </c>
      <c r="J707" s="21">
        <f>IF(MonthlyFAME!K709=0,"",MonthlyFAME!K709)</f>
        <v>839</v>
      </c>
      <c r="K707" s="21">
        <f>IF(MonthlyFAME!L709=0,"",MonthlyFAME!L709)</f>
        <v>520.70796464669502</v>
      </c>
      <c r="L707" s="21">
        <f>IF(MonthlyFAME!M709=0,"",MonthlyFAME!M709)</f>
        <v>892.2</v>
      </c>
      <c r="M707" s="21" t="str">
        <f>IF(MonthlyFAME!N709=0,"",MonthlyFAME!N709)</f>
        <v/>
      </c>
      <c r="N707" s="21" t="str">
        <f>IF(MonthlyFAME!O709=0,"",MonthlyFAME!O709)</f>
        <v/>
      </c>
      <c r="O707" s="21" t="str">
        <f>IF(MonthlyFAME!P709=0,"",MonthlyFAME!P709)</f>
        <v/>
      </c>
      <c r="P707" s="21" t="str">
        <f>IF(MonthlyFAME!Q709=0,"",MonthlyFAME!Q709)</f>
        <v/>
      </c>
      <c r="Q707" s="21" t="str">
        <f>IF(MonthlyFAME!R709=0,"",MonthlyFAME!R709)</f>
        <v/>
      </c>
      <c r="R707" s="21" t="str">
        <f>IF(MonthlyFAME!S709=0,"",MonthlyFAME!S709)</f>
        <v/>
      </c>
      <c r="S707" s="21" t="str">
        <f>IF(MonthlyFAME!T709=0,"",MonthlyFAME!T709)</f>
        <v/>
      </c>
      <c r="T707" s="21">
        <f>IF(MonthlyFAME!U709=0,"",MonthlyFAME!U709)</f>
        <v>74.25409090909092</v>
      </c>
    </row>
    <row r="708" spans="1:20" x14ac:dyDescent="0.2">
      <c r="A708" s="23">
        <f>IF(MonthlyFAME!A710=0,"",MonthlyFAME!A710)</f>
        <v>43343</v>
      </c>
      <c r="B708" s="21">
        <f>IF(MonthlyFAME!B710=0,"",MonthlyFAME!B710)</f>
        <v>98.5</v>
      </c>
      <c r="C708" s="21">
        <f>IF(MonthlyFAME!C710=0,"",MonthlyFAME!C710)</f>
        <v>98.7</v>
      </c>
      <c r="D708" s="21">
        <f>IF(MonthlyFAME!D710=0,"",MonthlyFAME!D710)</f>
        <v>98.483000000000004</v>
      </c>
      <c r="E708" s="21">
        <f>IF(MonthlyFAME!F710=0,"",MonthlyFAME!F710)</f>
        <v>29836</v>
      </c>
      <c r="F708" s="21">
        <f>IF(MonthlyFAME!G710=0,"",MonthlyFAME!G710)</f>
        <v>42604</v>
      </c>
      <c r="G708" s="21">
        <f>IF(MonthlyFAME!H710=0,"",MonthlyFAME!H710)</f>
        <v>4.1160294509003812</v>
      </c>
      <c r="H708" s="21">
        <f>IF(MonthlyFAME!I710=0,"",MonthlyFAME!I710)</f>
        <v>32427</v>
      </c>
      <c r="I708" s="21">
        <f>IF(MonthlyFAME!J710=0,"",MonthlyFAME!J710)</f>
        <v>1041.0999999999999</v>
      </c>
      <c r="J708" s="21">
        <f>IF(MonthlyFAME!K710=0,"",MonthlyFAME!K710)</f>
        <v>843</v>
      </c>
      <c r="K708" s="21">
        <f>IF(MonthlyFAME!L710=0,"",MonthlyFAME!L710)</f>
        <v>523.15603781951302</v>
      </c>
      <c r="L708" s="21">
        <f>IF(MonthlyFAME!M710=0,"",MonthlyFAME!M710)</f>
        <v>904.1</v>
      </c>
      <c r="M708" s="21" t="str">
        <f>IF(MonthlyFAME!N710=0,"",MonthlyFAME!N710)</f>
        <v/>
      </c>
      <c r="N708" s="21" t="str">
        <f>IF(MonthlyFAME!O710=0,"",MonthlyFAME!O710)</f>
        <v/>
      </c>
      <c r="O708" s="21" t="str">
        <f>IF(MonthlyFAME!P710=0,"",MonthlyFAME!P710)</f>
        <v/>
      </c>
      <c r="P708" s="21" t="str">
        <f>IF(MonthlyFAME!Q710=0,"",MonthlyFAME!Q710)</f>
        <v/>
      </c>
      <c r="Q708" s="21" t="str">
        <f>IF(MonthlyFAME!R710=0,"",MonthlyFAME!R710)</f>
        <v/>
      </c>
      <c r="R708" s="21" t="str">
        <f>IF(MonthlyFAME!S710=0,"",MonthlyFAME!S710)</f>
        <v/>
      </c>
      <c r="S708" s="21" t="str">
        <f>IF(MonthlyFAME!T710=0,"",MonthlyFAME!T710)</f>
        <v/>
      </c>
      <c r="T708" s="21">
        <f>IF(MonthlyFAME!U710=0,"",MonthlyFAME!U710)</f>
        <v>72.52826086956523</v>
      </c>
    </row>
    <row r="709" spans="1:20" x14ac:dyDescent="0.2">
      <c r="A709" s="23">
        <f>IF(MonthlyFAME!A711=0,"",MonthlyFAME!A711)</f>
        <v>43373</v>
      </c>
      <c r="B709" s="21">
        <f>IF(MonthlyFAME!B711=0,"",MonthlyFAME!B711)</f>
        <v>98.6</v>
      </c>
      <c r="C709" s="21">
        <f>IF(MonthlyFAME!C711=0,"",MonthlyFAME!C711)</f>
        <v>98.4</v>
      </c>
      <c r="D709" s="21">
        <f>IF(MonthlyFAME!D711=0,"",MonthlyFAME!D711)</f>
        <v>98.690100000000001</v>
      </c>
      <c r="E709" s="21">
        <f>IF(MonthlyFAME!F711=0,"",MonthlyFAME!F711)</f>
        <v>30535</v>
      </c>
      <c r="F709" s="21">
        <f>IF(MonthlyFAME!G711=0,"",MonthlyFAME!G711)</f>
        <v>40723</v>
      </c>
      <c r="G709" s="21">
        <f>IF(MonthlyFAME!H711=0,"",MonthlyFAME!H711)</f>
        <v>4.1559592379264512</v>
      </c>
      <c r="H709" s="21">
        <f>IF(MonthlyFAME!I711=0,"",MonthlyFAME!I711)</f>
        <v>32448</v>
      </c>
      <c r="I709" s="21">
        <f>IF(MonthlyFAME!J711=0,"",MonthlyFAME!J711)</f>
        <v>1042.7</v>
      </c>
      <c r="J709" s="21">
        <f>IF(MonthlyFAME!K711=0,"",MonthlyFAME!K711)</f>
        <v>844</v>
      </c>
      <c r="K709" s="21">
        <f>IF(MonthlyFAME!L711=0,"",MonthlyFAME!L711)</f>
        <v>523.26298452875199</v>
      </c>
      <c r="L709" s="21">
        <f>IF(MonthlyFAME!M711=0,"",MonthlyFAME!M711)</f>
        <v>926.4</v>
      </c>
      <c r="M709" s="21" t="str">
        <f>IF(MonthlyFAME!N711=0,"",MonthlyFAME!N711)</f>
        <v/>
      </c>
      <c r="N709" s="21" t="str">
        <f>IF(MonthlyFAME!O711=0,"",MonthlyFAME!O711)</f>
        <v/>
      </c>
      <c r="O709" s="21" t="str">
        <f>IF(MonthlyFAME!P711=0,"",MonthlyFAME!P711)</f>
        <v/>
      </c>
      <c r="P709" s="21" t="str">
        <f>IF(MonthlyFAME!Q711=0,"",MonthlyFAME!Q711)</f>
        <v/>
      </c>
      <c r="Q709" s="21" t="str">
        <f>IF(MonthlyFAME!R711=0,"",MonthlyFAME!R711)</f>
        <v/>
      </c>
      <c r="R709" s="21" t="str">
        <f>IF(MonthlyFAME!S711=0,"",MonthlyFAME!S711)</f>
        <v/>
      </c>
      <c r="S709" s="21" t="str">
        <f>IF(MonthlyFAME!T711=0,"",MonthlyFAME!T711)</f>
        <v/>
      </c>
      <c r="T709" s="21">
        <f>IF(MonthlyFAME!U711=0,"",MonthlyFAME!U711)</f>
        <v>78.89100000000002</v>
      </c>
    </row>
    <row r="710" spans="1:20" x14ac:dyDescent="0.2">
      <c r="A710" s="23">
        <f>IF(MonthlyFAME!A712=0,"",MonthlyFAME!A712)</f>
        <v>43404</v>
      </c>
      <c r="B710" s="21">
        <f>IF(MonthlyFAME!B712=0,"",MonthlyFAME!B712)</f>
        <v>98.5</v>
      </c>
      <c r="C710" s="21">
        <f>IF(MonthlyFAME!C712=0,"",MonthlyFAME!C712)</f>
        <v>97.6</v>
      </c>
      <c r="D710" s="21">
        <f>IF(MonthlyFAME!D712=0,"",MonthlyFAME!D712)</f>
        <v>98.708699999999993</v>
      </c>
      <c r="E710" s="21">
        <f>IF(MonthlyFAME!F712=0,"",MonthlyFAME!F712)</f>
        <v>29984</v>
      </c>
      <c r="F710" s="21">
        <f>IF(MonthlyFAME!G712=0,"",MonthlyFAME!G712)</f>
        <v>42750</v>
      </c>
      <c r="G710" s="21">
        <f>IF(MonthlyFAME!H712=0,"",MonthlyFAME!H712)</f>
        <v>4.1397611676249451</v>
      </c>
      <c r="H710" s="21">
        <f>IF(MonthlyFAME!I712=0,"",MonthlyFAME!I712)</f>
        <v>32511</v>
      </c>
      <c r="I710" s="21">
        <f>IF(MonthlyFAME!J712=0,"",MonthlyFAME!J712)</f>
        <v>1044.8</v>
      </c>
      <c r="J710" s="21">
        <f>IF(MonthlyFAME!K712=0,"",MonthlyFAME!K712)</f>
        <v>862</v>
      </c>
      <c r="K710" s="21">
        <f>IF(MonthlyFAME!L712=0,"",MonthlyFAME!L712)</f>
        <v>530.18919037528599</v>
      </c>
      <c r="L710" s="21">
        <f>IF(MonthlyFAME!M712=0,"",MonthlyFAME!M712)</f>
        <v>951.1</v>
      </c>
      <c r="M710" s="21" t="str">
        <f>IF(MonthlyFAME!N712=0,"",MonthlyFAME!N712)</f>
        <v/>
      </c>
      <c r="N710" s="21" t="str">
        <f>IF(MonthlyFAME!O712=0,"",MonthlyFAME!O712)</f>
        <v/>
      </c>
      <c r="O710" s="21" t="str">
        <f>IF(MonthlyFAME!P712=0,"",MonthlyFAME!P712)</f>
        <v/>
      </c>
      <c r="P710" s="21" t="str">
        <f>IF(MonthlyFAME!Q712=0,"",MonthlyFAME!Q712)</f>
        <v/>
      </c>
      <c r="Q710" s="21" t="str">
        <f>IF(MonthlyFAME!R712=0,"",MonthlyFAME!R712)</f>
        <v/>
      </c>
      <c r="R710" s="21" t="str">
        <f>IF(MonthlyFAME!S712=0,"",MonthlyFAME!S712)</f>
        <v/>
      </c>
      <c r="S710" s="21" t="str">
        <f>IF(MonthlyFAME!T712=0,"",MonthlyFAME!T712)</f>
        <v/>
      </c>
      <c r="T710" s="21">
        <f>IF(MonthlyFAME!U712=0,"",MonthlyFAME!U712)</f>
        <v>81.032173913043479</v>
      </c>
    </row>
    <row r="711" spans="1:20" x14ac:dyDescent="0.2">
      <c r="A711" s="23">
        <f>IF(MonthlyFAME!A713=0,"",MonthlyFAME!A713)</f>
        <v>43434</v>
      </c>
      <c r="B711" s="21">
        <f>IF(MonthlyFAME!B713=0,"",MonthlyFAME!B713)</f>
        <v>98.8</v>
      </c>
      <c r="C711" s="21">
        <f>IF(MonthlyFAME!C713=0,"",MonthlyFAME!C713)</f>
        <v>96.5</v>
      </c>
      <c r="D711" s="21">
        <f>IF(MonthlyFAME!D713=0,"",MonthlyFAME!D713)</f>
        <v>99.222899999999996</v>
      </c>
      <c r="E711" s="21">
        <f>IF(MonthlyFAME!F713=0,"",MonthlyFAME!F713)</f>
        <v>29958</v>
      </c>
      <c r="F711" s="21">
        <f>IF(MonthlyFAME!G713=0,"",MonthlyFAME!G713)</f>
        <v>42548</v>
      </c>
      <c r="G711" s="21">
        <f>IF(MonthlyFAME!H713=0,"",MonthlyFAME!H713)</f>
        <v>4.12507728999205</v>
      </c>
      <c r="H711" s="21">
        <f>IF(MonthlyFAME!I713=0,"",MonthlyFAME!I713)</f>
        <v>32562</v>
      </c>
      <c r="I711" s="21">
        <f>IF(MonthlyFAME!J713=0,"",MonthlyFAME!J713)</f>
        <v>1040.0999999999999</v>
      </c>
      <c r="J711" s="21">
        <f>IF(MonthlyFAME!K713=0,"",MonthlyFAME!K713)</f>
        <v>861</v>
      </c>
      <c r="K711" s="21">
        <f>IF(MonthlyFAME!L713=0,"",MonthlyFAME!L713)</f>
        <v>525.73368949337998</v>
      </c>
      <c r="L711" s="21">
        <f>IF(MonthlyFAME!M713=0,"",MonthlyFAME!M713)</f>
        <v>973.3</v>
      </c>
      <c r="M711" s="21" t="str">
        <f>IF(MonthlyFAME!N713=0,"",MonthlyFAME!N713)</f>
        <v/>
      </c>
      <c r="N711" s="21" t="str">
        <f>IF(MonthlyFAME!O713=0,"",MonthlyFAME!O713)</f>
        <v/>
      </c>
      <c r="O711" s="21" t="str">
        <f>IF(MonthlyFAME!P713=0,"",MonthlyFAME!P713)</f>
        <v/>
      </c>
      <c r="P711" s="21" t="str">
        <f>IF(MonthlyFAME!Q713=0,"",MonthlyFAME!Q713)</f>
        <v/>
      </c>
      <c r="Q711" s="21" t="str">
        <f>IF(MonthlyFAME!R713=0,"",MonthlyFAME!R713)</f>
        <v/>
      </c>
      <c r="R711" s="21" t="str">
        <f>IF(MonthlyFAME!S713=0,"",MonthlyFAME!S713)</f>
        <v/>
      </c>
      <c r="S711" s="21" t="str">
        <f>IF(MonthlyFAME!T713=0,"",MonthlyFAME!T713)</f>
        <v/>
      </c>
      <c r="T711" s="21">
        <f>IF(MonthlyFAME!U713=0,"",MonthlyFAME!U713)</f>
        <v>64.74818181818182</v>
      </c>
    </row>
    <row r="712" spans="1:20" x14ac:dyDescent="0.2">
      <c r="A712" s="23">
        <f>IF(MonthlyFAME!A714=0,"",MonthlyFAME!A714)</f>
        <v>43465</v>
      </c>
      <c r="B712" s="21">
        <f>IF(MonthlyFAME!B714=0,"",MonthlyFAME!B714)</f>
        <v>98.5</v>
      </c>
      <c r="C712" s="21">
        <f>IF(MonthlyFAME!C714=0,"",MonthlyFAME!C714)</f>
        <v>96.1</v>
      </c>
      <c r="D712" s="21">
        <f>IF(MonthlyFAME!D714=0,"",MonthlyFAME!D714)</f>
        <v>99.068799999999996</v>
      </c>
      <c r="E712" s="21">
        <f>IF(MonthlyFAME!F714=0,"",MonthlyFAME!F714)</f>
        <v>28679</v>
      </c>
      <c r="F712" s="21">
        <f>IF(MonthlyFAME!G714=0,"",MonthlyFAME!G714)</f>
        <v>41456</v>
      </c>
      <c r="G712" s="21">
        <f>IF(MonthlyFAME!H714=0,"",MonthlyFAME!H714)</f>
        <v>4.1013730044394787</v>
      </c>
      <c r="H712" s="21">
        <f>IF(MonthlyFAME!I714=0,"",MonthlyFAME!I714)</f>
        <v>32618</v>
      </c>
      <c r="I712" s="21">
        <f>IF(MonthlyFAME!J714=0,"",MonthlyFAME!J714)</f>
        <v>1042</v>
      </c>
      <c r="J712" s="21">
        <f>IF(MonthlyFAME!K714=0,"",MonthlyFAME!K714)</f>
        <v>856</v>
      </c>
      <c r="K712" s="21">
        <f>IF(MonthlyFAME!L714=0,"",MonthlyFAME!L714)</f>
        <v>528.03593333259698</v>
      </c>
      <c r="L712" s="21">
        <f>IF(MonthlyFAME!M714=0,"",MonthlyFAME!M714)</f>
        <v>1000.5</v>
      </c>
      <c r="M712" s="21" t="str">
        <f>IF(MonthlyFAME!N714=0,"",MonthlyFAME!N714)</f>
        <v/>
      </c>
      <c r="N712" s="21" t="str">
        <f>IF(MonthlyFAME!O714=0,"",MonthlyFAME!O714)</f>
        <v/>
      </c>
      <c r="O712" s="21" t="str">
        <f>IF(MonthlyFAME!P714=0,"",MonthlyFAME!P714)</f>
        <v/>
      </c>
      <c r="P712" s="21" t="str">
        <f>IF(MonthlyFAME!Q714=0,"",MonthlyFAME!Q714)</f>
        <v/>
      </c>
      <c r="Q712" s="21" t="str">
        <f>IF(MonthlyFAME!R714=0,"",MonthlyFAME!R714)</f>
        <v/>
      </c>
      <c r="R712" s="21" t="str">
        <f>IF(MonthlyFAME!S714=0,"",MonthlyFAME!S714)</f>
        <v/>
      </c>
      <c r="S712" s="21" t="str">
        <f>IF(MonthlyFAME!T714=0,"",MonthlyFAME!T714)</f>
        <v/>
      </c>
      <c r="T712" s="21">
        <f>IF(MonthlyFAME!U714=0,"",MonthlyFAME!U714)</f>
        <v>56.262857142857143</v>
      </c>
    </row>
    <row r="713" spans="1:20" x14ac:dyDescent="0.2">
      <c r="A713" s="23">
        <f>IF(MonthlyFAME!A715=0,"",MonthlyFAME!A715)</f>
        <v>43496</v>
      </c>
      <c r="B713" s="21">
        <f>IF(MonthlyFAME!B715=0,"",MonthlyFAME!B715)</f>
        <v>98.9</v>
      </c>
      <c r="C713" s="21">
        <f>IF(MonthlyFAME!C715=0,"",MonthlyFAME!C715)</f>
        <v>97.4</v>
      </c>
      <c r="D713" s="21">
        <f>IF(MonthlyFAME!D715=0,"",MonthlyFAME!D715)</f>
        <v>99.176199999999994</v>
      </c>
      <c r="E713" s="21">
        <f>IF(MonthlyFAME!F715=0,"",MonthlyFAME!F715)</f>
        <v>29902</v>
      </c>
      <c r="F713" s="21">
        <f>IF(MonthlyFAME!G715=0,"",MonthlyFAME!G715)</f>
        <v>46712</v>
      </c>
      <c r="G713" s="21">
        <f>IF(MonthlyFAME!H715=0,"",MonthlyFAME!H715)</f>
        <v>4.0197027003254462</v>
      </c>
      <c r="H713" s="21">
        <f>IF(MonthlyFAME!I715=0,"",MonthlyFAME!I715)</f>
        <v>32736</v>
      </c>
      <c r="I713" s="21">
        <f>IF(MonthlyFAME!J715=0,"",MonthlyFAME!J715)</f>
        <v>1047.5</v>
      </c>
      <c r="J713" s="21">
        <f>IF(MonthlyFAME!K715=0,"",MonthlyFAME!K715)</f>
        <v>859</v>
      </c>
      <c r="K713" s="21">
        <f>IF(MonthlyFAME!L715=0,"",MonthlyFAME!L715)</f>
        <v>529.90598502155103</v>
      </c>
      <c r="L713" s="21">
        <f>IF(MonthlyFAME!M715=0,"",MonthlyFAME!M715)</f>
        <v>1019.1</v>
      </c>
      <c r="M713" s="21" t="str">
        <f>IF(MonthlyFAME!N715=0,"",MonthlyFAME!N715)</f>
        <v/>
      </c>
      <c r="N713" s="21" t="str">
        <f>IF(MonthlyFAME!O715=0,"",MonthlyFAME!O715)</f>
        <v/>
      </c>
      <c r="O713" s="21" t="str">
        <f>IF(MonthlyFAME!P715=0,"",MonthlyFAME!P715)</f>
        <v/>
      </c>
      <c r="P713" s="21" t="str">
        <f>IF(MonthlyFAME!Q715=0,"",MonthlyFAME!Q715)</f>
        <v/>
      </c>
      <c r="Q713" s="21" t="str">
        <f>IF(MonthlyFAME!R715=0,"",MonthlyFAME!R715)</f>
        <v/>
      </c>
      <c r="R713" s="21" t="str">
        <f>IF(MonthlyFAME!S715=0,"",MonthlyFAME!S715)</f>
        <v/>
      </c>
      <c r="S713" s="21" t="str">
        <f>IF(MonthlyFAME!T715=0,"",MonthlyFAME!T715)</f>
        <v/>
      </c>
      <c r="T713" s="21">
        <f>IF(MonthlyFAME!U715=0,"",MonthlyFAME!U715)</f>
        <v>59.025217391304345</v>
      </c>
    </row>
    <row r="714" spans="1:20" x14ac:dyDescent="0.2">
      <c r="A714" s="23">
        <f>IF(MonthlyFAME!A716=0,"",MonthlyFAME!A716)</f>
        <v>43524</v>
      </c>
      <c r="B714" s="21">
        <f>IF(MonthlyFAME!B716=0,"",MonthlyFAME!B716)</f>
        <v>99.5</v>
      </c>
      <c r="C714" s="21">
        <f>IF(MonthlyFAME!C716=0,"",MonthlyFAME!C716)</f>
        <v>98</v>
      </c>
      <c r="D714" s="21">
        <f>IF(MonthlyFAME!D716=0,"",MonthlyFAME!D716)</f>
        <v>99.753200000000007</v>
      </c>
      <c r="E714" s="21">
        <f>IF(MonthlyFAME!F716=0,"",MonthlyFAME!F716)</f>
        <v>29993</v>
      </c>
      <c r="F714" s="21">
        <f>IF(MonthlyFAME!G716=0,"",MonthlyFAME!G716)</f>
        <v>47507</v>
      </c>
      <c r="G714" s="21">
        <f>IF(MonthlyFAME!H716=0,"",MonthlyFAME!H716)</f>
        <v>4.0300126029485037</v>
      </c>
      <c r="H714" s="21">
        <f>IF(MonthlyFAME!I716=0,"",MonthlyFAME!I716)</f>
        <v>32744</v>
      </c>
      <c r="I714" s="21">
        <f>IF(MonthlyFAME!J716=0,"",MonthlyFAME!J716)</f>
        <v>1052.9000000000001</v>
      </c>
      <c r="J714" s="21">
        <f>IF(MonthlyFAME!K716=0,"",MonthlyFAME!K716)</f>
        <v>847</v>
      </c>
      <c r="K714" s="21">
        <f>IF(MonthlyFAME!L716=0,"",MonthlyFAME!L716)</f>
        <v>531.29301285543102</v>
      </c>
      <c r="L714" s="21">
        <f>IF(MonthlyFAME!M716=0,"",MonthlyFAME!M716)</f>
        <v>1039.7</v>
      </c>
      <c r="M714" s="21" t="str">
        <f>IF(MonthlyFAME!N716=0,"",MonthlyFAME!N716)</f>
        <v/>
      </c>
      <c r="N714" s="21" t="str">
        <f>IF(MonthlyFAME!O716=0,"",MonthlyFAME!O716)</f>
        <v/>
      </c>
      <c r="O714" s="21" t="str">
        <f>IF(MonthlyFAME!P716=0,"",MonthlyFAME!P716)</f>
        <v/>
      </c>
      <c r="P714" s="21" t="str">
        <f>IF(MonthlyFAME!Q716=0,"",MonthlyFAME!Q716)</f>
        <v/>
      </c>
      <c r="Q714" s="21" t="str">
        <f>IF(MonthlyFAME!R716=0,"",MonthlyFAME!R716)</f>
        <v/>
      </c>
      <c r="R714" s="21" t="str">
        <f>IF(MonthlyFAME!S716=0,"",MonthlyFAME!S716)</f>
        <v/>
      </c>
      <c r="S714" s="21" t="str">
        <f>IF(MonthlyFAME!T716=0,"",MonthlyFAME!T716)</f>
        <v/>
      </c>
      <c r="T714" s="21">
        <f>IF(MonthlyFAME!U716=0,"",MonthlyFAME!U716)</f>
        <v>63.960499999999989</v>
      </c>
    </row>
    <row r="715" spans="1:20" x14ac:dyDescent="0.2">
      <c r="A715" s="23">
        <f>IF(MonthlyFAME!A717=0,"",MonthlyFAME!A717)</f>
        <v>43555</v>
      </c>
      <c r="B715" s="21">
        <f>IF(MonthlyFAME!B717=0,"",MonthlyFAME!B717)</f>
        <v>99.6</v>
      </c>
      <c r="C715" s="21">
        <f>IF(MonthlyFAME!C717=0,"",MonthlyFAME!C717)</f>
        <v>99</v>
      </c>
      <c r="D715" s="21">
        <f>IF(MonthlyFAME!D717=0,"",MonthlyFAME!D717)</f>
        <v>99.740700000000004</v>
      </c>
      <c r="E715" s="21">
        <f>IF(MonthlyFAME!F717=0,"",MonthlyFAME!F717)</f>
        <v>31334</v>
      </c>
      <c r="F715" s="21">
        <f>IF(MonthlyFAME!G717=0,"",MonthlyFAME!G717)</f>
        <v>49222</v>
      </c>
      <c r="G715" s="21">
        <f>IF(MonthlyFAME!H717=0,"",MonthlyFAME!H717)</f>
        <v>3.9087278280277222</v>
      </c>
      <c r="H715" s="21">
        <f>IF(MonthlyFAME!I717=0,"",MonthlyFAME!I717)</f>
        <v>32721</v>
      </c>
      <c r="I715" s="21">
        <f>IF(MonthlyFAME!J717=0,"",MonthlyFAME!J717)</f>
        <v>1052.9000000000001</v>
      </c>
      <c r="J715" s="21">
        <f>IF(MonthlyFAME!K717=0,"",MonthlyFAME!K717)</f>
        <v>845</v>
      </c>
      <c r="K715" s="21">
        <f>IF(MonthlyFAME!L717=0,"",MonthlyFAME!L717)</f>
        <v>525.25514612676398</v>
      </c>
      <c r="L715" s="21">
        <f>IF(MonthlyFAME!M717=0,"",MonthlyFAME!M717)</f>
        <v>1059.4000000000001</v>
      </c>
      <c r="M715" s="21" t="str">
        <f>IF(MonthlyFAME!N717=0,"",MonthlyFAME!N717)</f>
        <v/>
      </c>
      <c r="N715" s="21" t="str">
        <f>IF(MonthlyFAME!O717=0,"",MonthlyFAME!O717)</f>
        <v/>
      </c>
      <c r="O715" s="21" t="str">
        <f>IF(MonthlyFAME!P717=0,"",MonthlyFAME!P717)</f>
        <v/>
      </c>
      <c r="P715" s="21" t="str">
        <f>IF(MonthlyFAME!Q717=0,"",MonthlyFAME!Q717)</f>
        <v/>
      </c>
      <c r="Q715" s="21" t="str">
        <f>IF(MonthlyFAME!R717=0,"",MonthlyFAME!R717)</f>
        <v/>
      </c>
      <c r="R715" s="21" t="str">
        <f>IF(MonthlyFAME!S717=0,"",MonthlyFAME!S717)</f>
        <v/>
      </c>
      <c r="S715" s="21" t="str">
        <f>IF(MonthlyFAME!T717=0,"",MonthlyFAME!T717)</f>
        <v/>
      </c>
      <c r="T715" s="21">
        <f>IF(MonthlyFAME!U717=0,"",MonthlyFAME!U717)</f>
        <v>66.138571428571424</v>
      </c>
    </row>
    <row r="716" spans="1:20" x14ac:dyDescent="0.2">
      <c r="A716" s="23">
        <f>IF(MonthlyFAME!A718=0,"",MonthlyFAME!A718)</f>
        <v>43585</v>
      </c>
      <c r="B716" s="21">
        <f>IF(MonthlyFAME!B718=0,"",MonthlyFAME!B718)</f>
        <v>99.3</v>
      </c>
      <c r="C716" s="21">
        <f>IF(MonthlyFAME!C718=0,"",MonthlyFAME!C718)</f>
        <v>97.3</v>
      </c>
      <c r="D716" s="21">
        <f>IF(MonthlyFAME!D718=0,"",MonthlyFAME!D718)</f>
        <v>99.646000000000001</v>
      </c>
      <c r="E716" s="21">
        <f>IF(MonthlyFAME!F718=0,"",MonthlyFAME!F718)</f>
        <v>27279</v>
      </c>
      <c r="F716" s="21">
        <f>IF(MonthlyFAME!G718=0,"",MonthlyFAME!G718)</f>
        <v>42077</v>
      </c>
      <c r="G716" s="21">
        <f>IF(MonthlyFAME!H718=0,"",MonthlyFAME!H718)</f>
        <v>3.9226033421284079</v>
      </c>
      <c r="H716" s="21">
        <f>IF(MonthlyFAME!I718=0,"",MonthlyFAME!I718)</f>
        <v>32772</v>
      </c>
      <c r="I716" s="21">
        <f>IF(MonthlyFAME!J718=0,"",MonthlyFAME!J718)</f>
        <v>1054.0999999999999</v>
      </c>
      <c r="J716" s="21">
        <f>IF(MonthlyFAME!K718=0,"",MonthlyFAME!K718)</f>
        <v>840</v>
      </c>
      <c r="K716" s="21">
        <f>IF(MonthlyFAME!L718=0,"",MonthlyFAME!L718)</f>
        <v>534.411424087098</v>
      </c>
      <c r="L716" s="21">
        <f>IF(MonthlyFAME!M718=0,"",MonthlyFAME!M718)</f>
        <v>1079.5</v>
      </c>
      <c r="M716" s="21" t="str">
        <f>IF(MonthlyFAME!N718=0,"",MonthlyFAME!N718)</f>
        <v/>
      </c>
      <c r="N716" s="21" t="str">
        <f>IF(MonthlyFAME!O718=0,"",MonthlyFAME!O718)</f>
        <v/>
      </c>
      <c r="O716" s="21" t="str">
        <f>IF(MonthlyFAME!P718=0,"",MonthlyFAME!P718)</f>
        <v/>
      </c>
      <c r="P716" s="21" t="str">
        <f>IF(MonthlyFAME!Q718=0,"",MonthlyFAME!Q718)</f>
        <v/>
      </c>
      <c r="Q716" s="21" t="str">
        <f>IF(MonthlyFAME!R718=0,"",MonthlyFAME!R718)</f>
        <v/>
      </c>
      <c r="R716" s="21" t="str">
        <f>IF(MonthlyFAME!S718=0,"",MonthlyFAME!S718)</f>
        <v/>
      </c>
      <c r="S716" s="21" t="str">
        <f>IF(MonthlyFAME!T718=0,"",MonthlyFAME!T718)</f>
        <v/>
      </c>
      <c r="T716" s="21">
        <f>IF(MonthlyFAME!U718=0,"",MonthlyFAME!U718)</f>
        <v>71.209545454545463</v>
      </c>
    </row>
    <row r="717" spans="1:20" x14ac:dyDescent="0.2">
      <c r="A717" s="23">
        <f>IF(MonthlyFAME!A719=0,"",MonthlyFAME!A719)</f>
        <v>43616</v>
      </c>
      <c r="B717" s="21">
        <f>IF(MonthlyFAME!B719=0,"",MonthlyFAME!B719)</f>
        <v>99.6</v>
      </c>
      <c r="C717" s="21">
        <f>IF(MonthlyFAME!C719=0,"",MonthlyFAME!C719)</f>
        <v>98.6</v>
      </c>
      <c r="D717" s="21">
        <f>IF(MonthlyFAME!D719=0,"",MonthlyFAME!D719)</f>
        <v>99.799199999999999</v>
      </c>
      <c r="E717" s="21">
        <f>IF(MonthlyFAME!F719=0,"",MonthlyFAME!F719)</f>
        <v>28016</v>
      </c>
      <c r="F717" s="21">
        <f>IF(MonthlyFAME!G719=0,"",MonthlyFAME!G719)</f>
        <v>41133</v>
      </c>
      <c r="G717" s="21">
        <f>IF(MonthlyFAME!H719=0,"",MonthlyFAME!H719)</f>
        <v>3.8884490190903493</v>
      </c>
      <c r="H717" s="21">
        <f>IF(MonthlyFAME!I719=0,"",MonthlyFAME!I719)</f>
        <v>32775</v>
      </c>
      <c r="I717" s="21">
        <f>IF(MonthlyFAME!J719=0,"",MonthlyFAME!J719)</f>
        <v>1052.4000000000001</v>
      </c>
      <c r="J717" s="21">
        <f>IF(MonthlyFAME!K719=0,"",MonthlyFAME!K719)</f>
        <v>835</v>
      </c>
      <c r="K717" s="21">
        <f>IF(MonthlyFAME!L719=0,"",MonthlyFAME!L719)</f>
        <v>537.24256261102698</v>
      </c>
      <c r="L717" s="21">
        <f>IF(MonthlyFAME!M719=0,"",MonthlyFAME!M719)</f>
        <v>1097</v>
      </c>
      <c r="M717" s="21" t="str">
        <f>IF(MonthlyFAME!N719=0,"",MonthlyFAME!N719)</f>
        <v/>
      </c>
      <c r="N717" s="21" t="str">
        <f>IF(MonthlyFAME!O719=0,"",MonthlyFAME!O719)</f>
        <v/>
      </c>
      <c r="O717" s="21" t="str">
        <f>IF(MonthlyFAME!P719=0,"",MonthlyFAME!P719)</f>
        <v/>
      </c>
      <c r="P717" s="21" t="str">
        <f>IF(MonthlyFAME!Q719=0,"",MonthlyFAME!Q719)</f>
        <v/>
      </c>
      <c r="Q717" s="21" t="str">
        <f>IF(MonthlyFAME!R719=0,"",MonthlyFAME!R719)</f>
        <v/>
      </c>
      <c r="R717" s="21" t="str">
        <f>IF(MonthlyFAME!S719=0,"",MonthlyFAME!S719)</f>
        <v/>
      </c>
      <c r="S717" s="21" t="str">
        <f>IF(MonthlyFAME!T719=0,"",MonthlyFAME!T719)</f>
        <v/>
      </c>
      <c r="T717" s="21">
        <f>IF(MonthlyFAME!U719=0,"",MonthlyFAME!U719)</f>
        <v>71.172608695652201</v>
      </c>
    </row>
    <row r="718" spans="1:20" x14ac:dyDescent="0.2">
      <c r="A718" s="23">
        <f>IF(MonthlyFAME!A720=0,"",MonthlyFAME!A720)</f>
        <v>43646</v>
      </c>
      <c r="B718" s="21">
        <f>IF(MonthlyFAME!B720=0,"",MonthlyFAME!B720)</f>
        <v>100.1</v>
      </c>
      <c r="C718" s="21">
        <f>IF(MonthlyFAME!C720=0,"",MonthlyFAME!C720)</f>
        <v>99.1</v>
      </c>
      <c r="D718" s="21">
        <f>IF(MonthlyFAME!D720=0,"",MonthlyFAME!D720)</f>
        <v>100.3172</v>
      </c>
      <c r="E718" s="21">
        <f>IF(MonthlyFAME!F720=0,"",MonthlyFAME!F720)</f>
        <v>29562</v>
      </c>
      <c r="F718" s="21">
        <f>IF(MonthlyFAME!G720=0,"",MonthlyFAME!G720)</f>
        <v>40347</v>
      </c>
      <c r="G718" s="21">
        <f>IF(MonthlyFAME!H720=0,"",MonthlyFAME!H720)</f>
        <v>3.987954273016987</v>
      </c>
      <c r="H718" s="21">
        <f>IF(MonthlyFAME!I720=0,"",MonthlyFAME!I720)</f>
        <v>32839</v>
      </c>
      <c r="I718" s="21">
        <f>IF(MonthlyFAME!J720=0,"",MonthlyFAME!J720)</f>
        <v>1052.5999999999999</v>
      </c>
      <c r="J718" s="21">
        <f>IF(MonthlyFAME!K720=0,"",MonthlyFAME!K720)</f>
        <v>821</v>
      </c>
      <c r="K718" s="21">
        <f>IF(MonthlyFAME!L720=0,"",MonthlyFAME!L720)</f>
        <v>539.57409819938505</v>
      </c>
      <c r="L718" s="21">
        <f>IF(MonthlyFAME!M720=0,"",MonthlyFAME!M720)</f>
        <v>1126.5999999999999</v>
      </c>
      <c r="M718" s="21" t="str">
        <f>IF(MonthlyFAME!N720=0,"",MonthlyFAME!N720)</f>
        <v/>
      </c>
      <c r="N718" s="21" t="str">
        <f>IF(MonthlyFAME!O720=0,"",MonthlyFAME!O720)</f>
        <v/>
      </c>
      <c r="O718" s="21" t="str">
        <f>IF(MonthlyFAME!P720=0,"",MonthlyFAME!P720)</f>
        <v/>
      </c>
      <c r="P718" s="21" t="str">
        <f>IF(MonthlyFAME!Q720=0,"",MonthlyFAME!Q720)</f>
        <v/>
      </c>
      <c r="Q718" s="21" t="str">
        <f>IF(MonthlyFAME!R720=0,"",MonthlyFAME!R720)</f>
        <v/>
      </c>
      <c r="R718" s="21" t="str">
        <f>IF(MonthlyFAME!S720=0,"",MonthlyFAME!S720)</f>
        <v/>
      </c>
      <c r="S718" s="21" t="str">
        <f>IF(MonthlyFAME!T720=0,"",MonthlyFAME!T720)</f>
        <v/>
      </c>
      <c r="T718" s="21">
        <f>IF(MonthlyFAME!U720=0,"",MonthlyFAME!U720)</f>
        <v>64.220499999999987</v>
      </c>
    </row>
    <row r="719" spans="1:20" x14ac:dyDescent="0.2">
      <c r="A719" s="23">
        <f>IF(MonthlyFAME!A721=0,"",MonthlyFAME!A721)</f>
        <v>43677</v>
      </c>
      <c r="B719" s="21">
        <f>IF(MonthlyFAME!B721=0,"",MonthlyFAME!B721)</f>
        <v>100.6</v>
      </c>
      <c r="C719" s="21">
        <f>IF(MonthlyFAME!C721=0,"",MonthlyFAME!C721)</f>
        <v>100</v>
      </c>
      <c r="D719" s="21">
        <f>IF(MonthlyFAME!D721=0,"",MonthlyFAME!D721)</f>
        <v>100.68729999999999</v>
      </c>
      <c r="E719" s="21">
        <f>IF(MonthlyFAME!F721=0,"",MonthlyFAME!F721)</f>
        <v>31640</v>
      </c>
      <c r="F719" s="21">
        <f>IF(MonthlyFAME!G721=0,"",MonthlyFAME!G721)</f>
        <v>41201</v>
      </c>
      <c r="G719" s="21">
        <f>IF(MonthlyFAME!H721=0,"",MonthlyFAME!H721)</f>
        <v>3.8933645818075289</v>
      </c>
      <c r="H719" s="21">
        <f>IF(MonthlyFAME!I721=0,"",MonthlyFAME!I721)</f>
        <v>32806</v>
      </c>
      <c r="I719" s="21">
        <f>IF(MonthlyFAME!J721=0,"",MonthlyFAME!J721)</f>
        <v>1049.8</v>
      </c>
      <c r="J719" s="21">
        <f>IF(MonthlyFAME!K721=0,"",MonthlyFAME!K721)</f>
        <v>823</v>
      </c>
      <c r="K719" s="21">
        <f>IF(MonthlyFAME!L721=0,"",MonthlyFAME!L721)</f>
        <v>541.79206308361404</v>
      </c>
      <c r="L719" s="21">
        <f>IF(MonthlyFAME!M721=0,"",MonthlyFAME!M721)</f>
        <v>1143.2</v>
      </c>
      <c r="M719" s="21" t="str">
        <f>IF(MonthlyFAME!N721=0,"",MonthlyFAME!N721)</f>
        <v/>
      </c>
      <c r="N719" s="21" t="str">
        <f>IF(MonthlyFAME!O721=0,"",MonthlyFAME!O721)</f>
        <v/>
      </c>
      <c r="O719" s="21" t="str">
        <f>IF(MonthlyFAME!P721=0,"",MonthlyFAME!P721)</f>
        <v/>
      </c>
      <c r="P719" s="21" t="str">
        <f>IF(MonthlyFAME!Q721=0,"",MonthlyFAME!Q721)</f>
        <v/>
      </c>
      <c r="Q719" s="21" t="str">
        <f>IF(MonthlyFAME!R721=0,"",MonthlyFAME!R721)</f>
        <v/>
      </c>
      <c r="R719" s="21" t="str">
        <f>IF(MonthlyFAME!S721=0,"",MonthlyFAME!S721)</f>
        <v/>
      </c>
      <c r="S719" s="21" t="str">
        <f>IF(MonthlyFAME!T721=0,"",MonthlyFAME!T721)</f>
        <v/>
      </c>
      <c r="T719" s="21">
        <f>IF(MonthlyFAME!U721=0,"",MonthlyFAME!U721)</f>
        <v>63.919130434782595</v>
      </c>
    </row>
    <row r="720" spans="1:20" x14ac:dyDescent="0.2">
      <c r="A720" s="23">
        <f>IF(MonthlyFAME!A722=0,"",MonthlyFAME!A722)</f>
        <v>43708</v>
      </c>
      <c r="B720" s="21">
        <f>IF(MonthlyFAME!B722=0,"",MonthlyFAME!B722)</f>
        <v>100.3</v>
      </c>
      <c r="C720" s="21">
        <f>IF(MonthlyFAME!C722=0,"",MonthlyFAME!C722)</f>
        <v>99.5</v>
      </c>
      <c r="D720" s="21">
        <f>IF(MonthlyFAME!D722=0,"",MonthlyFAME!D722)</f>
        <v>100.37</v>
      </c>
      <c r="E720" s="21">
        <f>IF(MonthlyFAME!F722=0,"",MonthlyFAME!F722)</f>
        <v>30017</v>
      </c>
      <c r="F720" s="21">
        <f>IF(MonthlyFAME!G722=0,"",MonthlyFAME!G722)</f>
        <v>41883</v>
      </c>
      <c r="G720" s="21">
        <f>IF(MonthlyFAME!H722=0,"",MonthlyFAME!H722)</f>
        <v>3.9596113769115617</v>
      </c>
      <c r="H720" s="21">
        <f>IF(MonthlyFAME!I722=0,"",MonthlyFAME!I722)</f>
        <v>32720</v>
      </c>
      <c r="I720" s="21">
        <f>IF(MonthlyFAME!J722=0,"",MonthlyFAME!J722)</f>
        <v>1049.2</v>
      </c>
      <c r="J720" s="21">
        <f>IF(MonthlyFAME!K722=0,"",MonthlyFAME!K722)</f>
        <v>816</v>
      </c>
      <c r="K720" s="21">
        <f>IF(MonthlyFAME!L722=0,"",MonthlyFAME!L722)</f>
        <v>541.07338776886797</v>
      </c>
      <c r="L720" s="21">
        <f>IF(MonthlyFAME!M722=0,"",MonthlyFAME!M722)</f>
        <v>1163.5</v>
      </c>
      <c r="M720" s="21" t="str">
        <f>IF(MonthlyFAME!N722=0,"",MonthlyFAME!N722)</f>
        <v/>
      </c>
      <c r="N720" s="21" t="str">
        <f>IF(MonthlyFAME!O722=0,"",MonthlyFAME!O722)</f>
        <v/>
      </c>
      <c r="O720" s="21" t="str">
        <f>IF(MonthlyFAME!P722=0,"",MonthlyFAME!P722)</f>
        <v/>
      </c>
      <c r="P720" s="21" t="str">
        <f>IF(MonthlyFAME!Q722=0,"",MonthlyFAME!Q722)</f>
        <v/>
      </c>
      <c r="Q720" s="21" t="str">
        <f>IF(MonthlyFAME!R722=0,"",MonthlyFAME!R722)</f>
        <v/>
      </c>
      <c r="R720" s="21" t="str">
        <f>IF(MonthlyFAME!S722=0,"",MonthlyFAME!S722)</f>
        <v/>
      </c>
      <c r="S720" s="21" t="str">
        <f>IF(MonthlyFAME!T722=0,"",MonthlyFAME!T722)</f>
        <v/>
      </c>
      <c r="T720" s="21">
        <f>IF(MonthlyFAME!U722=0,"",MonthlyFAME!U722)</f>
        <v>59.041818181818186</v>
      </c>
    </row>
    <row r="721" spans="1:20" x14ac:dyDescent="0.2">
      <c r="A721" s="23">
        <f>IF(MonthlyFAME!A723=0,"",MonthlyFAME!A723)</f>
        <v>43738</v>
      </c>
      <c r="B721" s="21">
        <f>IF(MonthlyFAME!B723=0,"",MonthlyFAME!B723)</f>
        <v>100.6</v>
      </c>
      <c r="C721" s="21">
        <f>IF(MonthlyFAME!C723=0,"",MonthlyFAME!C723)</f>
        <v>101.3</v>
      </c>
      <c r="D721" s="21">
        <f>IF(MonthlyFAME!D723=0,"",MonthlyFAME!D723)</f>
        <v>100.43429999999999</v>
      </c>
      <c r="E721" s="21">
        <f>IF(MonthlyFAME!F723=0,"",MonthlyFAME!F723)</f>
        <v>30295</v>
      </c>
      <c r="F721" s="21">
        <f>IF(MonthlyFAME!G723=0,"",MonthlyFAME!G723)</f>
        <v>42503</v>
      </c>
      <c r="G721" s="21">
        <f>IF(MonthlyFAME!H723=0,"",MonthlyFAME!H723)</f>
        <v>3.9302461899179368</v>
      </c>
      <c r="H721" s="21">
        <f>IF(MonthlyFAME!I723=0,"",MonthlyFAME!I723)</f>
        <v>32779</v>
      </c>
      <c r="I721" s="21">
        <f>IF(MonthlyFAME!J723=0,"",MonthlyFAME!J723)</f>
        <v>1052.5999999999999</v>
      </c>
      <c r="J721" s="21">
        <f>IF(MonthlyFAME!K723=0,"",MonthlyFAME!K723)</f>
        <v>817</v>
      </c>
      <c r="K721" s="21">
        <f>IF(MonthlyFAME!L723=0,"",MonthlyFAME!L723)</f>
        <v>544.07178586314603</v>
      </c>
      <c r="L721" s="21">
        <f>IF(MonthlyFAME!M723=0,"",MonthlyFAME!M723)</f>
        <v>1183.4000000000001</v>
      </c>
      <c r="M721" s="21" t="str">
        <f>IF(MonthlyFAME!N723=0,"",MonthlyFAME!N723)</f>
        <v/>
      </c>
      <c r="N721" s="21" t="str">
        <f>IF(MonthlyFAME!O723=0,"",MonthlyFAME!O723)</f>
        <v/>
      </c>
      <c r="O721" s="21" t="str">
        <f>IF(MonthlyFAME!P723=0,"",MonthlyFAME!P723)</f>
        <v/>
      </c>
      <c r="P721" s="21" t="str">
        <f>IF(MonthlyFAME!Q723=0,"",MonthlyFAME!Q723)</f>
        <v/>
      </c>
      <c r="Q721" s="21" t="str">
        <f>IF(MonthlyFAME!R723=0,"",MonthlyFAME!R723)</f>
        <v/>
      </c>
      <c r="R721" s="21" t="str">
        <f>IF(MonthlyFAME!S723=0,"",MonthlyFAME!S723)</f>
        <v/>
      </c>
      <c r="S721" s="21" t="str">
        <f>IF(MonthlyFAME!T723=0,"",MonthlyFAME!T723)</f>
        <v/>
      </c>
      <c r="T721" s="21">
        <f>IF(MonthlyFAME!U723=0,"",MonthlyFAME!U723)</f>
        <v>62.826666666666675</v>
      </c>
    </row>
    <row r="722" spans="1:20" x14ac:dyDescent="0.2">
      <c r="A722" s="23">
        <f>IF(MonthlyFAME!A724=0,"",MonthlyFAME!A724)</f>
        <v>43769</v>
      </c>
      <c r="B722" s="21">
        <f>IF(MonthlyFAME!B724=0,"",MonthlyFAME!B724)</f>
        <v>100.5</v>
      </c>
      <c r="C722" s="21">
        <f>IF(MonthlyFAME!C724=0,"",MonthlyFAME!C724)</f>
        <v>102.7</v>
      </c>
      <c r="D722" s="21">
        <f>IF(MonthlyFAME!D724=0,"",MonthlyFAME!D724)</f>
        <v>100.13120000000001</v>
      </c>
      <c r="E722" s="21">
        <f>IF(MonthlyFAME!F724=0,"",MonthlyFAME!F724)</f>
        <v>31839</v>
      </c>
      <c r="F722" s="21">
        <f>IF(MonthlyFAME!G724=0,"",MonthlyFAME!G724)</f>
        <v>44375</v>
      </c>
      <c r="G722" s="21">
        <f>IF(MonthlyFAME!H724=0,"",MonthlyFAME!H724)</f>
        <v>3.8546029700360269</v>
      </c>
      <c r="H722" s="21">
        <f>IF(MonthlyFAME!I724=0,"",MonthlyFAME!I724)</f>
        <v>32825</v>
      </c>
      <c r="I722" s="21">
        <f>IF(MonthlyFAME!J724=0,"",MonthlyFAME!J724)</f>
        <v>1055.7</v>
      </c>
      <c r="J722" s="21">
        <f>IF(MonthlyFAME!K724=0,"",MonthlyFAME!K724)</f>
        <v>810</v>
      </c>
      <c r="K722" s="21">
        <f>IF(MonthlyFAME!L724=0,"",MonthlyFAME!L724)</f>
        <v>542.95354452353502</v>
      </c>
      <c r="L722" s="21">
        <f>IF(MonthlyFAME!M724=0,"",MonthlyFAME!M724)</f>
        <v>1211.4000000000001</v>
      </c>
      <c r="M722" s="21" t="str">
        <f>IF(MonthlyFAME!N724=0,"",MonthlyFAME!N724)</f>
        <v/>
      </c>
      <c r="N722" s="21" t="str">
        <f>IF(MonthlyFAME!O724=0,"",MonthlyFAME!O724)</f>
        <v/>
      </c>
      <c r="O722" s="21" t="str">
        <f>IF(MonthlyFAME!P724=0,"",MonthlyFAME!P724)</f>
        <v/>
      </c>
      <c r="P722" s="21" t="str">
        <f>IF(MonthlyFAME!Q724=0,"",MonthlyFAME!Q724)</f>
        <v/>
      </c>
      <c r="Q722" s="21" t="str">
        <f>IF(MonthlyFAME!R724=0,"",MonthlyFAME!R724)</f>
        <v/>
      </c>
      <c r="R722" s="21" t="str">
        <f>IF(MonthlyFAME!S724=0,"",MonthlyFAME!S724)</f>
        <v/>
      </c>
      <c r="S722" s="21" t="str">
        <f>IF(MonthlyFAME!T724=0,"",MonthlyFAME!T724)</f>
        <v/>
      </c>
      <c r="T722" s="21">
        <f>IF(MonthlyFAME!U724=0,"",MonthlyFAME!U724)</f>
        <v>59.713043478260865</v>
      </c>
    </row>
    <row r="723" spans="1:20" x14ac:dyDescent="0.2">
      <c r="A723" s="23">
        <f>IF(MonthlyFAME!A725=0,"",MonthlyFAME!A725)</f>
        <v>43799</v>
      </c>
      <c r="B723" s="21">
        <f>IF(MonthlyFAME!B725=0,"",MonthlyFAME!B725)</f>
        <v>100.3</v>
      </c>
      <c r="C723" s="21">
        <f>IF(MonthlyFAME!C725=0,"",MonthlyFAME!C725)</f>
        <v>103</v>
      </c>
      <c r="D723" s="21">
        <f>IF(MonthlyFAME!D725=0,"",MonthlyFAME!D725)</f>
        <v>99.7483</v>
      </c>
      <c r="E723" s="21">
        <f>IF(MonthlyFAME!F725=0,"",MonthlyFAME!F725)</f>
        <v>33214</v>
      </c>
      <c r="F723" s="21">
        <f>IF(MonthlyFAME!G725=0,"",MonthlyFAME!G725)</f>
        <v>38395</v>
      </c>
      <c r="G723" s="21">
        <f>IF(MonthlyFAME!H725=0,"",MonthlyFAME!H725)</f>
        <v>3.9165329052969504</v>
      </c>
      <c r="H723" s="21">
        <f>IF(MonthlyFAME!I725=0,"",MonthlyFAME!I725)</f>
        <v>32923</v>
      </c>
      <c r="I723" s="21">
        <f>IF(MonthlyFAME!J725=0,"",MonthlyFAME!J725)</f>
        <v>1054.0999999999999</v>
      </c>
      <c r="J723" s="21">
        <f>IF(MonthlyFAME!K725=0,"",MonthlyFAME!K725)</f>
        <v>807</v>
      </c>
      <c r="K723" s="21">
        <f>IF(MonthlyFAME!L725=0,"",MonthlyFAME!L725)</f>
        <v>542.42698058018402</v>
      </c>
      <c r="L723" s="21">
        <f>IF(MonthlyFAME!M725=0,"",MonthlyFAME!M725)</f>
        <v>1232.4000000000001</v>
      </c>
      <c r="M723" s="21" t="str">
        <f>IF(MonthlyFAME!N725=0,"",MonthlyFAME!N725)</f>
        <v/>
      </c>
      <c r="N723" s="21" t="str">
        <f>IF(MonthlyFAME!O725=0,"",MonthlyFAME!O725)</f>
        <v/>
      </c>
      <c r="O723" s="21" t="str">
        <f>IF(MonthlyFAME!P725=0,"",MonthlyFAME!P725)</f>
        <v/>
      </c>
      <c r="P723" s="21" t="str">
        <f>IF(MonthlyFAME!Q725=0,"",MonthlyFAME!Q725)</f>
        <v/>
      </c>
      <c r="Q723" s="21" t="str">
        <f>IF(MonthlyFAME!R725=0,"",MonthlyFAME!R725)</f>
        <v/>
      </c>
      <c r="R723" s="21" t="str">
        <f>IF(MonthlyFAME!S725=0,"",MonthlyFAME!S725)</f>
        <v/>
      </c>
      <c r="S723" s="21" t="str">
        <f>IF(MonthlyFAME!T725=0,"",MonthlyFAME!T725)</f>
        <v/>
      </c>
      <c r="T723" s="21">
        <f>IF(MonthlyFAME!U725=0,"",MonthlyFAME!U725)</f>
        <v>63.211904761904762</v>
      </c>
    </row>
    <row r="724" spans="1:20" x14ac:dyDescent="0.2">
      <c r="A724" s="23">
        <f>IF(MonthlyFAME!A726=0,"",MonthlyFAME!A726)</f>
        <v>43830</v>
      </c>
      <c r="B724" s="21">
        <f>IF(MonthlyFAME!B726=0,"",MonthlyFAME!B726)</f>
        <v>100.8</v>
      </c>
      <c r="C724" s="21">
        <f>IF(MonthlyFAME!C726=0,"",MonthlyFAME!C726)</f>
        <v>104.1</v>
      </c>
      <c r="D724" s="21">
        <f>IF(MonthlyFAME!D726=0,"",MonthlyFAME!D726)</f>
        <v>100.1964</v>
      </c>
      <c r="E724" s="21">
        <f>IF(MonthlyFAME!F726=0,"",MonthlyFAME!F726)</f>
        <v>35112</v>
      </c>
      <c r="F724" s="21">
        <f>IF(MonthlyFAME!G726=0,"",MonthlyFAME!G726)</f>
        <v>37845</v>
      </c>
      <c r="G724" s="21">
        <f>IF(MonthlyFAME!H726=0,"",MonthlyFAME!H726)</f>
        <v>3.8681446907817971</v>
      </c>
      <c r="H724" s="21">
        <f>IF(MonthlyFAME!I726=0,"",MonthlyFAME!I726)</f>
        <v>32954</v>
      </c>
      <c r="I724" s="21">
        <f>IF(MonthlyFAME!J726=0,"",MonthlyFAME!J726)</f>
        <v>1050.0999999999999</v>
      </c>
      <c r="J724" s="21">
        <f>IF(MonthlyFAME!K726=0,"",MonthlyFAME!K726)</f>
        <v>810</v>
      </c>
      <c r="K724" s="21">
        <f>IF(MonthlyFAME!L726=0,"",MonthlyFAME!L726)</f>
        <v>541.52355891871798</v>
      </c>
      <c r="L724" s="21">
        <f>IF(MonthlyFAME!M726=0,"",MonthlyFAME!M726)</f>
        <v>1240.3</v>
      </c>
      <c r="M724" s="21" t="str">
        <f>IF(MonthlyFAME!N726=0,"",MonthlyFAME!N726)</f>
        <v/>
      </c>
      <c r="N724" s="21" t="str">
        <f>IF(MonthlyFAME!O726=0,"",MonthlyFAME!O726)</f>
        <v/>
      </c>
      <c r="O724" s="21" t="str">
        <f>IF(MonthlyFAME!P726=0,"",MonthlyFAME!P726)</f>
        <v/>
      </c>
      <c r="P724" s="21" t="str">
        <f>IF(MonthlyFAME!Q726=0,"",MonthlyFAME!Q726)</f>
        <v/>
      </c>
      <c r="Q724" s="21" t="str">
        <f>IF(MonthlyFAME!R726=0,"",MonthlyFAME!R726)</f>
        <v/>
      </c>
      <c r="R724" s="21" t="str">
        <f>IF(MonthlyFAME!S726=0,"",MonthlyFAME!S726)</f>
        <v/>
      </c>
      <c r="S724" s="21" t="str">
        <f>IF(MonthlyFAME!T726=0,"",MonthlyFAME!T726)</f>
        <v/>
      </c>
      <c r="T724" s="21">
        <f>IF(MonthlyFAME!U726=0,"",MonthlyFAME!U726)</f>
        <v>67.31</v>
      </c>
    </row>
    <row r="725" spans="1:20" x14ac:dyDescent="0.2">
      <c r="A725" s="23">
        <f>IF(MonthlyFAME!A727=0,"",MonthlyFAME!A727)</f>
        <v>43861</v>
      </c>
      <c r="B725" s="21">
        <f>IF(MonthlyFAME!B727=0,"",MonthlyFAME!B727)</f>
        <v>100.8</v>
      </c>
      <c r="C725" s="21">
        <f>IF(MonthlyFAME!C727=0,"",MonthlyFAME!C727)</f>
        <v>105.8</v>
      </c>
      <c r="D725" s="21">
        <f>IF(MonthlyFAME!D727=0,"",MonthlyFAME!D727)</f>
        <v>99.921199999999999</v>
      </c>
      <c r="E725" s="21">
        <f>IF(MonthlyFAME!F727=0,"",MonthlyFAME!F727)</f>
        <v>30474</v>
      </c>
      <c r="F725" s="21">
        <f>IF(MonthlyFAME!G727=0,"",MonthlyFAME!G727)</f>
        <v>38720</v>
      </c>
      <c r="G725" s="21">
        <f>IF(MonthlyFAME!H727=0,"",MonthlyFAME!H727)</f>
        <v>4.0134946486738015</v>
      </c>
      <c r="H725" s="21">
        <f>IF(MonthlyFAME!I727=0,"",MonthlyFAME!I727)</f>
        <v>33004</v>
      </c>
      <c r="I725" s="21">
        <f>IF(MonthlyFAME!J727=0,"",MonthlyFAME!J727)</f>
        <v>1051.0999999999999</v>
      </c>
      <c r="J725" s="21">
        <f>IF(MonthlyFAME!K727=0,"",MonthlyFAME!K727)</f>
        <v>816</v>
      </c>
      <c r="K725" s="21">
        <f>IF(MonthlyFAME!L727=0,"",MonthlyFAME!L727)</f>
        <v>546.33837526907098</v>
      </c>
      <c r="L725" s="21">
        <f>IF(MonthlyFAME!M727=0,"",MonthlyFAME!M727)</f>
        <v>1229.2</v>
      </c>
      <c r="M725" s="21" t="str">
        <f>IF(MonthlyFAME!N727=0,"",MonthlyFAME!N727)</f>
        <v/>
      </c>
      <c r="N725" s="21" t="str">
        <f>IF(MonthlyFAME!O727=0,"",MonthlyFAME!O727)</f>
        <v/>
      </c>
      <c r="O725" s="21" t="str">
        <f>IF(MonthlyFAME!P727=0,"",MonthlyFAME!P727)</f>
        <v/>
      </c>
      <c r="P725" s="21" t="str">
        <f>IF(MonthlyFAME!Q727=0,"",MonthlyFAME!Q727)</f>
        <v/>
      </c>
      <c r="Q725" s="21" t="str">
        <f>IF(MonthlyFAME!R727=0,"",MonthlyFAME!R727)</f>
        <v/>
      </c>
      <c r="R725" s="21" t="str">
        <f>IF(MonthlyFAME!S727=0,"",MonthlyFAME!S727)</f>
        <v/>
      </c>
      <c r="S725" s="21" t="str">
        <f>IF(MonthlyFAME!T727=0,"",MonthlyFAME!T727)</f>
        <v/>
      </c>
      <c r="T725" s="21">
        <f>IF(MonthlyFAME!U727=0,"",MonthlyFAME!U727)</f>
        <v>63.824782608695635</v>
      </c>
    </row>
    <row r="726" spans="1:20" x14ac:dyDescent="0.2">
      <c r="A726" s="23">
        <f>IF(MonthlyFAME!A728=0,"",MonthlyFAME!A728)</f>
        <v>43890</v>
      </c>
      <c r="B726" s="21">
        <f>IF(MonthlyFAME!B728=0,"",MonthlyFAME!B728)</f>
        <v>100.4</v>
      </c>
      <c r="C726" s="21">
        <f>IF(MonthlyFAME!C728=0,"",MonthlyFAME!C728)</f>
        <v>107.5</v>
      </c>
      <c r="D726" s="21">
        <f>IF(MonthlyFAME!D728=0,"",MonthlyFAME!D728)</f>
        <v>99.228200000000001</v>
      </c>
      <c r="E726" s="21">
        <f>IF(MonthlyFAME!F728=0,"",MonthlyFAME!F728)</f>
        <v>27702</v>
      </c>
      <c r="F726" s="21">
        <f>IF(MonthlyFAME!G728=0,"",MonthlyFAME!G728)</f>
        <v>39744</v>
      </c>
      <c r="G726" s="21">
        <f>IF(MonthlyFAME!H728=0,"",MonthlyFAME!H728)</f>
        <v>4.0619291989214581</v>
      </c>
      <c r="H726" s="21">
        <f>IF(MonthlyFAME!I728=0,"",MonthlyFAME!I728)</f>
        <v>33090</v>
      </c>
      <c r="I726" s="21">
        <f>IF(MonthlyFAME!J728=0,"",MonthlyFAME!J728)</f>
        <v>1052.2</v>
      </c>
      <c r="J726" s="21">
        <f>IF(MonthlyFAME!K728=0,"",MonthlyFAME!K728)</f>
        <v>819</v>
      </c>
      <c r="K726" s="21">
        <f>IF(MonthlyFAME!L728=0,"",MonthlyFAME!L728)</f>
        <v>545.97177315648696</v>
      </c>
      <c r="L726" s="21">
        <f>IF(MonthlyFAME!M728=0,"",MonthlyFAME!M728)</f>
        <v>1227.5</v>
      </c>
      <c r="M726" s="21" t="str">
        <f>IF(MonthlyFAME!N728=0,"",MonthlyFAME!N728)</f>
        <v/>
      </c>
      <c r="N726" s="21" t="str">
        <f>IF(MonthlyFAME!O728=0,"",MonthlyFAME!O728)</f>
        <v/>
      </c>
      <c r="O726" s="21" t="str">
        <f>IF(MonthlyFAME!P728=0,"",MonthlyFAME!P728)</f>
        <v/>
      </c>
      <c r="P726" s="21" t="str">
        <f>IF(MonthlyFAME!Q728=0,"",MonthlyFAME!Q728)</f>
        <v/>
      </c>
      <c r="Q726" s="21" t="str">
        <f>IF(MonthlyFAME!R728=0,"",MonthlyFAME!R728)</f>
        <v/>
      </c>
      <c r="R726" s="21" t="str">
        <f>IF(MonthlyFAME!S728=0,"",MonthlyFAME!S728)</f>
        <v/>
      </c>
      <c r="S726" s="21" t="str">
        <f>IF(MonthlyFAME!T728=0,"",MonthlyFAME!T728)</f>
        <v/>
      </c>
      <c r="T726" s="21">
        <f>IF(MonthlyFAME!U728=0,"",MonthlyFAME!U728)</f>
        <v>55.618500000000004</v>
      </c>
    </row>
    <row r="727" spans="1:20" x14ac:dyDescent="0.2">
      <c r="A727" s="23">
        <f>IF(MonthlyFAME!A729=0,"",MonthlyFAME!A729)</f>
        <v>43921</v>
      </c>
      <c r="B727" s="21">
        <f>IF(MonthlyFAME!B729=0,"",MonthlyFAME!B729)</f>
        <v>92.8</v>
      </c>
      <c r="C727" s="21">
        <f>IF(MonthlyFAME!C729=0,"",MonthlyFAME!C729)</f>
        <v>99.3</v>
      </c>
      <c r="D727" s="21">
        <f>IF(MonthlyFAME!D729=0,"",MonthlyFAME!D729)</f>
        <v>91.422700000000006</v>
      </c>
      <c r="E727" s="21">
        <f>IF(MonthlyFAME!F729=0,"",MonthlyFAME!F729)</f>
        <v>26028</v>
      </c>
      <c r="F727" s="21">
        <f>IF(MonthlyFAME!G729=0,"",MonthlyFAME!G729)</f>
        <v>36644</v>
      </c>
      <c r="G727" s="21">
        <f>IF(MonthlyFAME!H729=0,"",MonthlyFAME!H729)</f>
        <v>4.103219807044054</v>
      </c>
      <c r="H727" s="21">
        <f>IF(MonthlyFAME!I729=0,"",MonthlyFAME!I729)</f>
        <v>33000</v>
      </c>
      <c r="I727" s="21">
        <f>IF(MonthlyFAME!J729=0,"",MonthlyFAME!J729)</f>
        <v>1032.7</v>
      </c>
      <c r="J727" s="21">
        <f>IF(MonthlyFAME!K729=0,"",MonthlyFAME!K729)</f>
        <v>796</v>
      </c>
      <c r="K727" s="21">
        <f>IF(MonthlyFAME!L729=0,"",MonthlyFAME!L729)</f>
        <v>529.48739783600502</v>
      </c>
      <c r="L727" s="21">
        <f>IF(MonthlyFAME!M729=0,"",MonthlyFAME!M729)</f>
        <v>1229.9000000000001</v>
      </c>
      <c r="M727" s="21" t="str">
        <f>IF(MonthlyFAME!N729=0,"",MonthlyFAME!N729)</f>
        <v/>
      </c>
      <c r="N727" s="21" t="str">
        <f>IF(MonthlyFAME!O729=0,"",MonthlyFAME!O729)</f>
        <v/>
      </c>
      <c r="O727" s="21" t="str">
        <f>IF(MonthlyFAME!P729=0,"",MonthlyFAME!P729)</f>
        <v/>
      </c>
      <c r="P727" s="21" t="str">
        <f>IF(MonthlyFAME!Q729=0,"",MonthlyFAME!Q729)</f>
        <v/>
      </c>
      <c r="Q727" s="21" t="str">
        <f>IF(MonthlyFAME!R729=0,"",MonthlyFAME!R729)</f>
        <v/>
      </c>
      <c r="R727" s="21" t="str">
        <f>IF(MonthlyFAME!S729=0,"",MonthlyFAME!S729)</f>
        <v/>
      </c>
      <c r="S727" s="21" t="str">
        <f>IF(MonthlyFAME!T729=0,"",MonthlyFAME!T729)</f>
        <v/>
      </c>
      <c r="T727" s="21">
        <f>IF(MonthlyFAME!U729=0,"",MonthlyFAME!U729)</f>
        <v>32.032727272727271</v>
      </c>
    </row>
    <row r="728" spans="1:20" x14ac:dyDescent="0.2">
      <c r="A728" s="23">
        <f>IF(MonthlyFAME!A730=0,"",MonthlyFAME!A730)</f>
        <v>43951</v>
      </c>
      <c r="B728" s="21">
        <f>IF(MonthlyFAME!B730=0,"",MonthlyFAME!B730)</f>
        <v>74.599999999999994</v>
      </c>
      <c r="C728" s="21">
        <f>IF(MonthlyFAME!C730=0,"",MonthlyFAME!C730)</f>
        <v>84.1</v>
      </c>
      <c r="D728" s="21">
        <f>IF(MonthlyFAME!D730=0,"",MonthlyFAME!D730)</f>
        <v>74.216399999999993</v>
      </c>
      <c r="E728" s="21">
        <f>IF(MonthlyFAME!F730=0,"",MonthlyFAME!F730)</f>
        <v>25856</v>
      </c>
      <c r="F728" s="21">
        <f>IF(MonthlyFAME!G730=0,"",MonthlyFAME!G730)</f>
        <v>28747</v>
      </c>
      <c r="G728" s="21">
        <f>IF(MonthlyFAME!H730=0,"",MonthlyFAME!H730)</f>
        <v>4.1532705909861463</v>
      </c>
      <c r="H728" s="21">
        <f>IF(MonthlyFAME!I730=0,"",MonthlyFAME!I730)</f>
        <v>32793</v>
      </c>
      <c r="I728" s="21">
        <f>IF(MonthlyFAME!J730=0,"",MonthlyFAME!J730)</f>
        <v>960.2</v>
      </c>
      <c r="J728" s="21">
        <f>IF(MonthlyFAME!K730=0,"",MonthlyFAME!K730)</f>
        <v>638</v>
      </c>
      <c r="K728" s="21">
        <f>IF(MonthlyFAME!L730=0,"",MonthlyFAME!L730)</f>
        <v>529.46005572716501</v>
      </c>
      <c r="L728" s="21">
        <f>IF(MonthlyFAME!M730=0,"",MonthlyFAME!M730)</f>
        <v>2090.3000000000002</v>
      </c>
      <c r="M728" s="21" t="str">
        <f>IF(MonthlyFAME!N730=0,"",MonthlyFAME!N730)</f>
        <v/>
      </c>
      <c r="N728" s="21" t="str">
        <f>IF(MonthlyFAME!O730=0,"",MonthlyFAME!O730)</f>
        <v/>
      </c>
      <c r="O728" s="21" t="str">
        <f>IF(MonthlyFAME!P730=0,"",MonthlyFAME!P730)</f>
        <v/>
      </c>
      <c r="P728" s="21" t="str">
        <f>IF(MonthlyFAME!Q730=0,"",MonthlyFAME!Q730)</f>
        <v/>
      </c>
      <c r="Q728" s="21" t="str">
        <f>IF(MonthlyFAME!R730=0,"",MonthlyFAME!R730)</f>
        <v/>
      </c>
      <c r="R728" s="21" t="str">
        <f>IF(MonthlyFAME!S730=0,"",MonthlyFAME!S730)</f>
        <v/>
      </c>
      <c r="S728" s="21" t="str">
        <f>IF(MonthlyFAME!T730=0,"",MonthlyFAME!T730)</f>
        <v/>
      </c>
      <c r="T728" s="21">
        <f>IF(MonthlyFAME!U730=0,"",MonthlyFAME!U730)</f>
        <v>18.546818181818185</v>
      </c>
    </row>
    <row r="729" spans="1:20" x14ac:dyDescent="0.2">
      <c r="A729" s="23">
        <f>IF(MonthlyFAME!A731=0,"",MonthlyFAME!A731)</f>
        <v>43982</v>
      </c>
      <c r="B729" s="21">
        <f>IF(MonthlyFAME!B731=0,"",MonthlyFAME!B731)</f>
        <v>76.2</v>
      </c>
      <c r="C729" s="21">
        <f>IF(MonthlyFAME!C731=0,"",MonthlyFAME!C731)</f>
        <v>90.6</v>
      </c>
      <c r="D729" s="21">
        <f>IF(MonthlyFAME!D731=0,"",MonthlyFAME!D731)</f>
        <v>74.631600000000006</v>
      </c>
      <c r="E729" s="21">
        <f>IF(MonthlyFAME!F731=0,"",MonthlyFAME!F731)</f>
        <v>26175</v>
      </c>
      <c r="F729" s="21">
        <f>IF(MonthlyFAME!G731=0,"",MonthlyFAME!G731)</f>
        <v>27981</v>
      </c>
      <c r="G729" s="21">
        <f>IF(MonthlyFAME!H731=0,"",MonthlyFAME!H731)</f>
        <v>4.2218446033048167</v>
      </c>
      <c r="H729" s="21">
        <f>IF(MonthlyFAME!I731=0,"",MonthlyFAME!I731)</f>
        <v>32691</v>
      </c>
      <c r="I729" s="21">
        <f>IF(MonthlyFAME!J731=0,"",MonthlyFAME!J731)</f>
        <v>882.9</v>
      </c>
      <c r="J729" s="21">
        <f>IF(MonthlyFAME!K731=0,"",MonthlyFAME!K731)</f>
        <v>472</v>
      </c>
      <c r="K729" s="21">
        <f>IF(MonthlyFAME!L731=0,"",MonthlyFAME!L731)</f>
        <v>531.77807203477198</v>
      </c>
      <c r="L729" s="21">
        <f>IF(MonthlyFAME!M731=0,"",MonthlyFAME!M731)</f>
        <v>2657.2</v>
      </c>
      <c r="M729" s="21" t="str">
        <f>IF(MonthlyFAME!N731=0,"",MonthlyFAME!N731)</f>
        <v/>
      </c>
      <c r="N729" s="21" t="str">
        <f>IF(MonthlyFAME!O731=0,"",MonthlyFAME!O731)</f>
        <v/>
      </c>
      <c r="O729" s="21" t="str">
        <f>IF(MonthlyFAME!P731=0,"",MonthlyFAME!P731)</f>
        <v/>
      </c>
      <c r="P729" s="21" t="str">
        <f>IF(MonthlyFAME!Q731=0,"",MonthlyFAME!Q731)</f>
        <v/>
      </c>
      <c r="Q729" s="21" t="str">
        <f>IF(MonthlyFAME!R731=0,"",MonthlyFAME!R731)</f>
        <v/>
      </c>
      <c r="R729" s="21" t="str">
        <f>IF(MonthlyFAME!S731=0,"",MonthlyFAME!S731)</f>
        <v/>
      </c>
      <c r="S729" s="21" t="str">
        <f>IF(MonthlyFAME!T731=0,"",MonthlyFAME!T731)</f>
        <v/>
      </c>
      <c r="T729" s="21">
        <f>IF(MonthlyFAME!U731=0,"",MonthlyFAME!U731)</f>
        <v>29.344285714285714</v>
      </c>
    </row>
    <row r="730" spans="1:20" x14ac:dyDescent="0.2">
      <c r="A730" s="23">
        <f>IF(MonthlyFAME!A732=0,"",MonthlyFAME!A732)</f>
        <v>44012</v>
      </c>
      <c r="B730" s="21">
        <f>IF(MonthlyFAME!B732=0,"",MonthlyFAME!B732)</f>
        <v>83.6</v>
      </c>
      <c r="C730" s="21">
        <f>IF(MonthlyFAME!C732=0,"",MonthlyFAME!C732)</f>
        <v>100.2</v>
      </c>
      <c r="D730" s="21">
        <f>IF(MonthlyFAME!D732=0,"",MonthlyFAME!D732)</f>
        <v>81.217799999999997</v>
      </c>
      <c r="E730" s="21">
        <f>IF(MonthlyFAME!F732=0,"",MonthlyFAME!F732)</f>
        <v>25774</v>
      </c>
      <c r="F730" s="21">
        <f>IF(MonthlyFAME!G732=0,"",MonthlyFAME!G732)</f>
        <v>33592</v>
      </c>
      <c r="G730" s="21">
        <f>IF(MonthlyFAME!H732=0,"",MonthlyFAME!H732)</f>
        <v>4.2198435570193498</v>
      </c>
      <c r="H730" s="21">
        <f>IF(MonthlyFAME!I732=0,"",MonthlyFAME!I732)</f>
        <v>32571</v>
      </c>
      <c r="I730" s="21">
        <f>IF(MonthlyFAME!J732=0,"",MonthlyFAME!J732)</f>
        <v>848.4</v>
      </c>
      <c r="J730" s="21">
        <f>IF(MonthlyFAME!K732=0,"",MonthlyFAME!K732)</f>
        <v>328</v>
      </c>
      <c r="K730" s="21">
        <f>IF(MonthlyFAME!L732=0,"",MonthlyFAME!L732)</f>
        <v>531.58306125758202</v>
      </c>
      <c r="L730" s="21">
        <f>IF(MonthlyFAME!M732=0,"",MonthlyFAME!M732)</f>
        <v>2592</v>
      </c>
      <c r="M730" s="21" t="str">
        <f>IF(MonthlyFAME!N732=0,"",MonthlyFAME!N732)</f>
        <v/>
      </c>
      <c r="N730" s="21" t="str">
        <f>IF(MonthlyFAME!O732=0,"",MonthlyFAME!O732)</f>
        <v/>
      </c>
      <c r="O730" s="21" t="str">
        <f>IF(MonthlyFAME!P732=0,"",MonthlyFAME!P732)</f>
        <v/>
      </c>
      <c r="P730" s="21" t="str">
        <f>IF(MonthlyFAME!Q732=0,"",MonthlyFAME!Q732)</f>
        <v/>
      </c>
      <c r="Q730" s="21" t="str">
        <f>IF(MonthlyFAME!R732=0,"",MonthlyFAME!R732)</f>
        <v/>
      </c>
      <c r="R730" s="21" t="str">
        <f>IF(MonthlyFAME!S732=0,"",MonthlyFAME!S732)</f>
        <v/>
      </c>
      <c r="S730" s="21" t="str">
        <f>IF(MonthlyFAME!T732=0,"",MonthlyFAME!T732)</f>
        <v/>
      </c>
      <c r="T730" s="21">
        <f>IF(MonthlyFAME!U732=0,"",MonthlyFAME!U732)</f>
        <v>40.266818181818188</v>
      </c>
    </row>
    <row r="731" spans="1:20" x14ac:dyDescent="0.2">
      <c r="A731" s="23">
        <f>IF(MonthlyFAME!A733=0,"",MonthlyFAME!A733)</f>
        <v>44043</v>
      </c>
      <c r="B731" s="21">
        <f>IF(MonthlyFAME!B733=0,"",MonthlyFAME!B733)</f>
        <v>89.1</v>
      </c>
      <c r="C731" s="21">
        <f>IF(MonthlyFAME!C733=0,"",MonthlyFAME!C733)</f>
        <v>104.9</v>
      </c>
      <c r="D731" s="21">
        <f>IF(MonthlyFAME!D733=0,"",MonthlyFAME!D733)</f>
        <v>86.477800000000002</v>
      </c>
      <c r="E731" s="21">
        <f>IF(MonthlyFAME!F733=0,"",MonthlyFAME!F733)</f>
        <v>25250</v>
      </c>
      <c r="F731" s="21">
        <f>IF(MonthlyFAME!G733=0,"",MonthlyFAME!G733)</f>
        <v>35930</v>
      </c>
      <c r="G731" s="21">
        <f>IF(MonthlyFAME!H733=0,"",MonthlyFAME!H733)</f>
        <v>4.4436617651375068</v>
      </c>
      <c r="H731" s="21">
        <f>IF(MonthlyFAME!I733=0,"",MonthlyFAME!I733)</f>
        <v>32557</v>
      </c>
      <c r="I731" s="21">
        <f>IF(MonthlyFAME!J733=0,"",MonthlyFAME!J733)</f>
        <v>853.5</v>
      </c>
      <c r="J731" s="21">
        <f>IF(MonthlyFAME!K733=0,"",MonthlyFAME!K733)</f>
        <v>371</v>
      </c>
      <c r="K731" s="21">
        <f>IF(MonthlyFAME!L733=0,"",MonthlyFAME!L733)</f>
        <v>541.26685423414801</v>
      </c>
      <c r="L731" s="21">
        <f>IF(MonthlyFAME!M733=0,"",MonthlyFAME!M733)</f>
        <v>2652.4</v>
      </c>
      <c r="M731" s="21" t="str">
        <f>IF(MonthlyFAME!N733=0,"",MonthlyFAME!N733)</f>
        <v/>
      </c>
      <c r="N731" s="21" t="str">
        <f>IF(MonthlyFAME!O733=0,"",MonthlyFAME!O733)</f>
        <v/>
      </c>
      <c r="O731" s="21" t="str">
        <f>IF(MonthlyFAME!P733=0,"",MonthlyFAME!P733)</f>
        <v/>
      </c>
      <c r="P731" s="21" t="str">
        <f>IF(MonthlyFAME!Q733=0,"",MonthlyFAME!Q733)</f>
        <v/>
      </c>
      <c r="Q731" s="21" t="str">
        <f>IF(MonthlyFAME!R733=0,"",MonthlyFAME!R733)</f>
        <v/>
      </c>
      <c r="R731" s="21" t="str">
        <f>IF(MonthlyFAME!S733=0,"",MonthlyFAME!S733)</f>
        <v/>
      </c>
      <c r="S731" s="21" t="str">
        <f>IF(MonthlyFAME!T733=0,"",MonthlyFAME!T733)</f>
        <v/>
      </c>
      <c r="T731" s="21">
        <f>IF(MonthlyFAME!U733=0,"",MonthlyFAME!U733)</f>
        <v>43.24217391304348</v>
      </c>
    </row>
    <row r="732" spans="1:20" x14ac:dyDescent="0.2">
      <c r="A732" s="23">
        <f>IF(MonthlyFAME!A734=0,"",MonthlyFAME!A734)</f>
        <v>44074</v>
      </c>
      <c r="B732" s="21">
        <f>IF(MonthlyFAME!B734=0,"",MonthlyFAME!B734)</f>
        <v>91.8</v>
      </c>
      <c r="C732" s="21">
        <f>IF(MonthlyFAME!C734=0,"",MonthlyFAME!C734)</f>
        <v>107.2</v>
      </c>
      <c r="D732" s="21">
        <f>IF(MonthlyFAME!D734=0,"",MonthlyFAME!D734)</f>
        <v>89.266000000000005</v>
      </c>
      <c r="E732" s="21">
        <f>IF(MonthlyFAME!F734=0,"",MonthlyFAME!F734)</f>
        <v>26336</v>
      </c>
      <c r="F732" s="21">
        <f>IF(MonthlyFAME!G734=0,"",MonthlyFAME!G734)</f>
        <v>35815</v>
      </c>
      <c r="G732" s="21">
        <f>IF(MonthlyFAME!H734=0,"",MonthlyFAME!H734)</f>
        <v>4.6590141796083726</v>
      </c>
      <c r="H732" s="21">
        <f>IF(MonthlyFAME!I734=0,"",MonthlyFAME!I734)</f>
        <v>32476</v>
      </c>
      <c r="I732" s="21">
        <f>IF(MonthlyFAME!J734=0,"",MonthlyFAME!J734)</f>
        <v>882.8</v>
      </c>
      <c r="J732" s="21">
        <f>IF(MonthlyFAME!K734=0,"",MonthlyFAME!K734)</f>
        <v>429</v>
      </c>
      <c r="K732" s="21">
        <f>IF(MonthlyFAME!L734=0,"",MonthlyFAME!L734)</f>
        <v>552.34574771564701</v>
      </c>
      <c r="L732" s="21">
        <f>IF(MonthlyFAME!M734=0,"",MonthlyFAME!M734)</f>
        <v>2698.6</v>
      </c>
      <c r="M732" s="21" t="str">
        <f>IF(MonthlyFAME!N734=0,"",MonthlyFAME!N734)</f>
        <v/>
      </c>
      <c r="N732" s="21" t="str">
        <f>IF(MonthlyFAME!O734=0,"",MonthlyFAME!O734)</f>
        <v/>
      </c>
      <c r="O732" s="21" t="str">
        <f>IF(MonthlyFAME!P734=0,"",MonthlyFAME!P734)</f>
        <v/>
      </c>
      <c r="P732" s="21" t="str">
        <f>IF(MonthlyFAME!Q734=0,"",MonthlyFAME!Q734)</f>
        <v/>
      </c>
      <c r="Q732" s="21" t="str">
        <f>IF(MonthlyFAME!R734=0,"",MonthlyFAME!R734)</f>
        <v/>
      </c>
      <c r="R732" s="21" t="str">
        <f>IF(MonthlyFAME!S734=0,"",MonthlyFAME!S734)</f>
        <v/>
      </c>
      <c r="S732" s="21" t="str">
        <f>IF(MonthlyFAME!T734=0,"",MonthlyFAME!T734)</f>
        <v/>
      </c>
      <c r="T732" s="21">
        <f>IF(MonthlyFAME!U734=0,"",MonthlyFAME!U734)</f>
        <v>44.759047619047621</v>
      </c>
    </row>
    <row r="733" spans="1:20" x14ac:dyDescent="0.2">
      <c r="A733" s="23">
        <f>IF(MonthlyFAME!A735=0,"",MonthlyFAME!A735)</f>
        <v>44104</v>
      </c>
      <c r="B733" s="21">
        <f>IF(MonthlyFAME!B735=0,"",MonthlyFAME!B735)</f>
        <v>93</v>
      </c>
      <c r="C733" s="21">
        <f>IF(MonthlyFAME!C735=0,"",MonthlyFAME!C735)</f>
        <v>107.5</v>
      </c>
      <c r="D733" s="21">
        <f>IF(MonthlyFAME!D735=0,"",MonthlyFAME!D735)</f>
        <v>90.511399999999995</v>
      </c>
      <c r="E733" s="21">
        <f>IF(MonthlyFAME!F735=0,"",MonthlyFAME!F735)</f>
        <v>25624</v>
      </c>
      <c r="F733" s="21">
        <f>IF(MonthlyFAME!G735=0,"",MonthlyFAME!G735)</f>
        <v>39880</v>
      </c>
      <c r="G733" s="21">
        <f>IF(MonthlyFAME!H735=0,"",MonthlyFAME!H735)</f>
        <v>4.986491248678492</v>
      </c>
      <c r="H733" s="21">
        <f>IF(MonthlyFAME!I735=0,"",MonthlyFAME!I735)</f>
        <v>32354</v>
      </c>
      <c r="I733" s="21">
        <f>IF(MonthlyFAME!J735=0,"",MonthlyFAME!J735)</f>
        <v>915.9</v>
      </c>
      <c r="J733" s="21">
        <f>IF(MonthlyFAME!K735=0,"",MonthlyFAME!K735)</f>
        <v>488</v>
      </c>
      <c r="K733" s="21">
        <f>IF(MonthlyFAME!L735=0,"",MonthlyFAME!L735)</f>
        <v>558.47145330262401</v>
      </c>
      <c r="L733" s="21">
        <f>IF(MonthlyFAME!M735=0,"",MonthlyFAME!M735)</f>
        <v>2681.1</v>
      </c>
      <c r="M733" s="21" t="str">
        <f>IF(MonthlyFAME!N735=0,"",MonthlyFAME!N735)</f>
        <v/>
      </c>
      <c r="N733" s="21" t="str">
        <f>IF(MonthlyFAME!O735=0,"",MonthlyFAME!O735)</f>
        <v/>
      </c>
      <c r="O733" s="21" t="str">
        <f>IF(MonthlyFAME!P735=0,"",MonthlyFAME!P735)</f>
        <v/>
      </c>
      <c r="P733" s="21" t="str">
        <f>IF(MonthlyFAME!Q735=0,"",MonthlyFAME!Q735)</f>
        <v/>
      </c>
      <c r="Q733" s="21" t="str">
        <f>IF(MonthlyFAME!R735=0,"",MonthlyFAME!R735)</f>
        <v/>
      </c>
      <c r="R733" s="21" t="str">
        <f>IF(MonthlyFAME!S735=0,"",MonthlyFAME!S735)</f>
        <v/>
      </c>
      <c r="S733" s="21" t="str">
        <f>IF(MonthlyFAME!T735=0,"",MonthlyFAME!T735)</f>
        <v/>
      </c>
      <c r="T733" s="21">
        <f>IF(MonthlyFAME!U735=0,"",MonthlyFAME!U735)</f>
        <v>40.909545454545452</v>
      </c>
    </row>
    <row r="734" spans="1:20" x14ac:dyDescent="0.2">
      <c r="A734" s="23">
        <f>IF(MonthlyFAME!A736=0,"",MonthlyFAME!A736)</f>
        <v>44135</v>
      </c>
      <c r="B734" s="21">
        <f>IF(MonthlyFAME!B736=0,"",MonthlyFAME!B736)</f>
        <v>93.6</v>
      </c>
      <c r="C734" s="21">
        <f>IF(MonthlyFAME!C736=0,"",MonthlyFAME!C736)</f>
        <v>107.3</v>
      </c>
      <c r="D734" s="21">
        <f>IF(MonthlyFAME!D736=0,"",MonthlyFAME!D736)</f>
        <v>91.181600000000003</v>
      </c>
      <c r="E734" s="21">
        <f>IF(MonthlyFAME!F736=0,"",MonthlyFAME!F736)</f>
        <v>27349</v>
      </c>
      <c r="F734" s="21">
        <f>IF(MonthlyFAME!G736=0,"",MonthlyFAME!G736)</f>
        <v>41981</v>
      </c>
      <c r="G734" s="21">
        <f>IF(MonthlyFAME!H736=0,"",MonthlyFAME!H736)</f>
        <v>5.1648287189113091</v>
      </c>
      <c r="H734" s="21">
        <f>IF(MonthlyFAME!I736=0,"",MonthlyFAME!I736)</f>
        <v>32335</v>
      </c>
      <c r="I734" s="21">
        <f>IF(MonthlyFAME!J736=0,"",MonthlyFAME!J736)</f>
        <v>947.9</v>
      </c>
      <c r="J734" s="21">
        <f>IF(MonthlyFAME!K736=0,"",MonthlyFAME!K736)</f>
        <v>531</v>
      </c>
      <c r="K734" s="21">
        <f>IF(MonthlyFAME!L736=0,"",MonthlyFAME!L736)</f>
        <v>563.421699283154</v>
      </c>
      <c r="L734" s="21">
        <f>IF(MonthlyFAME!M736=0,"",MonthlyFAME!M736)</f>
        <v>2597.8000000000002</v>
      </c>
      <c r="M734" s="21" t="str">
        <f>IF(MonthlyFAME!N736=0,"",MonthlyFAME!N736)</f>
        <v/>
      </c>
      <c r="N734" s="21" t="str">
        <f>IF(MonthlyFAME!O736=0,"",MonthlyFAME!O736)</f>
        <v/>
      </c>
      <c r="O734" s="21" t="str">
        <f>IF(MonthlyFAME!P736=0,"",MonthlyFAME!P736)</f>
        <v/>
      </c>
      <c r="P734" s="21" t="str">
        <f>IF(MonthlyFAME!Q736=0,"",MonthlyFAME!Q736)</f>
        <v/>
      </c>
      <c r="Q734" s="21" t="str">
        <f>IF(MonthlyFAME!R736=0,"",MonthlyFAME!R736)</f>
        <v/>
      </c>
      <c r="R734" s="21" t="str">
        <f>IF(MonthlyFAME!S736=0,"",MonthlyFAME!S736)</f>
        <v/>
      </c>
      <c r="S734" s="21" t="str">
        <f>IF(MonthlyFAME!T736=0,"",MonthlyFAME!T736)</f>
        <v/>
      </c>
      <c r="T734" s="21">
        <f>IF(MonthlyFAME!U736=0,"",MonthlyFAME!U736)</f>
        <v>40.18954545454546</v>
      </c>
    </row>
    <row r="735" spans="1:20" x14ac:dyDescent="0.2">
      <c r="A735" s="23">
        <f>IF(MonthlyFAME!A737=0,"",MonthlyFAME!A737)</f>
        <v>44165</v>
      </c>
      <c r="B735" s="21">
        <f>IF(MonthlyFAME!B737=0,"",MonthlyFAME!B737)</f>
        <v>91.7</v>
      </c>
      <c r="C735" s="21">
        <f>IF(MonthlyFAME!C737=0,"",MonthlyFAME!C737)</f>
        <v>107.6</v>
      </c>
      <c r="D735" s="21">
        <f>IF(MonthlyFAME!D737=0,"",MonthlyFAME!D737)</f>
        <v>88.7423</v>
      </c>
      <c r="E735" s="21">
        <f>IF(MonthlyFAME!F737=0,"",MonthlyFAME!F737)</f>
        <v>28109</v>
      </c>
      <c r="F735" s="21">
        <f>IF(MonthlyFAME!G737=0,"",MonthlyFAME!G737)</f>
        <v>44059</v>
      </c>
      <c r="G735" s="21">
        <f>IF(MonthlyFAME!H737=0,"",MonthlyFAME!H737)</f>
        <v>5.2392533770914529</v>
      </c>
      <c r="H735" s="21">
        <f>IF(MonthlyFAME!I737=0,"",MonthlyFAME!I737)</f>
        <v>32339</v>
      </c>
      <c r="I735" s="21">
        <f>IF(MonthlyFAME!J737=0,"",MonthlyFAME!J737)</f>
        <v>968.3</v>
      </c>
      <c r="J735" s="21">
        <f>IF(MonthlyFAME!K737=0,"",MonthlyFAME!K737)</f>
        <v>557</v>
      </c>
      <c r="K735" s="21">
        <f>IF(MonthlyFAME!L737=0,"",MonthlyFAME!L737)</f>
        <v>567.85859186199605</v>
      </c>
      <c r="L735" s="21">
        <f>IF(MonthlyFAME!M737=0,"",MonthlyFAME!M737)</f>
        <v>2639.5</v>
      </c>
      <c r="M735" s="21" t="str">
        <f>IF(MonthlyFAME!N737=0,"",MonthlyFAME!N737)</f>
        <v/>
      </c>
      <c r="N735" s="21" t="str">
        <f>IF(MonthlyFAME!O737=0,"",MonthlyFAME!O737)</f>
        <v/>
      </c>
      <c r="O735" s="21" t="str">
        <f>IF(MonthlyFAME!P737=0,"",MonthlyFAME!P737)</f>
        <v/>
      </c>
      <c r="P735" s="21" t="str">
        <f>IF(MonthlyFAME!Q737=0,"",MonthlyFAME!Q737)</f>
        <v/>
      </c>
      <c r="Q735" s="21" t="str">
        <f>IF(MonthlyFAME!R737=0,"",MonthlyFAME!R737)</f>
        <v/>
      </c>
      <c r="R735" s="21" t="str">
        <f>IF(MonthlyFAME!S737=0,"",MonthlyFAME!S737)</f>
        <v/>
      </c>
      <c r="S735" s="21" t="str">
        <f>IF(MonthlyFAME!T737=0,"",MonthlyFAME!T737)</f>
        <v/>
      </c>
      <c r="T735" s="21">
        <f>IF(MonthlyFAME!U737=0,"",MonthlyFAME!U737)</f>
        <v>42.692380952380951</v>
      </c>
    </row>
    <row r="736" spans="1:20" x14ac:dyDescent="0.2">
      <c r="A736" s="23">
        <f>IF(MonthlyFAME!A738=0,"",MonthlyFAME!A738)</f>
        <v>44196</v>
      </c>
      <c r="B736" s="21">
        <f>IF(MonthlyFAME!B738=0,"",MonthlyFAME!B738)</f>
        <v>92.9</v>
      </c>
      <c r="C736" s="21">
        <f>IF(MonthlyFAME!C738=0,"",MonthlyFAME!C738)</f>
        <v>105.8</v>
      </c>
      <c r="D736" s="21">
        <f>IF(MonthlyFAME!D738=0,"",MonthlyFAME!D738)</f>
        <v>90.734300000000005</v>
      </c>
      <c r="E736" s="21">
        <f>IF(MonthlyFAME!F738=0,"",MonthlyFAME!F738)</f>
        <v>28360</v>
      </c>
      <c r="F736" s="21">
        <f>IF(MonthlyFAME!G738=0,"",MonthlyFAME!G738)</f>
        <v>46420</v>
      </c>
      <c r="G736" s="21">
        <f>IF(MonthlyFAME!H738=0,"",MonthlyFAME!H738)</f>
        <v>5.3361949842707199</v>
      </c>
      <c r="H736" s="21">
        <f>IF(MonthlyFAME!I738=0,"",MonthlyFAME!I738)</f>
        <v>32198</v>
      </c>
      <c r="I736" s="21">
        <f>IF(MonthlyFAME!J738=0,"",MonthlyFAME!J738)</f>
        <v>968.1</v>
      </c>
      <c r="J736" s="21">
        <f>IF(MonthlyFAME!K738=0,"",MonthlyFAME!K738)</f>
        <v>600</v>
      </c>
      <c r="K736" s="21">
        <f>IF(MonthlyFAME!L738=0,"",MonthlyFAME!L738)</f>
        <v>569.89280864004104</v>
      </c>
      <c r="L736" s="21">
        <f>IF(MonthlyFAME!M738=0,"",MonthlyFAME!M738)</f>
        <v>2622</v>
      </c>
      <c r="M736" s="21" t="str">
        <f>IF(MonthlyFAME!N738=0,"",MonthlyFAME!N738)</f>
        <v/>
      </c>
      <c r="N736" s="21" t="str">
        <f>IF(MonthlyFAME!O738=0,"",MonthlyFAME!O738)</f>
        <v/>
      </c>
      <c r="O736" s="21" t="str">
        <f>IF(MonthlyFAME!P738=0,"",MonthlyFAME!P738)</f>
        <v/>
      </c>
      <c r="P736" s="21" t="str">
        <f>IF(MonthlyFAME!Q738=0,"",MonthlyFAME!Q738)</f>
        <v/>
      </c>
      <c r="Q736" s="21" t="str">
        <f>IF(MonthlyFAME!R738=0,"",MonthlyFAME!R738)</f>
        <v/>
      </c>
      <c r="R736" s="21" t="str">
        <f>IF(MonthlyFAME!S738=0,"",MonthlyFAME!S738)</f>
        <v/>
      </c>
      <c r="S736" s="21" t="str">
        <f>IF(MonthlyFAME!T738=0,"",MonthlyFAME!T738)</f>
        <v/>
      </c>
      <c r="T736" s="21">
        <f>IF(MonthlyFAME!U738=0,"",MonthlyFAME!U738)</f>
        <v>50.032173913043479</v>
      </c>
    </row>
    <row r="737" spans="1:20" x14ac:dyDescent="0.2">
      <c r="A737" s="23">
        <f>IF(MonthlyFAME!A739=0,"",MonthlyFAME!A739)</f>
        <v>44227</v>
      </c>
      <c r="B737" s="21">
        <f>IF(MonthlyFAME!B739=0,"",MonthlyFAME!B739)</f>
        <v>90.3</v>
      </c>
      <c r="C737" s="21">
        <f>IF(MonthlyFAME!C739=0,"",MonthlyFAME!C739)</f>
        <v>102.4</v>
      </c>
      <c r="D737" s="21">
        <f>IF(MonthlyFAME!D739=0,"",MonthlyFAME!D739)</f>
        <v>88.223299999999995</v>
      </c>
      <c r="E737" s="21">
        <f>IF(MonthlyFAME!F739=0,"",MonthlyFAME!F739)</f>
        <v>22245</v>
      </c>
      <c r="F737" s="21">
        <f>IF(MonthlyFAME!G739=0,"",MonthlyFAME!G739)</f>
        <v>36704</v>
      </c>
      <c r="G737" s="21">
        <f>IF(MonthlyFAME!H739=0,"",MonthlyFAME!H739)</f>
        <v>5.2569577381828889</v>
      </c>
      <c r="H737" s="21">
        <f>IF(MonthlyFAME!I739=0,"",MonthlyFAME!I739)</f>
        <v>32170</v>
      </c>
      <c r="I737" s="21">
        <f>IF(MonthlyFAME!J739=0,"",MonthlyFAME!J739)</f>
        <v>959.8</v>
      </c>
      <c r="J737" s="21">
        <f>IF(MonthlyFAME!K739=0,"",MonthlyFAME!K739)</f>
        <v>619</v>
      </c>
      <c r="K737" s="21">
        <f>IF(MonthlyFAME!L739=0,"",MonthlyFAME!L739)</f>
        <v>569.97912028436997</v>
      </c>
      <c r="L737" s="21">
        <f>IF(MonthlyFAME!M739=0,"",MonthlyFAME!M739)</f>
        <v>2572.6999999999998</v>
      </c>
      <c r="M737" s="21" t="str">
        <f>IF(MonthlyFAME!N739=0,"",MonthlyFAME!N739)</f>
        <v/>
      </c>
      <c r="N737" s="21" t="str">
        <f>IF(MonthlyFAME!O739=0,"",MonthlyFAME!O739)</f>
        <v/>
      </c>
      <c r="O737" s="21" t="str">
        <f>IF(MonthlyFAME!P739=0,"",MonthlyFAME!P739)</f>
        <v/>
      </c>
      <c r="P737" s="21" t="str">
        <f>IF(MonthlyFAME!Q739=0,"",MonthlyFAME!Q739)</f>
        <v/>
      </c>
      <c r="Q737" s="21" t="str">
        <f>IF(MonthlyFAME!R739=0,"",MonthlyFAME!R739)</f>
        <v/>
      </c>
      <c r="R737" s="21" t="str">
        <f>IF(MonthlyFAME!S739=0,"",MonthlyFAME!S739)</f>
        <v/>
      </c>
      <c r="S737" s="21" t="str">
        <f>IF(MonthlyFAME!T739=0,"",MonthlyFAME!T739)</f>
        <v/>
      </c>
      <c r="T737" s="21">
        <f>IF(MonthlyFAME!U739=0,"",MonthlyFAME!U739)</f>
        <v>54.604761904761894</v>
      </c>
    </row>
    <row r="738" spans="1:20" x14ac:dyDescent="0.2">
      <c r="A738" s="23">
        <f>IF(MonthlyFAME!A740=0,"",MonthlyFAME!A740)</f>
        <v>44255</v>
      </c>
      <c r="B738" s="21">
        <f>IF(MonthlyFAME!B740=0,"",MonthlyFAME!B740)</f>
        <v>91.3</v>
      </c>
      <c r="C738" s="21">
        <f>IF(MonthlyFAME!C740=0,"",MonthlyFAME!C740)</f>
        <v>101.5</v>
      </c>
      <c r="D738" s="21">
        <f>IF(MonthlyFAME!D740=0,"",MonthlyFAME!D740)</f>
        <v>89.411900000000003</v>
      </c>
      <c r="E738" s="21">
        <f>IF(MonthlyFAME!F740=0,"",MonthlyFAME!F740)</f>
        <v>25736</v>
      </c>
      <c r="F738" s="21">
        <f>IF(MonthlyFAME!G740=0,"",MonthlyFAME!G740)</f>
        <v>39163</v>
      </c>
      <c r="G738" s="21">
        <f>IF(MonthlyFAME!H740=0,"",MonthlyFAME!H740)</f>
        <v>5.1770315213232481</v>
      </c>
      <c r="H738" s="21">
        <f>IF(MonthlyFAME!I740=0,"",MonthlyFAME!I740)</f>
        <v>32218</v>
      </c>
      <c r="I738" s="21">
        <f>IF(MonthlyFAME!J740=0,"",MonthlyFAME!J740)</f>
        <v>956.3</v>
      </c>
      <c r="J738" s="21">
        <f>IF(MonthlyFAME!K740=0,"",MonthlyFAME!K740)</f>
        <v>621</v>
      </c>
      <c r="K738" s="21">
        <f>IF(MonthlyFAME!L740=0,"",MonthlyFAME!L740)</f>
        <v>567.24962036074396</v>
      </c>
      <c r="L738" s="21">
        <f>IF(MonthlyFAME!M740=0,"",MonthlyFAME!M740)</f>
        <v>2650.4</v>
      </c>
      <c r="M738" s="21" t="str">
        <f>IF(MonthlyFAME!N740=0,"",MonthlyFAME!N740)</f>
        <v/>
      </c>
      <c r="N738" s="21" t="str">
        <f>IF(MonthlyFAME!O740=0,"",MonthlyFAME!O740)</f>
        <v/>
      </c>
      <c r="O738" s="21" t="str">
        <f>IF(MonthlyFAME!P740=0,"",MonthlyFAME!P740)</f>
        <v/>
      </c>
      <c r="P738" s="21" t="str">
        <f>IF(MonthlyFAME!Q740=0,"",MonthlyFAME!Q740)</f>
        <v/>
      </c>
      <c r="Q738" s="21" t="str">
        <f>IF(MonthlyFAME!R740=0,"",MonthlyFAME!R740)</f>
        <v/>
      </c>
      <c r="R738" s="21" t="str">
        <f>IF(MonthlyFAME!S740=0,"",MonthlyFAME!S740)</f>
        <v/>
      </c>
      <c r="S738" s="21" t="str">
        <f>IF(MonthlyFAME!T740=0,"",MonthlyFAME!T740)</f>
        <v/>
      </c>
      <c r="T738" s="21">
        <f>IF(MonthlyFAME!U740=0,"",MonthlyFAME!U740)</f>
        <v>62.276499999999999</v>
      </c>
    </row>
    <row r="739" spans="1:20" x14ac:dyDescent="0.2">
      <c r="A739" s="23">
        <f>IF(MonthlyFAME!A741=0,"",MonthlyFAME!A741)</f>
        <v>44286</v>
      </c>
      <c r="B739" s="21">
        <f>IF(MonthlyFAME!B741=0,"",MonthlyFAME!B741)</f>
        <v>93.3</v>
      </c>
      <c r="C739" s="21">
        <f>IF(MonthlyFAME!C741=0,"",MonthlyFAME!C741)</f>
        <v>101</v>
      </c>
      <c r="D739" s="21">
        <f>IF(MonthlyFAME!D741=0,"",MonthlyFAME!D741)</f>
        <v>91.897199999999998</v>
      </c>
      <c r="E739" s="21">
        <f>IF(MonthlyFAME!F741=0,"",MonthlyFAME!F741)</f>
        <v>27908</v>
      </c>
      <c r="F739" s="21">
        <f>IF(MonthlyFAME!G741=0,"",MonthlyFAME!G741)</f>
        <v>38888</v>
      </c>
      <c r="G739" s="21">
        <f>IF(MonthlyFAME!H741=0,"",MonthlyFAME!H741)</f>
        <v>5.0620230413388727</v>
      </c>
      <c r="H739" s="21">
        <f>IF(MonthlyFAME!I741=0,"",MonthlyFAME!I741)</f>
        <v>32221</v>
      </c>
      <c r="I739" s="21">
        <f>IF(MonthlyFAME!J741=0,"",MonthlyFAME!J741)</f>
        <v>952.2</v>
      </c>
      <c r="J739" s="21">
        <f>IF(MonthlyFAME!K741=0,"",MonthlyFAME!K741)</f>
        <v>628</v>
      </c>
      <c r="K739" s="21">
        <f>IF(MonthlyFAME!L741=0,"",MonthlyFAME!L741)</f>
        <v>552.14634287420404</v>
      </c>
      <c r="L739" s="21">
        <f>IF(MonthlyFAME!M741=0,"",MonthlyFAME!M741)</f>
        <v>2632.9</v>
      </c>
      <c r="M739" s="21" t="str">
        <f>IF(MonthlyFAME!N741=0,"",MonthlyFAME!N741)</f>
        <v/>
      </c>
      <c r="N739" s="21" t="str">
        <f>IF(MonthlyFAME!O741=0,"",MonthlyFAME!O741)</f>
        <v/>
      </c>
      <c r="O739" s="21" t="str">
        <f>IF(MonthlyFAME!P741=0,"",MonthlyFAME!P741)</f>
        <v/>
      </c>
      <c r="P739" s="21" t="str">
        <f>IF(MonthlyFAME!Q741=0,"",MonthlyFAME!Q741)</f>
        <v/>
      </c>
      <c r="Q739" s="21" t="str">
        <f>IF(MonthlyFAME!R741=0,"",MonthlyFAME!R741)</f>
        <v/>
      </c>
      <c r="R739" s="21" t="str">
        <f>IF(MonthlyFAME!S741=0,"",MonthlyFAME!S741)</f>
        <v/>
      </c>
      <c r="S739" s="21" t="str">
        <f>IF(MonthlyFAME!T741=0,"",MonthlyFAME!T741)</f>
        <v/>
      </c>
      <c r="T739" s="21">
        <f>IF(MonthlyFAME!U741=0,"",MonthlyFAME!U741)</f>
        <v>65.41</v>
      </c>
    </row>
    <row r="740" spans="1:20" x14ac:dyDescent="0.2">
      <c r="A740" s="23">
        <f>IF(MonthlyFAME!A742=0,"",MonthlyFAME!A742)</f>
        <v>44316</v>
      </c>
      <c r="B740" s="21">
        <f>IF(MonthlyFAME!B742=0,"",MonthlyFAME!B742)</f>
        <v>96.8</v>
      </c>
      <c r="C740" s="21">
        <f>IF(MonthlyFAME!C742=0,"",MonthlyFAME!C742)</f>
        <v>99.6</v>
      </c>
      <c r="D740" s="21">
        <f>IF(MonthlyFAME!D742=0,"",MonthlyFAME!D742)</f>
        <v>96.309600000000003</v>
      </c>
      <c r="E740" s="21">
        <f>IF(MonthlyFAME!F742=0,"",MonthlyFAME!F742)</f>
        <v>28725</v>
      </c>
      <c r="F740" s="21">
        <f>IF(MonthlyFAME!G742=0,"",MonthlyFAME!G742)</f>
        <v>39209</v>
      </c>
      <c r="G740" s="21">
        <f>IF(MonthlyFAME!H742=0,"",MonthlyFAME!H742)</f>
        <v>5.0122285411203116</v>
      </c>
      <c r="H740" s="21">
        <f>IF(MonthlyFAME!I742=0,"",MonthlyFAME!I742)</f>
        <v>32236</v>
      </c>
      <c r="I740" s="21">
        <f>IF(MonthlyFAME!J742=0,"",MonthlyFAME!J742)</f>
        <v>969.3</v>
      </c>
      <c r="J740" s="21">
        <f>IF(MonthlyFAME!K742=0,"",MonthlyFAME!K742)</f>
        <v>663</v>
      </c>
      <c r="K740" s="21">
        <f>IF(MonthlyFAME!L742=0,"",MonthlyFAME!L742)</f>
        <v>576.15724392933498</v>
      </c>
      <c r="L740" s="21">
        <f>IF(MonthlyFAME!M742=0,"",MonthlyFAME!M742)</f>
        <v>2598.1</v>
      </c>
      <c r="M740" s="21" t="str">
        <f>IF(MonthlyFAME!N742=0,"",MonthlyFAME!N742)</f>
        <v/>
      </c>
      <c r="N740" s="21" t="str">
        <f>IF(MonthlyFAME!O742=0,"",MonthlyFAME!O742)</f>
        <v/>
      </c>
      <c r="O740" s="21" t="str">
        <f>IF(MonthlyFAME!P742=0,"",MonthlyFAME!P742)</f>
        <v/>
      </c>
      <c r="P740" s="21" t="str">
        <f>IF(MonthlyFAME!Q742=0,"",MonthlyFAME!Q742)</f>
        <v/>
      </c>
      <c r="Q740" s="21" t="str">
        <f>IF(MonthlyFAME!R742=0,"",MonthlyFAME!R742)</f>
        <v/>
      </c>
      <c r="R740" s="21" t="str">
        <f>IF(MonthlyFAME!S742=0,"",MonthlyFAME!S742)</f>
        <v/>
      </c>
      <c r="S740" s="21" t="str">
        <f>IF(MonthlyFAME!T742=0,"",MonthlyFAME!T742)</f>
        <v/>
      </c>
      <c r="T740" s="21">
        <f>IF(MonthlyFAME!U742=0,"",MonthlyFAME!U742)</f>
        <v>64.719545454545454</v>
      </c>
    </row>
    <row r="741" spans="1:20" x14ac:dyDescent="0.2">
      <c r="A741" s="23">
        <f>IF(MonthlyFAME!A743=0,"",MonthlyFAME!A743)</f>
        <v>44347</v>
      </c>
      <c r="B741" s="21">
        <f>IF(MonthlyFAME!B743=0,"",MonthlyFAME!B743)</f>
        <v>98.3</v>
      </c>
      <c r="C741" s="21">
        <f>IF(MonthlyFAME!C743=0,"",MonthlyFAME!C743)</f>
        <v>99.5</v>
      </c>
      <c r="D741" s="21">
        <f>IF(MonthlyFAME!D743=0,"",MonthlyFAME!D743)</f>
        <v>98.261600000000001</v>
      </c>
      <c r="E741" s="21">
        <f>IF(MonthlyFAME!F743=0,"",MonthlyFAME!F743)</f>
        <v>29408</v>
      </c>
      <c r="F741" s="21">
        <f>IF(MonthlyFAME!G743=0,"",MonthlyFAME!G743)</f>
        <v>38665</v>
      </c>
      <c r="G741" s="21">
        <f>IF(MonthlyFAME!H743=0,"",MonthlyFAME!H743)</f>
        <v>4.9807074902064743</v>
      </c>
      <c r="H741" s="21">
        <f>IF(MonthlyFAME!I743=0,"",MonthlyFAME!I743)</f>
        <v>32260</v>
      </c>
      <c r="I741" s="21">
        <f>IF(MonthlyFAME!J743=0,"",MonthlyFAME!J743)</f>
        <v>987.4</v>
      </c>
      <c r="J741" s="21">
        <f>IF(MonthlyFAME!K743=0,"",MonthlyFAME!K743)</f>
        <v>765</v>
      </c>
      <c r="K741" s="21">
        <f>IF(MonthlyFAME!L743=0,"",MonthlyFAME!L743)</f>
        <v>581.20956342899501</v>
      </c>
      <c r="L741" s="21">
        <f>IF(MonthlyFAME!M743=0,"",MonthlyFAME!M743)</f>
        <v>2451.6</v>
      </c>
      <c r="M741" s="21" t="str">
        <f>IF(MonthlyFAME!N743=0,"",MonthlyFAME!N743)</f>
        <v/>
      </c>
      <c r="N741" s="21" t="str">
        <f>IF(MonthlyFAME!O743=0,"",MonthlyFAME!O743)</f>
        <v/>
      </c>
      <c r="O741" s="21" t="str">
        <f>IF(MonthlyFAME!P743=0,"",MonthlyFAME!P743)</f>
        <v/>
      </c>
      <c r="P741" s="21" t="str">
        <f>IF(MonthlyFAME!Q743=0,"",MonthlyFAME!Q743)</f>
        <v/>
      </c>
      <c r="Q741" s="21" t="str">
        <f>IF(MonthlyFAME!R743=0,"",MonthlyFAME!R743)</f>
        <v/>
      </c>
      <c r="R741" s="21" t="str">
        <f>IF(MonthlyFAME!S743=0,"",MonthlyFAME!S743)</f>
        <v/>
      </c>
      <c r="S741" s="21" t="str">
        <f>IF(MonthlyFAME!T743=0,"",MonthlyFAME!T743)</f>
        <v/>
      </c>
      <c r="T741" s="21">
        <f>IF(MonthlyFAME!U743=0,"",MonthlyFAME!U743)</f>
        <v>68.535238095238086</v>
      </c>
    </row>
    <row r="742" spans="1:20" x14ac:dyDescent="0.2">
      <c r="A742" s="23">
        <f>IF(MonthlyFAME!A744=0,"",MonthlyFAME!A744)</f>
        <v>44377</v>
      </c>
      <c r="B742" s="21">
        <f>IF(MonthlyFAME!B744=0,"",MonthlyFAME!B744)</f>
        <v>99.4</v>
      </c>
      <c r="C742" s="21">
        <f>IF(MonthlyFAME!C744=0,"",MonthlyFAME!C744)</f>
        <v>97.9</v>
      </c>
      <c r="D742" s="21">
        <f>IF(MonthlyFAME!D744=0,"",MonthlyFAME!D744)</f>
        <v>100.00839999999999</v>
      </c>
      <c r="E742" s="21">
        <f>IF(MonthlyFAME!F744=0,"",MonthlyFAME!F744)</f>
        <v>27279</v>
      </c>
      <c r="F742" s="21">
        <f>IF(MonthlyFAME!G744=0,"",MonthlyFAME!G744)</f>
        <v>40185</v>
      </c>
      <c r="G742" s="21">
        <f>IF(MonthlyFAME!H744=0,"",MonthlyFAME!H744)</f>
        <v>4.8407006818716196</v>
      </c>
      <c r="H742" s="21">
        <f>IF(MonthlyFAME!I744=0,"",MonthlyFAME!I744)</f>
        <v>32377</v>
      </c>
      <c r="I742" s="21">
        <f>IF(MonthlyFAME!J744=0,"",MonthlyFAME!J744)</f>
        <v>1003.2</v>
      </c>
      <c r="J742" s="21">
        <f>IF(MonthlyFAME!K744=0,"",MonthlyFAME!K744)</f>
        <v>867</v>
      </c>
      <c r="K742" s="21">
        <f>IF(MonthlyFAME!L744=0,"",MonthlyFAME!L744)</f>
        <v>577.42463943877704</v>
      </c>
      <c r="L742" s="21">
        <f>IF(MonthlyFAME!M744=0,"",MonthlyFAME!M744)</f>
        <v>2279.8000000000002</v>
      </c>
      <c r="M742" s="21" t="str">
        <f>IF(MonthlyFAME!N744=0,"",MonthlyFAME!N744)</f>
        <v/>
      </c>
      <c r="N742" s="21" t="str">
        <f>IF(MonthlyFAME!O744=0,"",MonthlyFAME!O744)</f>
        <v/>
      </c>
      <c r="O742" s="21" t="str">
        <f>IF(MonthlyFAME!P744=0,"",MonthlyFAME!P744)</f>
        <v/>
      </c>
      <c r="P742" s="21" t="str">
        <f>IF(MonthlyFAME!Q744=0,"",MonthlyFAME!Q744)</f>
        <v/>
      </c>
      <c r="Q742" s="21" t="str">
        <f>IF(MonthlyFAME!R744=0,"",MonthlyFAME!R744)</f>
        <v/>
      </c>
      <c r="R742" s="21" t="str">
        <f>IF(MonthlyFAME!S744=0,"",MonthlyFAME!S744)</f>
        <v/>
      </c>
      <c r="S742" s="21" t="str">
        <f>IF(MonthlyFAME!T744=0,"",MonthlyFAME!T744)</f>
        <v/>
      </c>
      <c r="T742" s="21">
        <f>IF(MonthlyFAME!U744=0,"",MonthlyFAME!U744)</f>
        <v>73.150454545454537</v>
      </c>
    </row>
    <row r="743" spans="1:20" x14ac:dyDescent="0.2">
      <c r="A743" s="23">
        <f>IF(MonthlyFAME!A745=0,"",MonthlyFAME!A745)</f>
        <v>44408</v>
      </c>
      <c r="B743" s="21">
        <f>IF(MonthlyFAME!B745=0,"",MonthlyFAME!B745)</f>
        <v>98.9</v>
      </c>
      <c r="C743" s="21">
        <f>IF(MonthlyFAME!C745=0,"",MonthlyFAME!C745)</f>
        <v>96.9</v>
      </c>
      <c r="D743" s="21">
        <f>IF(MonthlyFAME!D745=0,"",MonthlyFAME!D745)</f>
        <v>99.587299999999999</v>
      </c>
      <c r="E743" s="21">
        <f>IF(MonthlyFAME!F745=0,"",MonthlyFAME!F745)</f>
        <v>27334</v>
      </c>
      <c r="F743" s="21">
        <f>IF(MonthlyFAME!G745=0,"",MonthlyFAME!G745)</f>
        <v>41134</v>
      </c>
      <c r="G743" s="21">
        <f>IF(MonthlyFAME!H745=0,"",MonthlyFAME!H745)</f>
        <v>4.7047781069427739</v>
      </c>
      <c r="H743" s="21">
        <f>IF(MonthlyFAME!I745=0,"",MonthlyFAME!I745)</f>
        <v>32489</v>
      </c>
      <c r="I743" s="21">
        <f>IF(MonthlyFAME!J745=0,"",MonthlyFAME!J745)</f>
        <v>1017.2</v>
      </c>
      <c r="J743" s="21">
        <f>IF(MonthlyFAME!K745=0,"",MonthlyFAME!K745)</f>
        <v>971</v>
      </c>
      <c r="K743" s="21">
        <f>IF(MonthlyFAME!L745=0,"",MonthlyFAME!L745)</f>
        <v>580.83186207086601</v>
      </c>
      <c r="L743" s="21">
        <f>IF(MonthlyFAME!M745=0,"",MonthlyFAME!M745)</f>
        <v>2232.8000000000002</v>
      </c>
      <c r="M743" s="21" t="str">
        <f>IF(MonthlyFAME!N745=0,"",MonthlyFAME!N745)</f>
        <v/>
      </c>
      <c r="N743" s="21" t="str">
        <f>IF(MonthlyFAME!O745=0,"",MonthlyFAME!O745)</f>
        <v/>
      </c>
      <c r="O743" s="21" t="str">
        <f>IF(MonthlyFAME!P745=0,"",MonthlyFAME!P745)</f>
        <v/>
      </c>
      <c r="P743" s="21" t="str">
        <f>IF(MonthlyFAME!Q745=0,"",MonthlyFAME!Q745)</f>
        <v/>
      </c>
      <c r="Q743" s="21" t="str">
        <f>IF(MonthlyFAME!R745=0,"",MonthlyFAME!R745)</f>
        <v/>
      </c>
      <c r="R743" s="21" t="str">
        <f>IF(MonthlyFAME!S745=0,"",MonthlyFAME!S745)</f>
        <v/>
      </c>
      <c r="S743" s="21" t="str">
        <f>IF(MonthlyFAME!T745=0,"",MonthlyFAME!T745)</f>
        <v/>
      </c>
      <c r="T743" s="21">
        <f>IF(MonthlyFAME!U745=0,"",MonthlyFAME!U745)</f>
        <v>75.165909090909082</v>
      </c>
    </row>
    <row r="744" spans="1:20" x14ac:dyDescent="0.2">
      <c r="A744" s="23">
        <f>IF(MonthlyFAME!A746=0,"",MonthlyFAME!A746)</f>
        <v>44439</v>
      </c>
      <c r="B744" s="21">
        <f>IF(MonthlyFAME!B746=0,"",MonthlyFAME!B746)</f>
        <v>99.8</v>
      </c>
      <c r="C744" s="21">
        <f>IF(MonthlyFAME!C746=0,"",MonthlyFAME!C746)</f>
        <v>97</v>
      </c>
      <c r="D744" s="21">
        <f>IF(MonthlyFAME!D746=0,"",MonthlyFAME!D746)</f>
        <v>100.738</v>
      </c>
      <c r="E744" s="21">
        <f>IF(MonthlyFAME!F746=0,"",MonthlyFAME!F746)</f>
        <v>25664</v>
      </c>
      <c r="F744" s="21">
        <f>IF(MonthlyFAME!G746=0,"",MonthlyFAME!G746)</f>
        <v>39855</v>
      </c>
      <c r="G744" s="21">
        <f>IF(MonthlyFAME!H746=0,"",MonthlyFAME!H746)</f>
        <v>4.5670260135926881</v>
      </c>
      <c r="H744" s="21">
        <f>IF(MonthlyFAME!I746=0,"",MonthlyFAME!I746)</f>
        <v>32577</v>
      </c>
      <c r="I744" s="21">
        <f>IF(MonthlyFAME!J746=0,"",MonthlyFAME!J746)</f>
        <v>1024</v>
      </c>
      <c r="J744" s="21">
        <f>IF(MonthlyFAME!K746=0,"",MonthlyFAME!K746)</f>
        <v>1052</v>
      </c>
      <c r="K744" s="21">
        <f>IF(MonthlyFAME!L746=0,"",MonthlyFAME!L746)</f>
        <v>583.87735769370897</v>
      </c>
      <c r="L744" s="21">
        <f>IF(MonthlyFAME!M746=0,"",MonthlyFAME!M746)</f>
        <v>2146.8000000000002</v>
      </c>
      <c r="M744" s="21" t="str">
        <f>IF(MonthlyFAME!N746=0,"",MonthlyFAME!N746)</f>
        <v/>
      </c>
      <c r="N744" s="21" t="str">
        <f>IF(MonthlyFAME!O746=0,"",MonthlyFAME!O746)</f>
        <v/>
      </c>
      <c r="O744" s="21" t="str">
        <f>IF(MonthlyFAME!P746=0,"",MonthlyFAME!P746)</f>
        <v/>
      </c>
      <c r="P744" s="21" t="str">
        <f>IF(MonthlyFAME!Q746=0,"",MonthlyFAME!Q746)</f>
        <v/>
      </c>
      <c r="Q744" s="21" t="str">
        <f>IF(MonthlyFAME!R746=0,"",MonthlyFAME!R746)</f>
        <v/>
      </c>
      <c r="R744" s="21" t="str">
        <f>IF(MonthlyFAME!S746=0,"",MonthlyFAME!S746)</f>
        <v/>
      </c>
      <c r="S744" s="21" t="str">
        <f>IF(MonthlyFAME!T746=0,"",MonthlyFAME!T746)</f>
        <v/>
      </c>
      <c r="T744" s="21">
        <f>IF(MonthlyFAME!U746=0,"",MonthlyFAME!U746)</f>
        <v>70.815909090909088</v>
      </c>
    </row>
    <row r="745" spans="1:20" x14ac:dyDescent="0.2">
      <c r="A745" s="23">
        <f>IF(MonthlyFAME!A747=0,"",MonthlyFAME!A747)</f>
        <v>44469</v>
      </c>
      <c r="B745" s="21">
        <f>IF(MonthlyFAME!B747=0,"",MonthlyFAME!B747)</f>
        <v>100.4</v>
      </c>
      <c r="C745" s="21">
        <f>IF(MonthlyFAME!C747=0,"",MonthlyFAME!C747)</f>
        <v>95.9</v>
      </c>
      <c r="D745" s="21">
        <f>IF(MonthlyFAME!D747=0,"",MonthlyFAME!D747)</f>
        <v>101.61239999999999</v>
      </c>
      <c r="E745" s="21">
        <f>IF(MonthlyFAME!F747=0,"",MonthlyFAME!F747)</f>
        <v>25525</v>
      </c>
      <c r="F745" s="21">
        <f>IF(MonthlyFAME!G747=0,"",MonthlyFAME!G747)</f>
        <v>41227</v>
      </c>
      <c r="G745" s="21">
        <f>IF(MonthlyFAME!H747=0,"",MonthlyFAME!H747)</f>
        <v>4.3904293904293903</v>
      </c>
      <c r="H745" s="21">
        <f>IF(MonthlyFAME!I747=0,"",MonthlyFAME!I747)</f>
        <v>32687</v>
      </c>
      <c r="I745" s="21">
        <f>IF(MonthlyFAME!J747=0,"",MonthlyFAME!J747)</f>
        <v>1029.4000000000001</v>
      </c>
      <c r="J745" s="21">
        <f>IF(MonthlyFAME!K747=0,"",MonthlyFAME!K747)</f>
        <v>1122</v>
      </c>
      <c r="K745" s="21">
        <f>IF(MonthlyFAME!L747=0,"",MonthlyFAME!L747)</f>
        <v>585.63090396344501</v>
      </c>
      <c r="L745" s="21">
        <f>IF(MonthlyFAME!M747=0,"",MonthlyFAME!M747)</f>
        <v>2053.4</v>
      </c>
      <c r="M745" s="21" t="str">
        <f>IF(MonthlyFAME!N747=0,"",MonthlyFAME!N747)</f>
        <v/>
      </c>
      <c r="N745" s="21" t="str">
        <f>IF(MonthlyFAME!O747=0,"",MonthlyFAME!O747)</f>
        <v/>
      </c>
      <c r="O745" s="21" t="str">
        <f>IF(MonthlyFAME!P747=0,"",MonthlyFAME!P747)</f>
        <v/>
      </c>
      <c r="P745" s="21" t="str">
        <f>IF(MonthlyFAME!Q747=0,"",MonthlyFAME!Q747)</f>
        <v/>
      </c>
      <c r="Q745" s="21" t="str">
        <f>IF(MonthlyFAME!R747=0,"",MonthlyFAME!R747)</f>
        <v/>
      </c>
      <c r="R745" s="21" t="str">
        <f>IF(MonthlyFAME!S747=0,"",MonthlyFAME!S747)</f>
        <v/>
      </c>
      <c r="S745" s="21" t="str">
        <f>IF(MonthlyFAME!T747=0,"",MonthlyFAME!T747)</f>
        <v/>
      </c>
      <c r="T745" s="21">
        <f>IF(MonthlyFAME!U747=0,"",MonthlyFAME!U747)</f>
        <v>74.489318181818177</v>
      </c>
    </row>
    <row r="746" spans="1:20" x14ac:dyDescent="0.2">
      <c r="A746" s="23">
        <f>IF(MonthlyFAME!A748=0,"",MonthlyFAME!A748)</f>
        <v>44500</v>
      </c>
      <c r="B746" s="21">
        <f>IF(MonthlyFAME!B748=0,"",MonthlyFAME!B748)</f>
        <v>100.7</v>
      </c>
      <c r="C746" s="21">
        <f>IF(MonthlyFAME!C748=0,"",MonthlyFAME!C748)</f>
        <v>95.1</v>
      </c>
      <c r="D746" s="21">
        <f>IF(MonthlyFAME!D748=0,"",MonthlyFAME!D748)</f>
        <v>102.18770000000001</v>
      </c>
      <c r="E746" s="21">
        <f>IF(MonthlyFAME!F748=0,"",MonthlyFAME!F748)</f>
        <v>29043</v>
      </c>
      <c r="F746" s="21">
        <f>IF(MonthlyFAME!G748=0,"",MonthlyFAME!G748)</f>
        <v>39059</v>
      </c>
      <c r="G746" s="21">
        <f>IF(MonthlyFAME!H748=0,"",MonthlyFAME!H748)</f>
        <v>4.3121871249158348</v>
      </c>
      <c r="H746" s="21">
        <f>IF(MonthlyFAME!I748=0,"",MonthlyFAME!I748)</f>
        <v>32686</v>
      </c>
      <c r="I746" s="21">
        <f>IF(MonthlyFAME!J748=0,"",MonthlyFAME!J748)</f>
        <v>1027.5</v>
      </c>
      <c r="J746" s="21">
        <f>IF(MonthlyFAME!K748=0,"",MonthlyFAME!K748)</f>
        <v>1194</v>
      </c>
      <c r="K746" s="21">
        <f>IF(MonthlyFAME!L748=0,"",MonthlyFAME!L748)</f>
        <v>588.07709095991697</v>
      </c>
      <c r="L746" s="21">
        <f>IF(MonthlyFAME!M748=0,"",MonthlyFAME!M748)</f>
        <v>1985.9</v>
      </c>
      <c r="M746" s="21" t="str">
        <f>IF(MonthlyFAME!N748=0,"",MonthlyFAME!N748)</f>
        <v/>
      </c>
      <c r="N746" s="21" t="str">
        <f>IF(MonthlyFAME!O748=0,"",MonthlyFAME!O748)</f>
        <v/>
      </c>
      <c r="O746" s="21" t="str">
        <f>IF(MonthlyFAME!P748=0,"",MonthlyFAME!P748)</f>
        <v/>
      </c>
      <c r="P746" s="21" t="str">
        <f>IF(MonthlyFAME!Q748=0,"",MonthlyFAME!Q748)</f>
        <v/>
      </c>
      <c r="Q746" s="21" t="str">
        <f>IF(MonthlyFAME!R748=0,"",MonthlyFAME!R748)</f>
        <v/>
      </c>
      <c r="R746" s="21" t="str">
        <f>IF(MonthlyFAME!S748=0,"",MonthlyFAME!S748)</f>
        <v/>
      </c>
      <c r="S746" s="21" t="str">
        <f>IF(MonthlyFAME!T748=0,"",MonthlyFAME!T748)</f>
        <v/>
      </c>
      <c r="T746" s="21">
        <f>IF(MonthlyFAME!U748=0,"",MonthlyFAME!U748)</f>
        <v>83.538095238095224</v>
      </c>
    </row>
    <row r="747" spans="1:20" x14ac:dyDescent="0.2">
      <c r="A747" s="23">
        <f>IF(MonthlyFAME!A749=0,"",MonthlyFAME!A749)</f>
        <v>44530</v>
      </c>
      <c r="B747" s="21">
        <f>IF(MonthlyFAME!B749=0,"",MonthlyFAME!B749)</f>
        <v>101.4</v>
      </c>
      <c r="C747" s="21">
        <f>IF(MonthlyFAME!C749=0,"",MonthlyFAME!C749)</f>
        <v>96.6</v>
      </c>
      <c r="D747" s="21">
        <f>IF(MonthlyFAME!D749=0,"",MonthlyFAME!D749)</f>
        <v>102.7411</v>
      </c>
      <c r="E747" s="21">
        <f>IF(MonthlyFAME!F749=0,"",MonthlyFAME!F749)</f>
        <v>28691</v>
      </c>
      <c r="F747" s="21">
        <f>IF(MonthlyFAME!G749=0,"",MonthlyFAME!G749)</f>
        <v>40383</v>
      </c>
      <c r="G747" s="21">
        <f>IF(MonthlyFAME!H749=0,"",MonthlyFAME!H749)</f>
        <v>4.201606755409605</v>
      </c>
      <c r="H747" s="21">
        <f>IF(MonthlyFAME!I749=0,"",MonthlyFAME!I749)</f>
        <v>32673</v>
      </c>
      <c r="I747" s="21">
        <f>IF(MonthlyFAME!J749=0,"",MonthlyFAME!J749)</f>
        <v>1024.3</v>
      </c>
      <c r="J747" s="21">
        <f>IF(MonthlyFAME!K749=0,"",MonthlyFAME!K749)</f>
        <v>1218</v>
      </c>
      <c r="K747" s="21">
        <f>IF(MonthlyFAME!L749=0,"",MonthlyFAME!L749)</f>
        <v>587.43259063769904</v>
      </c>
      <c r="L747" s="21">
        <f>IF(MonthlyFAME!M749=0,"",MonthlyFAME!M749)</f>
        <v>1909.5</v>
      </c>
      <c r="M747" s="21" t="str">
        <f>IF(MonthlyFAME!N749=0,"",MonthlyFAME!N749)</f>
        <v/>
      </c>
      <c r="N747" s="21" t="str">
        <f>IF(MonthlyFAME!O749=0,"",MonthlyFAME!O749)</f>
        <v/>
      </c>
      <c r="O747" s="21" t="str">
        <f>IF(MonthlyFAME!P749=0,"",MonthlyFAME!P749)</f>
        <v/>
      </c>
      <c r="P747" s="21" t="str">
        <f>IF(MonthlyFAME!Q749=0,"",MonthlyFAME!Q749)</f>
        <v/>
      </c>
      <c r="Q747" s="21" t="str">
        <f>IF(MonthlyFAME!R749=0,"",MonthlyFAME!R749)</f>
        <v/>
      </c>
      <c r="R747" s="21" t="str">
        <f>IF(MonthlyFAME!S749=0,"",MonthlyFAME!S749)</f>
        <v/>
      </c>
      <c r="S747" s="21" t="str">
        <f>IF(MonthlyFAME!T749=0,"",MonthlyFAME!T749)</f>
        <v/>
      </c>
      <c r="T747" s="21">
        <f>IF(MonthlyFAME!U749=0,"",MonthlyFAME!U749)</f>
        <v>81.049772727272725</v>
      </c>
    </row>
    <row r="748" spans="1:20" x14ac:dyDescent="0.2">
      <c r="A748" s="23">
        <f>IF(MonthlyFAME!A750=0,"",MonthlyFAME!A750)</f>
        <v>44561</v>
      </c>
      <c r="B748" s="21">
        <f>IF(MonthlyFAME!B750=0,"",MonthlyFAME!B750)</f>
        <v>100.9</v>
      </c>
      <c r="C748" s="21">
        <f>IF(MonthlyFAME!C750=0,"",MonthlyFAME!C750)</f>
        <v>96.8</v>
      </c>
      <c r="D748" s="21">
        <f>IF(MonthlyFAME!D750=0,"",MonthlyFAME!D750)</f>
        <v>101.9764</v>
      </c>
      <c r="E748" s="21">
        <f>IF(MonthlyFAME!F750=0,"",MonthlyFAME!F750)</f>
        <v>29024</v>
      </c>
      <c r="F748" s="21">
        <f>IF(MonthlyFAME!G750=0,"",MonthlyFAME!G750)</f>
        <v>41063</v>
      </c>
      <c r="G748" s="21">
        <f>IF(MonthlyFAME!H750=0,"",MonthlyFAME!H750)</f>
        <v>4.1775380375831839</v>
      </c>
      <c r="H748" s="21">
        <f>IF(MonthlyFAME!I750=0,"",MonthlyFAME!I750)</f>
        <v>32686</v>
      </c>
      <c r="I748" s="21">
        <f>IF(MonthlyFAME!J750=0,"",MonthlyFAME!J750)</f>
        <v>1029.8</v>
      </c>
      <c r="J748" s="21">
        <f>IF(MonthlyFAME!K750=0,"",MonthlyFAME!K750)</f>
        <v>1241</v>
      </c>
      <c r="K748" s="21">
        <f>IF(MonthlyFAME!L750=0,"",MonthlyFAME!L750)</f>
        <v>603.291236987974</v>
      </c>
      <c r="L748" s="21">
        <f>IF(MonthlyFAME!M750=0,"",MonthlyFAME!M750)</f>
        <v>1840.3</v>
      </c>
      <c r="M748" s="21" t="str">
        <f>IF(MonthlyFAME!N750=0,"",MonthlyFAME!N750)</f>
        <v/>
      </c>
      <c r="N748" s="21" t="str">
        <f>IF(MonthlyFAME!O750=0,"",MonthlyFAME!O750)</f>
        <v/>
      </c>
      <c r="O748" s="21" t="str">
        <f>IF(MonthlyFAME!P750=0,"",MonthlyFAME!P750)</f>
        <v/>
      </c>
      <c r="P748" s="21" t="str">
        <f>IF(MonthlyFAME!Q750=0,"",MonthlyFAME!Q750)</f>
        <v/>
      </c>
      <c r="Q748" s="21" t="str">
        <f>IF(MonthlyFAME!R750=0,"",MonthlyFAME!R750)</f>
        <v/>
      </c>
      <c r="R748" s="21" t="str">
        <f>IF(MonthlyFAME!S750=0,"",MonthlyFAME!S750)</f>
        <v/>
      </c>
      <c r="S748" s="21" t="str">
        <f>IF(MonthlyFAME!T750=0,"",MonthlyFAME!T750)</f>
        <v/>
      </c>
      <c r="T748" s="21">
        <f>IF(MonthlyFAME!U750=0,"",MonthlyFAME!U750)</f>
        <v>74.263478260869562</v>
      </c>
    </row>
    <row r="749" spans="1:20" x14ac:dyDescent="0.2">
      <c r="A749" s="23">
        <f>IF(MonthlyFAME!A751=0,"",MonthlyFAME!A751)</f>
        <v>44592</v>
      </c>
      <c r="B749" s="21">
        <f>IF(MonthlyFAME!B751=0,"",MonthlyFAME!B751)</f>
        <v>101.4</v>
      </c>
      <c r="C749" s="21">
        <f>IF(MonthlyFAME!C751=0,"",MonthlyFAME!C751)</f>
        <v>96.4</v>
      </c>
      <c r="D749" s="21">
        <f>IF(MonthlyFAME!D751=0,"",MonthlyFAME!D751)</f>
        <v>102.5231</v>
      </c>
      <c r="E749" s="21">
        <f>IF(MonthlyFAME!F751=0,"",MonthlyFAME!F751)</f>
        <v>24679</v>
      </c>
      <c r="F749" s="21">
        <f>IF(MonthlyFAME!G751=0,"",MonthlyFAME!G751)</f>
        <v>45674</v>
      </c>
      <c r="G749" s="21">
        <f>IF(MonthlyFAME!H751=0,"",MonthlyFAME!H751)</f>
        <v>4.1079398637538169</v>
      </c>
      <c r="H749" s="21">
        <f>IF(MonthlyFAME!I751=0,"",MonthlyFAME!I751)</f>
        <v>32657</v>
      </c>
      <c r="I749" s="21">
        <f>IF(MonthlyFAME!J751=0,"",MonthlyFAME!J751)</f>
        <v>1032.4000000000001</v>
      </c>
      <c r="J749" s="21">
        <f>IF(MonthlyFAME!K751=0,"",MonthlyFAME!K751)</f>
        <v>1257</v>
      </c>
      <c r="K749" s="21">
        <f>IF(MonthlyFAME!L751=0,"",MonthlyFAME!L751)</f>
        <v>599.29295152434804</v>
      </c>
      <c r="L749" s="21">
        <f>IF(MonthlyFAME!M751=0,"",MonthlyFAME!M751)</f>
        <v>1791</v>
      </c>
      <c r="M749" s="21" t="str">
        <f>IF(MonthlyFAME!N751=0,"",MonthlyFAME!N751)</f>
        <v/>
      </c>
      <c r="N749" s="21" t="str">
        <f>IF(MonthlyFAME!O751=0,"",MonthlyFAME!O751)</f>
        <v/>
      </c>
      <c r="O749" s="21" t="str">
        <f>IF(MonthlyFAME!P751=0,"",MonthlyFAME!P751)</f>
        <v/>
      </c>
      <c r="P749" s="21" t="str">
        <f>IF(MonthlyFAME!Q751=0,"",MonthlyFAME!Q751)</f>
        <v/>
      </c>
      <c r="Q749" s="21" t="str">
        <f>IF(MonthlyFAME!R751=0,"",MonthlyFAME!R751)</f>
        <v/>
      </c>
      <c r="R749" s="21" t="str">
        <f>IF(MonthlyFAME!S751=0,"",MonthlyFAME!S751)</f>
        <v/>
      </c>
      <c r="S749" s="21" t="str">
        <f>IF(MonthlyFAME!T751=0,"",MonthlyFAME!T751)</f>
        <v/>
      </c>
      <c r="T749" s="21">
        <f>IF(MonthlyFAME!U751=0,"",MonthlyFAME!U751)</f>
        <v>86.505238095238084</v>
      </c>
    </row>
    <row r="750" spans="1:20" x14ac:dyDescent="0.2">
      <c r="A750" s="23">
        <f>IF(MonthlyFAME!A752=0,"",MonthlyFAME!A752)</f>
        <v>44620</v>
      </c>
      <c r="B750" s="21">
        <f>IF(MonthlyFAME!B752=0,"",MonthlyFAME!B752)</f>
        <v>101.9</v>
      </c>
      <c r="C750" s="21">
        <f>IF(MonthlyFAME!C752=0,"",MonthlyFAME!C752)</f>
        <v>96.1</v>
      </c>
      <c r="D750" s="21">
        <f>IF(MonthlyFAME!D752=0,"",MonthlyFAME!D752)</f>
        <v>103.2353</v>
      </c>
      <c r="E750" s="21">
        <f>IF(MonthlyFAME!F752=0,"",MonthlyFAME!F752)</f>
        <v>27317</v>
      </c>
      <c r="F750" s="21">
        <f>IF(MonthlyFAME!G752=0,"",MonthlyFAME!G752)</f>
        <v>44639</v>
      </c>
      <c r="G750" s="21">
        <f>IF(MonthlyFAME!H752=0,"",MonthlyFAME!H752)</f>
        <v>3.9674615294255844</v>
      </c>
      <c r="H750" s="21">
        <f>IF(MonthlyFAME!I752=0,"",MonthlyFAME!I752)</f>
        <v>32701</v>
      </c>
      <c r="I750" s="21">
        <f>IF(MonthlyFAME!J752=0,"",MonthlyFAME!J752)</f>
        <v>1039.4000000000001</v>
      </c>
      <c r="J750" s="21">
        <f>IF(MonthlyFAME!K752=0,"",MonthlyFAME!K752)</f>
        <v>1273</v>
      </c>
      <c r="K750" s="21">
        <f>IF(MonthlyFAME!L752=0,"",MonthlyFAME!L752)</f>
        <v>599.75623103739599</v>
      </c>
      <c r="L750" s="21">
        <f>IF(MonthlyFAME!M752=0,"",MonthlyFAME!M752)</f>
        <v>1749.3</v>
      </c>
      <c r="M750" s="21" t="str">
        <f>IF(MonthlyFAME!N752=0,"",MonthlyFAME!N752)</f>
        <v/>
      </c>
      <c r="N750" s="21" t="str">
        <f>IF(MonthlyFAME!O752=0,"",MonthlyFAME!O752)</f>
        <v/>
      </c>
      <c r="O750" s="21" t="str">
        <f>IF(MonthlyFAME!P752=0,"",MonthlyFAME!P752)</f>
        <v/>
      </c>
      <c r="P750" s="21" t="str">
        <f>IF(MonthlyFAME!Q752=0,"",MonthlyFAME!Q752)</f>
        <v/>
      </c>
      <c r="Q750" s="21" t="str">
        <f>IF(MonthlyFAME!R752=0,"",MonthlyFAME!R752)</f>
        <v/>
      </c>
      <c r="R750" s="21" t="str">
        <f>IF(MonthlyFAME!S752=0,"",MonthlyFAME!S752)</f>
        <v/>
      </c>
      <c r="S750" s="21" t="str">
        <f>IF(MonthlyFAME!T752=0,"",MonthlyFAME!T752)</f>
        <v/>
      </c>
      <c r="T750" s="21">
        <f>IF(MonthlyFAME!U752=0,"",MonthlyFAME!U752)</f>
        <v>97.129000000000005</v>
      </c>
    </row>
    <row r="751" spans="1:20" x14ac:dyDescent="0.2">
      <c r="A751" s="23">
        <f>IF(MonthlyFAME!A753=0,"",MonthlyFAME!A753)</f>
        <v>44651</v>
      </c>
      <c r="B751" s="21">
        <f>IF(MonthlyFAME!B753=0,"",MonthlyFAME!B753)</f>
        <v>102.1</v>
      </c>
      <c r="C751" s="21">
        <f>IF(MonthlyFAME!C753=0,"",MonthlyFAME!C753)</f>
        <v>95.8</v>
      </c>
      <c r="D751" s="21">
        <f>IF(MonthlyFAME!D753=0,"",MonthlyFAME!D753)</f>
        <v>103.3368</v>
      </c>
      <c r="E751" s="21">
        <f>IF(MonthlyFAME!F753=0,"",MonthlyFAME!F753)</f>
        <v>26747</v>
      </c>
      <c r="F751" s="21">
        <f>IF(MonthlyFAME!G753=0,"",MonthlyFAME!G753)</f>
        <v>45076</v>
      </c>
      <c r="G751" s="21">
        <f>IF(MonthlyFAME!H753=0,"",MonthlyFAME!H753)</f>
        <v>3.8517953532034732</v>
      </c>
      <c r="H751" s="21">
        <f>IF(MonthlyFAME!I753=0,"",MonthlyFAME!I753)</f>
        <v>32775</v>
      </c>
      <c r="I751" s="21">
        <f>IF(MonthlyFAME!J753=0,"",MonthlyFAME!J753)</f>
        <v>1043.5</v>
      </c>
      <c r="J751" s="21">
        <f>IF(MonthlyFAME!K753=0,"",MonthlyFAME!K753)</f>
        <v>1286</v>
      </c>
      <c r="K751" s="21">
        <f>IF(MonthlyFAME!L753=0,"",MonthlyFAME!L753)</f>
        <v>607.90373259045202</v>
      </c>
      <c r="L751" s="21">
        <f>IF(MonthlyFAME!M753=0,"",MonthlyFAME!M753)</f>
        <v>1672.8</v>
      </c>
      <c r="M751" s="21" t="str">
        <f>IF(MonthlyFAME!N753=0,"",MonthlyFAME!N753)</f>
        <v/>
      </c>
      <c r="N751" s="21" t="str">
        <f>IF(MonthlyFAME!O753=0,"",MonthlyFAME!O753)</f>
        <v/>
      </c>
      <c r="O751" s="21" t="str">
        <f>IF(MonthlyFAME!P753=0,"",MonthlyFAME!P753)</f>
        <v/>
      </c>
      <c r="P751" s="21" t="str">
        <f>IF(MonthlyFAME!Q753=0,"",MonthlyFAME!Q753)</f>
        <v/>
      </c>
      <c r="Q751" s="21" t="str">
        <f>IF(MonthlyFAME!R753=0,"",MonthlyFAME!R753)</f>
        <v/>
      </c>
      <c r="R751" s="21" t="str">
        <f>IF(MonthlyFAME!S753=0,"",MonthlyFAME!S753)</f>
        <v/>
      </c>
      <c r="S751" s="21" t="str">
        <f>IF(MonthlyFAME!T753=0,"",MonthlyFAME!T753)</f>
        <v/>
      </c>
      <c r="T751" s="21">
        <f>IF(MonthlyFAME!U753=0,"",MonthlyFAME!U753)</f>
        <v>117.24521739130434</v>
      </c>
    </row>
    <row r="752" spans="1:20" x14ac:dyDescent="0.2">
      <c r="A752" s="23">
        <f>IF(MonthlyFAME!A754=0,"",MonthlyFAME!A754)</f>
        <v>44681</v>
      </c>
      <c r="B752" s="21">
        <f>IF(MonthlyFAME!B754=0,"",MonthlyFAME!B754)</f>
        <v>101.8</v>
      </c>
      <c r="C752" s="21">
        <f>IF(MonthlyFAME!C754=0,"",MonthlyFAME!C754)</f>
        <v>95.7</v>
      </c>
      <c r="D752" s="21">
        <f>IF(MonthlyFAME!D754=0,"",MonthlyFAME!D754)</f>
        <v>103.0022</v>
      </c>
      <c r="E752" s="21">
        <f>IF(MonthlyFAME!F754=0,"",MonthlyFAME!F754)</f>
        <v>27617</v>
      </c>
      <c r="F752" s="21">
        <f>IF(MonthlyFAME!G754=0,"",MonthlyFAME!G754)</f>
        <v>43723</v>
      </c>
      <c r="G752" s="21">
        <f>IF(MonthlyFAME!H754=0,"",MonthlyFAME!H754)</f>
        <v>3.9605986203671226</v>
      </c>
      <c r="H752" s="21">
        <f>IF(MonthlyFAME!I754=0,"",MonthlyFAME!I754)</f>
        <v>32857</v>
      </c>
      <c r="I752" s="21">
        <f>IF(MonthlyFAME!J754=0,"",MonthlyFAME!J754)</f>
        <v>1044.5999999999999</v>
      </c>
      <c r="J752" s="21">
        <f>IF(MonthlyFAME!K754=0,"",MonthlyFAME!K754)</f>
        <v>1296</v>
      </c>
      <c r="K752" s="21">
        <f>IF(MonthlyFAME!L754=0,"",MonthlyFAME!L754)</f>
        <v>604.07999028103995</v>
      </c>
      <c r="L752" s="21">
        <f>IF(MonthlyFAME!M754=0,"",MonthlyFAME!M754)</f>
        <v>1599.3</v>
      </c>
      <c r="M752" s="21" t="str">
        <f>IF(MonthlyFAME!N754=0,"",MonthlyFAME!N754)</f>
        <v/>
      </c>
      <c r="N752" s="21" t="str">
        <f>IF(MonthlyFAME!O754=0,"",MonthlyFAME!O754)</f>
        <v/>
      </c>
      <c r="O752" s="21" t="str">
        <f>IF(MonthlyFAME!P754=0,"",MonthlyFAME!P754)</f>
        <v/>
      </c>
      <c r="P752" s="21" t="str">
        <f>IF(MonthlyFAME!Q754=0,"",MonthlyFAME!Q754)</f>
        <v/>
      </c>
      <c r="Q752" s="21" t="str">
        <f>IF(MonthlyFAME!R754=0,"",MonthlyFAME!R754)</f>
        <v/>
      </c>
      <c r="R752" s="21" t="str">
        <f>IF(MonthlyFAME!S754=0,"",MonthlyFAME!S754)</f>
        <v/>
      </c>
      <c r="S752" s="21" t="str">
        <f>IF(MonthlyFAME!T754=0,"",MonthlyFAME!T754)</f>
        <v/>
      </c>
      <c r="T752" s="21">
        <f>IF(MonthlyFAME!U754=0,"",MonthlyFAME!U754)</f>
        <v>105.17095238095239</v>
      </c>
    </row>
    <row r="753" spans="1:20" x14ac:dyDescent="0.2">
      <c r="A753" s="23">
        <f>IF(MonthlyFAME!A755=0,"",MonthlyFAME!A755)</f>
        <v>44712</v>
      </c>
      <c r="B753" s="21">
        <f>IF(MonthlyFAME!B755=0,"",MonthlyFAME!B755)</f>
        <v>102.5</v>
      </c>
      <c r="C753" s="21">
        <f>IF(MonthlyFAME!C755=0,"",MonthlyFAME!C755)</f>
        <v>95.9</v>
      </c>
      <c r="D753" s="21">
        <f>IF(MonthlyFAME!D755=0,"",MonthlyFAME!D755)</f>
        <v>103.6486</v>
      </c>
      <c r="E753" s="21">
        <f>IF(MonthlyFAME!F755=0,"",MonthlyFAME!F755)</f>
        <v>29105</v>
      </c>
      <c r="F753" s="21">
        <f>IF(MonthlyFAME!G755=0,"",MonthlyFAME!G755)</f>
        <v>45604</v>
      </c>
      <c r="G753" s="21">
        <f>IF(MonthlyFAME!H755=0,"",MonthlyFAME!H755)</f>
        <v>3.9053633268340948</v>
      </c>
      <c r="H753" s="21">
        <f>IF(MonthlyFAME!I755=0,"",MonthlyFAME!I755)</f>
        <v>33021</v>
      </c>
      <c r="I753" s="21">
        <f>IF(MonthlyFAME!J755=0,"",MonthlyFAME!J755)</f>
        <v>1046.3</v>
      </c>
      <c r="J753" s="21">
        <f>IF(MonthlyFAME!K755=0,"",MonthlyFAME!K755)</f>
        <v>1304</v>
      </c>
      <c r="K753" s="21">
        <f>IF(MonthlyFAME!L755=0,"",MonthlyFAME!L755)</f>
        <v>606.12660392207295</v>
      </c>
      <c r="L753" s="21">
        <f>IF(MonthlyFAME!M755=0,"",MonthlyFAME!M755)</f>
        <v>1573.2</v>
      </c>
      <c r="M753" s="21" t="str">
        <f>IF(MonthlyFAME!N755=0,"",MonthlyFAME!N755)</f>
        <v/>
      </c>
      <c r="N753" s="21" t="str">
        <f>IF(MonthlyFAME!O755=0,"",MonthlyFAME!O755)</f>
        <v/>
      </c>
      <c r="O753" s="21" t="str">
        <f>IF(MonthlyFAME!P755=0,"",MonthlyFAME!P755)</f>
        <v/>
      </c>
      <c r="P753" s="21" t="str">
        <f>IF(MonthlyFAME!Q755=0,"",MonthlyFAME!Q755)</f>
        <v/>
      </c>
      <c r="Q753" s="21" t="str">
        <f>IF(MonthlyFAME!R755=0,"",MonthlyFAME!R755)</f>
        <v/>
      </c>
      <c r="R753" s="21" t="str">
        <f>IF(MonthlyFAME!S755=0,"",MonthlyFAME!S755)</f>
        <v/>
      </c>
      <c r="S753" s="21" t="str">
        <f>IF(MonthlyFAME!T755=0,"",MonthlyFAME!T755)</f>
        <v/>
      </c>
      <c r="T753" s="21">
        <f>IF(MonthlyFAME!U755=0,"",MonthlyFAME!U755)</f>
        <v>113.11136363636366</v>
      </c>
    </row>
    <row r="754" spans="1:20" x14ac:dyDescent="0.2">
      <c r="A754" s="23">
        <f>IF(MonthlyFAME!A756=0,"",MonthlyFAME!A756)</f>
        <v>44742</v>
      </c>
      <c r="B754" s="21">
        <f>IF(MonthlyFAME!B756=0,"",MonthlyFAME!B756)</f>
        <v>101.4</v>
      </c>
      <c r="C754" s="21">
        <f>IF(MonthlyFAME!C756=0,"",MonthlyFAME!C756)</f>
        <v>95</v>
      </c>
      <c r="D754" s="21">
        <f>IF(MonthlyFAME!D756=0,"",MonthlyFAME!D756)</f>
        <v>102.7171</v>
      </c>
      <c r="E754" s="21">
        <f>IF(MonthlyFAME!F756=0,"",MonthlyFAME!F756)</f>
        <v>26335</v>
      </c>
      <c r="F754" s="21">
        <f>IF(MonthlyFAME!G756=0,"",MonthlyFAME!G756)</f>
        <v>42736</v>
      </c>
      <c r="G754" s="21">
        <f>IF(MonthlyFAME!H756=0,"",MonthlyFAME!H756)</f>
        <v>3.9377422833658806</v>
      </c>
      <c r="H754" s="21">
        <f>IF(MonthlyFAME!I756=0,"",MonthlyFAME!I756)</f>
        <v>32958</v>
      </c>
      <c r="I754" s="21">
        <f>IF(MonthlyFAME!J756=0,"",MonthlyFAME!J756)</f>
        <v>1043.0999999999999</v>
      </c>
      <c r="J754" s="21">
        <f>IF(MonthlyFAME!K756=0,"",MonthlyFAME!K756)</f>
        <v>1299</v>
      </c>
      <c r="K754" s="21">
        <f>IF(MonthlyFAME!L756=0,"",MonthlyFAME!L756)</f>
        <v>613.43571723422997</v>
      </c>
      <c r="L754" s="21">
        <f>IF(MonthlyFAME!M756=0,"",MonthlyFAME!M756)</f>
        <v>1545.1</v>
      </c>
      <c r="M754" s="21" t="str">
        <f>IF(MonthlyFAME!N756=0,"",MonthlyFAME!N756)</f>
        <v/>
      </c>
      <c r="N754" s="21" t="str">
        <f>IF(MonthlyFAME!O756=0,"",MonthlyFAME!O756)</f>
        <v/>
      </c>
      <c r="O754" s="21" t="str">
        <f>IF(MonthlyFAME!P756=0,"",MonthlyFAME!P756)</f>
        <v/>
      </c>
      <c r="P754" s="21" t="str">
        <f>IF(MonthlyFAME!Q756=0,"",MonthlyFAME!Q756)</f>
        <v/>
      </c>
      <c r="Q754" s="21" t="str">
        <f>IF(MonthlyFAME!R756=0,"",MonthlyFAME!R756)</f>
        <v/>
      </c>
      <c r="R754" s="21" t="str">
        <f>IF(MonthlyFAME!S756=0,"",MonthlyFAME!S756)</f>
        <v/>
      </c>
      <c r="S754" s="21" t="str">
        <f>IF(MonthlyFAME!T756=0,"",MonthlyFAME!T756)</f>
        <v/>
      </c>
      <c r="T754" s="21">
        <f>IF(MonthlyFAME!U756=0,"",MonthlyFAME!U756)</f>
        <v>122.69445454545458</v>
      </c>
    </row>
    <row r="755" spans="1:20" x14ac:dyDescent="0.2">
      <c r="A755" s="23">
        <f>IF(MonthlyFAME!A757=0,"",MonthlyFAME!A757)</f>
        <v>44773</v>
      </c>
      <c r="B755" s="21">
        <f>IF(MonthlyFAME!B757=0,"",MonthlyFAME!B757)</f>
        <v>101.9</v>
      </c>
      <c r="C755" s="21">
        <f>IF(MonthlyFAME!C757=0,"",MonthlyFAME!C757)</f>
        <v>94.5</v>
      </c>
      <c r="D755" s="21">
        <f>IF(MonthlyFAME!D757=0,"",MonthlyFAME!D757)</f>
        <v>103.2058</v>
      </c>
      <c r="E755" s="21">
        <f>IF(MonthlyFAME!F757=0,"",MonthlyFAME!F757)</f>
        <v>29709</v>
      </c>
      <c r="F755" s="21">
        <f>IF(MonthlyFAME!G757=0,"",MonthlyFAME!G757)</f>
        <v>42556</v>
      </c>
      <c r="G755" s="21">
        <f>IF(MonthlyFAME!H757=0,"",MonthlyFAME!H757)</f>
        <v>3.7483188117653938</v>
      </c>
      <c r="H755" s="21">
        <f>IF(MonthlyFAME!I757=0,"",MonthlyFAME!I757)</f>
        <v>32920</v>
      </c>
      <c r="I755" s="21">
        <f>IF(MonthlyFAME!J757=0,"",MonthlyFAME!J757)</f>
        <v>1041.3</v>
      </c>
      <c r="J755" s="21">
        <f>IF(MonthlyFAME!K757=0,"",MonthlyFAME!K757)</f>
        <v>1280</v>
      </c>
      <c r="K755" s="21">
        <f>IF(MonthlyFAME!L757=0,"",MonthlyFAME!L757)</f>
        <v>614.31973348211204</v>
      </c>
      <c r="L755" s="21">
        <f>IF(MonthlyFAME!M757=0,"",MonthlyFAME!M757)</f>
        <v>1524.2</v>
      </c>
      <c r="M755" s="21" t="str">
        <f>IF(MonthlyFAME!N757=0,"",MonthlyFAME!N757)</f>
        <v/>
      </c>
      <c r="N755" s="21" t="str">
        <f>IF(MonthlyFAME!O757=0,"",MonthlyFAME!O757)</f>
        <v/>
      </c>
      <c r="O755" s="21" t="str">
        <f>IF(MonthlyFAME!P757=0,"",MonthlyFAME!P757)</f>
        <v/>
      </c>
      <c r="P755" s="21" t="str">
        <f>IF(MonthlyFAME!Q757=0,"",MonthlyFAME!Q757)</f>
        <v/>
      </c>
      <c r="Q755" s="21" t="str">
        <f>IF(MonthlyFAME!R757=0,"",MonthlyFAME!R757)</f>
        <v/>
      </c>
      <c r="R755" s="21" t="str">
        <f>IF(MonthlyFAME!S757=0,"",MonthlyFAME!S757)</f>
        <v/>
      </c>
      <c r="S755" s="21" t="str">
        <f>IF(MonthlyFAME!T757=0,"",MonthlyFAME!T757)</f>
        <v/>
      </c>
      <c r="T755" s="21">
        <f>IF(MonthlyFAME!U757=0,"",MonthlyFAME!U757)</f>
        <v>111.92571428571429</v>
      </c>
    </row>
    <row r="756" spans="1:20" x14ac:dyDescent="0.2">
      <c r="A756" s="23">
        <f>IF(MonthlyFAME!A758=0,"",MonthlyFAME!A758)</f>
        <v>44804</v>
      </c>
      <c r="B756" s="21">
        <f>IF(MonthlyFAME!B758=0,"",MonthlyFAME!B758)</f>
        <v>102</v>
      </c>
      <c r="C756" s="21">
        <f>IF(MonthlyFAME!C758=0,"",MonthlyFAME!C758)</f>
        <v>94</v>
      </c>
      <c r="D756" s="21">
        <f>IF(MonthlyFAME!D758=0,"",MonthlyFAME!D758)</f>
        <v>103.4152</v>
      </c>
      <c r="E756" s="21">
        <f>IF(MonthlyFAME!F758=0,"",MonthlyFAME!F758)</f>
        <v>34183</v>
      </c>
      <c r="F756" s="21">
        <f>IF(MonthlyFAME!G758=0,"",MonthlyFAME!G758)</f>
        <v>43184</v>
      </c>
      <c r="G756" s="21">
        <f>IF(MonthlyFAME!H758=0,"",MonthlyFAME!H758)</f>
        <v>3.645940014630578</v>
      </c>
      <c r="H756" s="21">
        <f>IF(MonthlyFAME!I758=0,"",MonthlyFAME!I758)</f>
        <v>32929</v>
      </c>
      <c r="I756" s="21">
        <f>IF(MonthlyFAME!J758=0,"",MonthlyFAME!J758)</f>
        <v>1046.0999999999999</v>
      </c>
      <c r="J756" s="21">
        <f>IF(MonthlyFAME!K758=0,"",MonthlyFAME!K758)</f>
        <v>1259</v>
      </c>
      <c r="K756" s="21">
        <f>IF(MonthlyFAME!L758=0,"",MonthlyFAME!L758)</f>
        <v>619.37552987088702</v>
      </c>
      <c r="L756" s="21">
        <f>IF(MonthlyFAME!M758=0,"",MonthlyFAME!M758)</f>
        <v>1525</v>
      </c>
      <c r="M756" s="21" t="str">
        <f>IF(MonthlyFAME!N758=0,"",MonthlyFAME!N758)</f>
        <v/>
      </c>
      <c r="N756" s="21" t="str">
        <f>IF(MonthlyFAME!O758=0,"",MonthlyFAME!O758)</f>
        <v/>
      </c>
      <c r="O756" s="21" t="str">
        <f>IF(MonthlyFAME!P758=0,"",MonthlyFAME!P758)</f>
        <v/>
      </c>
      <c r="P756" s="21" t="str">
        <f>IF(MonthlyFAME!Q758=0,"",MonthlyFAME!Q758)</f>
        <v/>
      </c>
      <c r="Q756" s="21" t="str">
        <f>IF(MonthlyFAME!R758=0,"",MonthlyFAME!R758)</f>
        <v/>
      </c>
      <c r="R756" s="21" t="str">
        <f>IF(MonthlyFAME!S758=0,"",MonthlyFAME!S758)</f>
        <v/>
      </c>
      <c r="S756" s="21" t="str">
        <f>IF(MonthlyFAME!T758=0,"",MonthlyFAME!T758)</f>
        <v/>
      </c>
      <c r="T756" s="21">
        <f>IF(MonthlyFAME!U758=0,"",MonthlyFAME!U758)</f>
        <v>100.47608695652175</v>
      </c>
    </row>
    <row r="757" spans="1:20" x14ac:dyDescent="0.2">
      <c r="A757" s="23">
        <f>IF(MonthlyFAME!A759=0,"",MonthlyFAME!A759)</f>
        <v>44834</v>
      </c>
      <c r="B757" s="21">
        <f>IF(MonthlyFAME!B759=0,"",MonthlyFAME!B759)</f>
        <v>101.5</v>
      </c>
      <c r="C757" s="21">
        <f>IF(MonthlyFAME!C759=0,"",MonthlyFAME!C759)</f>
        <v>93.8</v>
      </c>
      <c r="D757" s="21">
        <f>IF(MonthlyFAME!D759=0,"",MonthlyFAME!D759)</f>
        <v>102.8416</v>
      </c>
      <c r="E757" s="21">
        <f>IF(MonthlyFAME!F759=0,"",MonthlyFAME!F759)</f>
        <v>34019</v>
      </c>
      <c r="F757" s="21">
        <f>IF(MonthlyFAME!G759=0,"",MonthlyFAME!G759)</f>
        <v>40114</v>
      </c>
      <c r="G757" s="21">
        <f>IF(MonthlyFAME!H759=0,"",MonthlyFAME!H759)</f>
        <v>3.7515716833825552</v>
      </c>
      <c r="H757" s="21">
        <f>IF(MonthlyFAME!I759=0,"",MonthlyFAME!I759)</f>
        <v>32916</v>
      </c>
      <c r="I757" s="21">
        <f>IF(MonthlyFAME!J759=0,"",MonthlyFAME!J759)</f>
        <v>1043.7</v>
      </c>
      <c r="J757" s="21">
        <f>IF(MonthlyFAME!K759=0,"",MonthlyFAME!K759)</f>
        <v>1233</v>
      </c>
      <c r="K757" s="21">
        <f>IF(MonthlyFAME!L759=0,"",MonthlyFAME!L759)</f>
        <v>620.86543696433705</v>
      </c>
      <c r="L757" s="21">
        <f>IF(MonthlyFAME!M759=0,"",MonthlyFAME!M759)</f>
        <v>1529.7</v>
      </c>
      <c r="M757" s="21" t="str">
        <f>IF(MonthlyFAME!N759=0,"",MonthlyFAME!N759)</f>
        <v/>
      </c>
      <c r="N757" s="21" t="str">
        <f>IF(MonthlyFAME!O759=0,"",MonthlyFAME!O759)</f>
        <v/>
      </c>
      <c r="O757" s="21" t="str">
        <f>IF(MonthlyFAME!P759=0,"",MonthlyFAME!P759)</f>
        <v/>
      </c>
      <c r="P757" s="21" t="str">
        <f>IF(MonthlyFAME!Q759=0,"",MonthlyFAME!Q759)</f>
        <v/>
      </c>
      <c r="Q757" s="21" t="str">
        <f>IF(MonthlyFAME!R759=0,"",MonthlyFAME!R759)</f>
        <v/>
      </c>
      <c r="R757" s="21" t="str">
        <f>IF(MonthlyFAME!S759=0,"",MonthlyFAME!S759)</f>
        <v/>
      </c>
      <c r="S757" s="21" t="str">
        <f>IF(MonthlyFAME!T759=0,"",MonthlyFAME!T759)</f>
        <v/>
      </c>
      <c r="T757" s="21">
        <f>IF(MonthlyFAME!U759=0,"",MonthlyFAME!U759)</f>
        <v>89.749545454545455</v>
      </c>
    </row>
    <row r="758" spans="1:20" x14ac:dyDescent="0.2">
      <c r="A758" s="23">
        <f>IF(MonthlyFAME!A760=0,"",MonthlyFAME!A760)</f>
        <v>44865</v>
      </c>
      <c r="B758" s="21">
        <f>IF(MonthlyFAME!B760=0,"",MonthlyFAME!B760)</f>
        <v>102.3</v>
      </c>
      <c r="C758" s="21">
        <f>IF(MonthlyFAME!C760=0,"",MonthlyFAME!C760)</f>
        <v>94.2</v>
      </c>
      <c r="D758" s="21">
        <f>IF(MonthlyFAME!D760=0,"",MonthlyFAME!D760)</f>
        <v>103.723</v>
      </c>
      <c r="E758" s="21">
        <f>IF(MonthlyFAME!F760=0,"",MonthlyFAME!F760)</f>
        <v>33624</v>
      </c>
      <c r="F758" s="21">
        <f>IF(MonthlyFAME!G760=0,"",MonthlyFAME!G760)</f>
        <v>39923</v>
      </c>
      <c r="G758" s="21">
        <f>IF(MonthlyFAME!H760=0,"",MonthlyFAME!H760)</f>
        <v>3.8572637353018413</v>
      </c>
      <c r="H758" s="21">
        <f>IF(MonthlyFAME!I760=0,"",MonthlyFAME!I760)</f>
        <v>32951</v>
      </c>
      <c r="I758" s="21">
        <f>IF(MonthlyFAME!J760=0,"",MonthlyFAME!J760)</f>
        <v>1042.0999999999999</v>
      </c>
      <c r="J758" s="21">
        <f>IF(MonthlyFAME!K760=0,"",MonthlyFAME!K760)</f>
        <v>1216</v>
      </c>
      <c r="K758" s="21"/>
      <c r="L758" s="21">
        <f>IF(MonthlyFAME!M760=0,"",MonthlyFAME!M760)</f>
        <v>1517.9</v>
      </c>
      <c r="M758" s="21" t="str">
        <f>IF(MonthlyFAME!N760=0,"",MonthlyFAME!N760)</f>
        <v/>
      </c>
      <c r="N758" s="21" t="str">
        <f>IF(MonthlyFAME!O760=0,"",MonthlyFAME!O760)</f>
        <v/>
      </c>
      <c r="O758" s="21" t="str">
        <f>IF(MonthlyFAME!P760=0,"",MonthlyFAME!P760)</f>
        <v/>
      </c>
      <c r="P758" s="21" t="str">
        <f>IF(MonthlyFAME!Q760=0,"",MonthlyFAME!Q760)</f>
        <v/>
      </c>
      <c r="Q758" s="21" t="str">
        <f>IF(MonthlyFAME!R760=0,"",MonthlyFAME!R760)</f>
        <v/>
      </c>
      <c r="R758" s="21" t="str">
        <f>IF(MonthlyFAME!S760=0,"",MonthlyFAME!S760)</f>
        <v/>
      </c>
      <c r="S758" s="21" t="str">
        <f>IF(MonthlyFAME!T760=0,"",MonthlyFAME!T760)</f>
        <v/>
      </c>
      <c r="T758" s="21">
        <f>IF(MonthlyFAME!U760=0,"",MonthlyFAME!U760)</f>
        <v>93.395714285714291</v>
      </c>
    </row>
    <row r="759" spans="1:20" x14ac:dyDescent="0.2">
      <c r="A759" s="23">
        <f>IF(MonthlyFAME!A761=0,"",MonthlyFAME!A761)</f>
        <v>44895</v>
      </c>
      <c r="B759" s="21">
        <f>IF(MonthlyFAME!B761=0,"",MonthlyFAME!B761)</f>
        <v>102.3</v>
      </c>
      <c r="C759" s="21">
        <f>IF(MonthlyFAME!C761=0,"",MonthlyFAME!C761)</f>
        <v>94</v>
      </c>
      <c r="D759" s="21">
        <f>IF(MonthlyFAME!D761=0,"",MonthlyFAME!D761)</f>
        <v>103.7449</v>
      </c>
      <c r="E759" s="21">
        <f>IF(MonthlyFAME!F761=0,"",MonthlyFAME!F761)</f>
        <v>33445</v>
      </c>
      <c r="F759" s="21">
        <f>IF(MonthlyFAME!G761=0,"",MonthlyFAME!G761)</f>
        <v>42508</v>
      </c>
      <c r="G759" s="21">
        <f>IF(MonthlyFAME!H761=0,"",MonthlyFAME!H761)</f>
        <v>3.8040949278734293</v>
      </c>
      <c r="H759" s="21">
        <f>IF(MonthlyFAME!I761=0,"",MonthlyFAME!I761)</f>
        <v>33076</v>
      </c>
      <c r="I759" s="21">
        <f>IF(MonthlyFAME!J761=0,"",MonthlyFAME!J761)</f>
        <v>1044</v>
      </c>
      <c r="J759" s="21">
        <f>IF(MonthlyFAME!K761=0,"",MonthlyFAME!K761)</f>
        <v>1175</v>
      </c>
      <c r="K759" s="21"/>
      <c r="L759" s="21">
        <f>IF(MonthlyFAME!M761=0,"",MonthlyFAME!M761)</f>
        <v>1528.9</v>
      </c>
      <c r="M759" s="21" t="str">
        <f>IF(MonthlyFAME!N761=0,"",MonthlyFAME!N761)</f>
        <v/>
      </c>
      <c r="N759" s="21" t="str">
        <f>IF(MonthlyFAME!O761=0,"",MonthlyFAME!O761)</f>
        <v/>
      </c>
      <c r="O759" s="21" t="str">
        <f>IF(MonthlyFAME!P761=0,"",MonthlyFAME!P761)</f>
        <v/>
      </c>
      <c r="P759" s="21" t="str">
        <f>IF(MonthlyFAME!Q761=0,"",MonthlyFAME!Q761)</f>
        <v/>
      </c>
      <c r="Q759" s="21" t="str">
        <f>IF(MonthlyFAME!R761=0,"",MonthlyFAME!R761)</f>
        <v/>
      </c>
      <c r="R759" s="21" t="str">
        <f>IF(MonthlyFAME!S761=0,"",MonthlyFAME!S761)</f>
        <v/>
      </c>
      <c r="S759" s="21" t="str">
        <f>IF(MonthlyFAME!T761=0,"",MonthlyFAME!T761)</f>
        <v/>
      </c>
      <c r="T759" s="21">
        <f>IF(MonthlyFAME!U761=0,"",MonthlyFAME!U761)</f>
        <v>91.415454545454551</v>
      </c>
    </row>
    <row r="760" spans="1:20" x14ac:dyDescent="0.2">
      <c r="A760" s="23">
        <f>IF(MonthlyFAME!A762=0,"",MonthlyFAME!A762)</f>
        <v>44926</v>
      </c>
      <c r="B760" s="21">
        <f>IF(MonthlyFAME!B762=0,"",MonthlyFAME!B762)</f>
        <v>102</v>
      </c>
      <c r="C760" s="21">
        <f>IF(MonthlyFAME!C762=0,"",MonthlyFAME!C762)</f>
        <v>94.1</v>
      </c>
      <c r="D760" s="21">
        <f>IF(MonthlyFAME!D762=0,"",MonthlyFAME!D762)</f>
        <v>103.1301</v>
      </c>
      <c r="E760" s="21">
        <f>IF(MonthlyFAME!F762=0,"",MonthlyFAME!F762)</f>
        <v>31396</v>
      </c>
      <c r="F760" s="21">
        <f>IF(MonthlyFAME!G762=0,"",MonthlyFAME!G762)</f>
        <v>43734</v>
      </c>
      <c r="G760" s="21">
        <f>IF(MonthlyFAME!H762=0,"",MonthlyFAME!H762)</f>
        <v>3.875</v>
      </c>
      <c r="H760" s="21">
        <f>IF(MonthlyFAME!I762=0,"",MonthlyFAME!I762)</f>
        <v>33067</v>
      </c>
      <c r="I760" s="21">
        <f>IF(MonthlyFAME!J762=0,"",MonthlyFAME!J762)</f>
        <v>1046.5999999999999</v>
      </c>
      <c r="J760" s="21">
        <f>IF(MonthlyFAME!K762=0,"",MonthlyFAME!K762)</f>
        <v>1153</v>
      </c>
      <c r="K760" s="21"/>
      <c r="L760" s="21">
        <f>IF(MonthlyFAME!M762=0,"",MonthlyFAME!M762)</f>
        <v>1536.4</v>
      </c>
      <c r="M760" s="21" t="str">
        <f>IF(MonthlyFAME!N762=0,"",MonthlyFAME!N762)</f>
        <v/>
      </c>
      <c r="N760" s="21" t="str">
        <f>IF(MonthlyFAME!O762=0,"",MonthlyFAME!O762)</f>
        <v/>
      </c>
      <c r="O760" s="21" t="str">
        <f>IF(MonthlyFAME!P762=0,"",MonthlyFAME!P762)</f>
        <v/>
      </c>
      <c r="P760" s="21" t="str">
        <f>IF(MonthlyFAME!Q762=0,"",MonthlyFAME!Q762)</f>
        <v/>
      </c>
      <c r="Q760" s="21" t="str">
        <f>IF(MonthlyFAME!R762=0,"",MonthlyFAME!R762)</f>
        <v/>
      </c>
      <c r="R760" s="21" t="str">
        <f>IF(MonthlyFAME!S762=0,"",MonthlyFAME!S762)</f>
        <v/>
      </c>
      <c r="S760" s="21" t="str">
        <f>IF(MonthlyFAME!T762=0,"",MonthlyFAME!T762)</f>
        <v/>
      </c>
      <c r="T760" s="21">
        <f>IF(MonthlyFAME!U762=0,"",MonthlyFAME!U762)</f>
        <v>81.062727272727287</v>
      </c>
    </row>
    <row r="761" spans="1:20" x14ac:dyDescent="0.2">
      <c r="A761" s="23">
        <f>IF(MonthlyFAME!A763=0,"",MonthlyFAME!A763)</f>
        <v>44957</v>
      </c>
      <c r="B761" s="21">
        <f>IF(MonthlyFAME!B763=0,"",MonthlyFAME!B763)</f>
        <v>102.3</v>
      </c>
      <c r="C761" s="21">
        <f>IF(MonthlyFAME!C763=0,"",MonthlyFAME!C763)</f>
        <v>94</v>
      </c>
      <c r="D761" s="21">
        <f>IF(MonthlyFAME!D763=0,"",MonthlyFAME!D763)</f>
        <v>103.8888</v>
      </c>
      <c r="E761" s="21">
        <f>IF(MonthlyFAME!F763=0,"",MonthlyFAME!F763)</f>
        <v>28556</v>
      </c>
      <c r="F761" s="21">
        <f>IF(MonthlyFAME!G763=0,"",MonthlyFAME!G763)</f>
        <v>40141</v>
      </c>
      <c r="G761" s="21">
        <f>IF(MonthlyFAME!H763=0,"",MonthlyFAME!H763)</f>
        <v>3.8183244704036263</v>
      </c>
      <c r="H761" s="21">
        <f>IF(MonthlyFAME!I763=0,"",MonthlyFAME!I763)</f>
        <v>33099</v>
      </c>
      <c r="I761" s="21">
        <f>IF(MonthlyFAME!J763=0,"",MonthlyFAME!J763)</f>
        <v>1051.4000000000001</v>
      </c>
      <c r="J761" s="21">
        <f>IF(MonthlyFAME!K763=0,"",MonthlyFAME!K763)</f>
        <v>1132</v>
      </c>
      <c r="K761" s="21"/>
      <c r="L761" s="21">
        <f>IF(MonthlyFAME!M763=0,"",MonthlyFAME!M763)</f>
        <v>1516.6</v>
      </c>
      <c r="M761" s="21" t="str">
        <f>IF(MonthlyFAME!N763=0,"",MonthlyFAME!N763)</f>
        <v/>
      </c>
      <c r="N761" s="21" t="str">
        <f>IF(MonthlyFAME!O763=0,"",MonthlyFAME!O763)</f>
        <v/>
      </c>
      <c r="O761" s="21" t="str">
        <f>IF(MonthlyFAME!P763=0,"",MonthlyFAME!P763)</f>
        <v/>
      </c>
      <c r="P761" s="21" t="str">
        <f>IF(MonthlyFAME!Q763=0,"",MonthlyFAME!Q763)</f>
        <v/>
      </c>
      <c r="Q761" s="21" t="str">
        <f>IF(MonthlyFAME!R763=0,"",MonthlyFAME!R763)</f>
        <v/>
      </c>
      <c r="R761" s="21" t="str">
        <f>IF(MonthlyFAME!S763=0,"",MonthlyFAME!S763)</f>
        <v/>
      </c>
      <c r="S761" s="21" t="str">
        <f>IF(MonthlyFAME!T763=0,"",MonthlyFAME!T763)</f>
        <v/>
      </c>
      <c r="T761" s="21">
        <f>IF(MonthlyFAME!U763=0,"",MonthlyFAME!U763)</f>
        <v>82.502727272727256</v>
      </c>
    </row>
    <row r="762" spans="1:20" x14ac:dyDescent="0.2">
      <c r="A762" s="23">
        <f>IF(MonthlyFAME!A764=0,"",MonthlyFAME!A764)</f>
        <v>44985</v>
      </c>
      <c r="B762" s="21">
        <f>IF(MonthlyFAME!B764=0,"",MonthlyFAME!B764)</f>
        <v>102.6</v>
      </c>
      <c r="C762" s="21">
        <f>IF(MonthlyFAME!C764=0,"",MonthlyFAME!C764)</f>
        <v>94.1</v>
      </c>
      <c r="D762" s="21">
        <f>IF(MonthlyFAME!D764=0,"",MonthlyFAME!D764)</f>
        <v>103.9971</v>
      </c>
      <c r="E762" s="21">
        <f>IF(MonthlyFAME!F764=0,"",MonthlyFAME!F764)</f>
        <v>27953</v>
      </c>
      <c r="F762" s="21">
        <f>IF(MonthlyFAME!G764=0,"",MonthlyFAME!G764)</f>
        <v>39828</v>
      </c>
      <c r="G762" s="21">
        <f>IF(MonthlyFAME!H764=0,"",MonthlyFAME!H764)</f>
        <v>3.8989629801286134</v>
      </c>
      <c r="H762" s="21">
        <f>IF(MonthlyFAME!I764=0,"",MonthlyFAME!I764)</f>
        <v>33176</v>
      </c>
      <c r="I762" s="21">
        <f>IF(MonthlyFAME!J764=0,"",MonthlyFAME!J764)</f>
        <v>1055.5</v>
      </c>
      <c r="J762" s="21">
        <f>IF(MonthlyFAME!K764=0,"",MonthlyFAME!K764)</f>
        <v>1128</v>
      </c>
      <c r="K762" s="21"/>
      <c r="L762" s="21">
        <f>IF(MonthlyFAME!M764=0,"",MonthlyFAME!M764)</f>
        <v>1501.3</v>
      </c>
      <c r="M762" s="21" t="str">
        <f>IF(MonthlyFAME!N764=0,"",MonthlyFAME!N764)</f>
        <v/>
      </c>
      <c r="N762" s="21" t="str">
        <f>IF(MonthlyFAME!O764=0,"",MonthlyFAME!O764)</f>
        <v/>
      </c>
      <c r="O762" s="21" t="str">
        <f>IF(MonthlyFAME!P764=0,"",MonthlyFAME!P764)</f>
        <v/>
      </c>
      <c r="P762" s="21" t="str">
        <f>IF(MonthlyFAME!Q764=0,"",MonthlyFAME!Q764)</f>
        <v/>
      </c>
      <c r="Q762" s="21" t="str">
        <f>IF(MonthlyFAME!R764=0,"",MonthlyFAME!R764)</f>
        <v/>
      </c>
      <c r="R762" s="21" t="str">
        <f>IF(MonthlyFAME!S764=0,"",MonthlyFAME!S764)</f>
        <v/>
      </c>
      <c r="S762" s="21" t="str">
        <f>IF(MonthlyFAME!T764=0,"",MonthlyFAME!T764)</f>
        <v/>
      </c>
      <c r="T762" s="21">
        <f>IF(MonthlyFAME!U764=0,"",MonthlyFAME!U764)</f>
        <v>82.665999999999997</v>
      </c>
    </row>
    <row r="763" spans="1:20" x14ac:dyDescent="0.2">
      <c r="A763" s="23">
        <f>IF(MonthlyFAME!A765=0,"",MonthlyFAME!A765)</f>
        <v>45016</v>
      </c>
      <c r="B763" s="21">
        <f>IF(MonthlyFAME!B765=0,"",MonthlyFAME!B765)</f>
        <v>102.2</v>
      </c>
      <c r="C763" s="21">
        <f>IF(MonthlyFAME!C765=0,"",MonthlyFAME!C765)</f>
        <v>94.7</v>
      </c>
      <c r="D763" s="21">
        <f>IF(MonthlyFAME!D765=0,"",MonthlyFAME!D765)</f>
        <v>103.4819</v>
      </c>
      <c r="E763" s="21">
        <f>IF(MonthlyFAME!F765=0,"",MonthlyFAME!F765)</f>
        <v>27702</v>
      </c>
      <c r="F763" s="21">
        <f>IF(MonthlyFAME!G765=0,"",MonthlyFAME!G765)</f>
        <v>40261</v>
      </c>
      <c r="G763" s="21">
        <f>IF(MonthlyFAME!H765=0,"",MonthlyFAME!H765)</f>
        <v>3.9989590562109645</v>
      </c>
      <c r="H763" s="21">
        <f>IF(MonthlyFAME!I765=0,"",MonthlyFAME!I765)</f>
        <v>33201</v>
      </c>
      <c r="I763" s="21">
        <f>IF(MonthlyFAME!J765=0,"",MonthlyFAME!J765)</f>
        <v>1055.3</v>
      </c>
      <c r="J763" s="21">
        <f>IF(MonthlyFAME!K765=0,"",MonthlyFAME!K765)</f>
        <v>1120</v>
      </c>
      <c r="K763" s="21"/>
      <c r="L763" s="21">
        <f>IF(MonthlyFAME!M765=0,"",MonthlyFAME!M765)</f>
        <v>1513.4</v>
      </c>
      <c r="M763" s="21" t="str">
        <f>IF(MonthlyFAME!N765=0,"",MonthlyFAME!N765)</f>
        <v/>
      </c>
      <c r="N763" s="21" t="str">
        <f>IF(MonthlyFAME!O765=0,"",MonthlyFAME!O765)</f>
        <v/>
      </c>
      <c r="O763" s="21" t="str">
        <f>IF(MonthlyFAME!P765=0,"",MonthlyFAME!P765)</f>
        <v/>
      </c>
      <c r="P763" s="21" t="str">
        <f>IF(MonthlyFAME!Q765=0,"",MonthlyFAME!Q765)</f>
        <v/>
      </c>
      <c r="Q763" s="21" t="str">
        <f>IF(MonthlyFAME!R765=0,"",MonthlyFAME!R765)</f>
        <v/>
      </c>
      <c r="R763" s="21" t="str">
        <f>IF(MonthlyFAME!S765=0,"",MonthlyFAME!S765)</f>
        <v/>
      </c>
      <c r="S763" s="21" t="str">
        <f>IF(MonthlyFAME!T765=0,"",MonthlyFAME!T765)</f>
        <v/>
      </c>
      <c r="T763" s="21">
        <f>IF(MonthlyFAME!U765=0,"",MonthlyFAME!U765)</f>
        <v>78.434347826086949</v>
      </c>
    </row>
    <row r="764" spans="1:20" x14ac:dyDescent="0.2">
      <c r="A764" s="23">
        <f>IF(MonthlyFAME!A766=0,"",MonthlyFAME!A766)</f>
        <v>45046</v>
      </c>
      <c r="B764" s="21">
        <f>IF(MonthlyFAME!B766=0,"",MonthlyFAME!B766)</f>
        <v>102.4</v>
      </c>
      <c r="C764" s="21">
        <f>IF(MonthlyFAME!C766=0,"",MonthlyFAME!C766)</f>
        <v>94.8</v>
      </c>
      <c r="D764" s="21">
        <f>IF(MonthlyFAME!D766=0,"",MonthlyFAME!D766)</f>
        <v>103.6422</v>
      </c>
      <c r="E764" s="21">
        <f>IF(MonthlyFAME!F766=0,"",MonthlyFAME!F766)</f>
        <v>28212</v>
      </c>
      <c r="F764" s="21"/>
      <c r="G764" s="21">
        <f>IF(MonthlyFAME!H766=0,"",MonthlyFAME!H766)</f>
        <v>3.9014965829464519</v>
      </c>
      <c r="H764" s="21">
        <f>IF(MonthlyFAME!I766=0,"",MonthlyFAME!I766)</f>
        <v>33326</v>
      </c>
      <c r="I764" s="21">
        <f>IF(MonthlyFAME!J766=0,"",MonthlyFAME!J766)</f>
        <v>1063</v>
      </c>
      <c r="J764" s="21">
        <f>IF(MonthlyFAME!K766=0,"",MonthlyFAME!K766)</f>
        <v>1086</v>
      </c>
      <c r="K764" s="21"/>
      <c r="L764" s="21">
        <f>IF(MonthlyFAME!M766=0,"",MonthlyFAME!M766)</f>
        <v>1549.5</v>
      </c>
      <c r="M764" s="21" t="str">
        <f>IF(MonthlyFAME!N766=0,"",MonthlyFAME!N766)</f>
        <v/>
      </c>
      <c r="N764" s="21" t="str">
        <f>IF(MonthlyFAME!O766=0,"",MonthlyFAME!O766)</f>
        <v/>
      </c>
      <c r="O764" s="21" t="str">
        <f>IF(MonthlyFAME!P766=0,"",MonthlyFAME!P766)</f>
        <v/>
      </c>
      <c r="P764" s="21" t="str">
        <f>IF(MonthlyFAME!Q766=0,"",MonthlyFAME!Q766)</f>
        <v/>
      </c>
      <c r="Q764" s="21" t="str">
        <f>IF(MonthlyFAME!R766=0,"",MonthlyFAME!R766)</f>
        <v/>
      </c>
      <c r="R764" s="21" t="str">
        <f>IF(MonthlyFAME!S766=0,"",MonthlyFAME!S766)</f>
        <v/>
      </c>
      <c r="S764" s="21" t="str">
        <f>IF(MonthlyFAME!T766=0,"",MonthlyFAME!T766)</f>
        <v/>
      </c>
      <c r="T764" s="21">
        <f>IF(MonthlyFAME!U766=0,"",MonthlyFAME!U766)</f>
        <v>84.830499999999958</v>
      </c>
    </row>
    <row r="765" spans="1:20" x14ac:dyDescent="0.2">
      <c r="A765" s="23">
        <f>IF(MonthlyFAME!A767=0,"",MonthlyFAME!A767)</f>
        <v>45077</v>
      </c>
      <c r="B765" s="21">
        <f>IF(MonthlyFAME!B767=0,"",MonthlyFAME!B767)</f>
        <v>102</v>
      </c>
      <c r="C765" s="21">
        <f>IF(MonthlyFAME!C767=0,"",MonthlyFAME!C767)</f>
        <v>93.9</v>
      </c>
      <c r="D765" s="21">
        <f>IF(MonthlyFAME!D767=0,"",MonthlyFAME!D767)</f>
        <v>103.4877</v>
      </c>
      <c r="E765" s="21">
        <f>IF(MonthlyFAME!F767=0,"",MonthlyFAME!F767)</f>
        <v>27374</v>
      </c>
      <c r="F765" s="21"/>
      <c r="G765" s="21">
        <f>IF(MonthlyFAME!H767=0,"",MonthlyFAME!H767)</f>
        <v>4.0194779000749152</v>
      </c>
      <c r="H765" s="21">
        <f>IF(MonthlyFAME!I767=0,"",MonthlyFAME!I767)</f>
        <v>33311</v>
      </c>
      <c r="I765" s="21">
        <f>IF(MonthlyFAME!J767=0,"",MonthlyFAME!J767)</f>
        <v>1057.5999999999999</v>
      </c>
      <c r="J765" s="21">
        <f>IF(MonthlyFAME!K767=0,"",MonthlyFAME!K767)</f>
        <v>1060</v>
      </c>
      <c r="K765" s="21"/>
      <c r="L765" s="21">
        <f>IF(MonthlyFAME!M767=0,"",MonthlyFAME!M767)</f>
        <v>1522.2</v>
      </c>
      <c r="M765" s="21" t="str">
        <f>IF(MonthlyFAME!N767=0,"",MonthlyFAME!N767)</f>
        <v/>
      </c>
      <c r="N765" s="21" t="str">
        <f>IF(MonthlyFAME!O767=0,"",MonthlyFAME!O767)</f>
        <v/>
      </c>
      <c r="O765" s="21" t="str">
        <f>IF(MonthlyFAME!P767=0,"",MonthlyFAME!P767)</f>
        <v/>
      </c>
      <c r="P765" s="21" t="str">
        <f>IF(MonthlyFAME!Q767=0,"",MonthlyFAME!Q767)</f>
        <v/>
      </c>
      <c r="Q765" s="21" t="str">
        <f>IF(MonthlyFAME!R767=0,"",MonthlyFAME!R767)</f>
        <v/>
      </c>
      <c r="R765" s="21" t="str">
        <f>IF(MonthlyFAME!S767=0,"",MonthlyFAME!S767)</f>
        <v/>
      </c>
      <c r="S765" s="21" t="str">
        <f>IF(MonthlyFAME!T767=0,"",MonthlyFAME!T767)</f>
        <v/>
      </c>
      <c r="T765" s="21">
        <f>IF(MonthlyFAME!U767=0,"",MonthlyFAME!U767)</f>
        <v>75.861304347826078</v>
      </c>
    </row>
    <row r="766" spans="1:20" x14ac:dyDescent="0.2">
      <c r="A766" s="23">
        <f>IF(MonthlyFAME!A768=0,"",MonthlyFAME!A768)</f>
        <v>45107</v>
      </c>
      <c r="B766" s="21">
        <f>IF(MonthlyFAME!B768=0,"",MonthlyFAME!B768)</f>
        <v>102.8</v>
      </c>
      <c r="C766" s="21">
        <f>IF(MonthlyFAME!C768=0,"",MonthlyFAME!C768)</f>
        <v>96.4</v>
      </c>
      <c r="D766" s="21">
        <f>IF(MonthlyFAME!D768=0,"",MonthlyFAME!D768)</f>
        <v>103.8202</v>
      </c>
      <c r="E766" s="21">
        <f>IF(MonthlyFAME!F768=0,"",MonthlyFAME!F768)</f>
        <v>28123</v>
      </c>
      <c r="F766" s="21"/>
      <c r="G766" s="21">
        <f>IF(MonthlyFAME!H768=0,"",MonthlyFAME!H768)</f>
        <v>4.2168500707622103</v>
      </c>
      <c r="H766" s="21">
        <f>IF(MonthlyFAME!I768=0,"",MonthlyFAME!I768)</f>
        <v>33163</v>
      </c>
      <c r="I766" s="21">
        <f>IF(MonthlyFAME!J768=0,"",MonthlyFAME!J768)</f>
        <v>1049</v>
      </c>
      <c r="J766" s="21">
        <f>IF(MonthlyFAME!K768=0,"",MonthlyFAME!K768)</f>
        <v>1037</v>
      </c>
      <c r="K766" s="21"/>
      <c r="L766" s="21">
        <f>IF(MonthlyFAME!M768=0,"",MonthlyFAME!M768)</f>
        <v>1534.6</v>
      </c>
      <c r="M766" s="21" t="str">
        <f>IF(MonthlyFAME!N768=0,"",MonthlyFAME!N768)</f>
        <v/>
      </c>
      <c r="N766" s="21" t="str">
        <f>IF(MonthlyFAME!O768=0,"",MonthlyFAME!O768)</f>
        <v/>
      </c>
      <c r="O766" s="21" t="str">
        <f>IF(MonthlyFAME!P768=0,"",MonthlyFAME!P768)</f>
        <v/>
      </c>
      <c r="P766" s="21" t="str">
        <f>IF(MonthlyFAME!Q768=0,"",MonthlyFAME!Q768)</f>
        <v/>
      </c>
      <c r="Q766" s="21" t="str">
        <f>IF(MonthlyFAME!R768=0,"",MonthlyFAME!R768)</f>
        <v/>
      </c>
      <c r="R766" s="21" t="str">
        <f>IF(MonthlyFAME!S768=0,"",MonthlyFAME!S768)</f>
        <v/>
      </c>
      <c r="S766" s="21" t="str">
        <f>IF(MonthlyFAME!T768=0,"",MonthlyFAME!T768)</f>
        <v/>
      </c>
      <c r="T766" s="21">
        <f>IF(MonthlyFAME!U768=0,"",MonthlyFAME!U768)</f>
        <v>75.140227272727287</v>
      </c>
    </row>
    <row r="767" spans="1:20" x14ac:dyDescent="0.2">
      <c r="A767" s="23">
        <f>IF(MonthlyFAME!A769=0,"",MonthlyFAME!A769)</f>
        <v>45138</v>
      </c>
      <c r="B767" s="21">
        <f>IF(MonthlyFAME!B769=0,"",MonthlyFAME!B769)</f>
        <v>102.3</v>
      </c>
      <c r="C767" s="21">
        <f>IF(MonthlyFAME!C769=0,"",MonthlyFAME!C769)</f>
        <v>95.4</v>
      </c>
      <c r="D767" s="21">
        <f>IF(MonthlyFAME!D769=0,"",MonthlyFAME!D769)</f>
        <v>103.3652</v>
      </c>
      <c r="E767" s="21">
        <f>IF(MonthlyFAME!F769=0,"",MonthlyFAME!F769)</f>
        <v>28468</v>
      </c>
      <c r="F767" s="21"/>
      <c r="G767" s="21">
        <f>IF(MonthlyFAME!H769=0,"",MonthlyFAME!H769)</f>
        <v>4.3264503441494595</v>
      </c>
      <c r="H767" s="21">
        <f>IF(MonthlyFAME!I769=0,"",MonthlyFAME!I769)</f>
        <v>33082</v>
      </c>
      <c r="I767" s="21">
        <f>IF(MonthlyFAME!J769=0,"",MonthlyFAME!J769)</f>
        <v>1043.9000000000001</v>
      </c>
      <c r="J767" s="21">
        <f>IF(MonthlyFAME!K769=0,"",MonthlyFAME!K769)</f>
        <v>1024</v>
      </c>
      <c r="K767" s="21"/>
      <c r="L767" s="21">
        <f>IF(MonthlyFAME!M769=0,"",MonthlyFAME!M769)</f>
        <v>1545.9</v>
      </c>
      <c r="M767" s="21" t="str">
        <f>IF(MonthlyFAME!N769=0,"",MonthlyFAME!N769)</f>
        <v/>
      </c>
      <c r="N767" s="21" t="str">
        <f>IF(MonthlyFAME!O769=0,"",MonthlyFAME!O769)</f>
        <v/>
      </c>
      <c r="O767" s="21" t="str">
        <f>IF(MonthlyFAME!P769=0,"",MonthlyFAME!P769)</f>
        <v/>
      </c>
      <c r="P767" s="21" t="str">
        <f>IF(MonthlyFAME!Q769=0,"",MonthlyFAME!Q769)</f>
        <v/>
      </c>
      <c r="Q767" s="21" t="str">
        <f>IF(MonthlyFAME!R769=0,"",MonthlyFAME!R769)</f>
        <v/>
      </c>
      <c r="R767" s="21" t="str">
        <f>IF(MonthlyFAME!S769=0,"",MonthlyFAME!S769)</f>
        <v/>
      </c>
      <c r="S767" s="21" t="str">
        <f>IF(MonthlyFAME!T769=0,"",MonthlyFAME!T769)</f>
        <v/>
      </c>
      <c r="T767" s="21">
        <f>IF(MonthlyFAME!U769=0,"",MonthlyFAME!U769)</f>
        <v>80.108095238095231</v>
      </c>
    </row>
    <row r="768" spans="1:20" x14ac:dyDescent="0.2">
      <c r="E768" s="21">
        <f>IF(MonthlyFAME!F770=0,"",MonthlyFAME!F770)</f>
        <v>26592</v>
      </c>
      <c r="F768" s="21"/>
    </row>
  </sheetData>
  <mergeCells count="3">
    <mergeCell ref="M1:T1"/>
    <mergeCell ref="C1:F1"/>
    <mergeCell ref="G1:L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49"/>
  <sheetViews>
    <sheetView topLeftCell="A112" workbookViewId="0">
      <selection activeCell="A194" sqref="A194"/>
    </sheetView>
  </sheetViews>
  <sheetFormatPr baseColWidth="10" defaultColWidth="8.83203125" defaultRowHeight="15" x14ac:dyDescent="0.2"/>
  <cols>
    <col min="1" max="1" width="12.5" customWidth="1"/>
  </cols>
  <sheetData>
    <row r="1" spans="1:7" x14ac:dyDescent="0.2">
      <c r="A1" s="18"/>
      <c r="B1" s="18"/>
    </row>
    <row r="2" spans="1:7" x14ac:dyDescent="0.2">
      <c r="A2">
        <v>1960</v>
      </c>
      <c r="B2" s="3"/>
    </row>
    <row r="3" spans="1:7" x14ac:dyDescent="0.2">
      <c r="A3">
        <v>2023</v>
      </c>
      <c r="B3" s="2">
        <v>1</v>
      </c>
    </row>
    <row r="4" spans="1:7" x14ac:dyDescent="0.2">
      <c r="A4" t="s">
        <v>81</v>
      </c>
      <c r="B4" t="s">
        <v>87</v>
      </c>
      <c r="C4" t="s">
        <v>85</v>
      </c>
      <c r="D4" t="s">
        <v>86</v>
      </c>
      <c r="E4" t="s">
        <v>165</v>
      </c>
    </row>
    <row r="5" spans="1:7" x14ac:dyDescent="0.2">
      <c r="B5" t="s">
        <v>82</v>
      </c>
      <c r="C5" t="s">
        <v>83</v>
      </c>
      <c r="D5" t="s">
        <v>84</v>
      </c>
      <c r="E5" t="s">
        <v>166</v>
      </c>
      <c r="F5" t="s">
        <v>178</v>
      </c>
      <c r="G5" t="s">
        <v>177</v>
      </c>
    </row>
    <row r="6" spans="1:7" x14ac:dyDescent="0.2">
      <c r="A6" s="1">
        <f>[2]!FAMEData("FAMEDATE",A2,A3, 0,A4, "Down", "No Heading", "Normal")</f>
        <v>22006</v>
      </c>
      <c r="B6">
        <f>[2]!FAMEData(B5, $A$2, $A$3, 0,$A$4,"Down","No Heading","Normal")</f>
        <v>151420</v>
      </c>
      <c r="C6">
        <f>[2]!FAMEData(C5, $A$2, $A$3, 0,$A$4,"Down","No Heading","Normal")</f>
        <v>77407</v>
      </c>
      <c r="D6">
        <f>[2]!FAMEData(D5, $A$2, $A$3, 0,$A$4,"Down","No Heading","Normal")</f>
        <v>22788</v>
      </c>
      <c r="E6" t="str">
        <f>[2]!FAMEData(E5, $A$2, $A$3, 0,$A$4,"Down","No Heading","Normal")</f>
        <v/>
      </c>
      <c r="F6" t="str">
        <f>[2]!FAMEData(F5, $A$2, $A$3, 0,$A$4,"Down","No Heading","Normal")</f>
        <v/>
      </c>
      <c r="G6" t="str">
        <f>[2]!FAMEData(G5, $A$2, $A$3, 0,$A$4,"Down","No Heading","Normal")</f>
        <v/>
      </c>
    </row>
    <row r="7" spans="1:7" x14ac:dyDescent="0.2">
      <c r="A7" s="1">
        <v>22097</v>
      </c>
      <c r="B7">
        <v>150230</v>
      </c>
      <c r="C7">
        <v>77150</v>
      </c>
      <c r="D7">
        <v>23452</v>
      </c>
    </row>
    <row r="8" spans="1:7" x14ac:dyDescent="0.2">
      <c r="A8" s="1">
        <v>22189</v>
      </c>
      <c r="B8">
        <v>152485</v>
      </c>
      <c r="C8">
        <v>77664</v>
      </c>
      <c r="D8">
        <v>23888</v>
      </c>
    </row>
    <row r="9" spans="1:7" x14ac:dyDescent="0.2">
      <c r="A9" s="1">
        <v>22281</v>
      </c>
      <c r="B9">
        <v>153552</v>
      </c>
      <c r="C9">
        <v>77682</v>
      </c>
      <c r="D9">
        <v>24647</v>
      </c>
    </row>
    <row r="10" spans="1:7" x14ac:dyDescent="0.2">
      <c r="A10" s="1">
        <v>22371</v>
      </c>
      <c r="B10">
        <v>155990</v>
      </c>
      <c r="C10">
        <v>79058</v>
      </c>
      <c r="D10">
        <v>25266</v>
      </c>
    </row>
    <row r="11" spans="1:7" x14ac:dyDescent="0.2">
      <c r="A11" s="1">
        <v>22462</v>
      </c>
      <c r="B11">
        <v>156572</v>
      </c>
      <c r="C11">
        <v>79093</v>
      </c>
      <c r="D11">
        <v>25693</v>
      </c>
    </row>
    <row r="12" spans="1:7" x14ac:dyDescent="0.2">
      <c r="A12" s="1">
        <v>22554</v>
      </c>
      <c r="B12">
        <v>155818</v>
      </c>
      <c r="C12">
        <v>79472</v>
      </c>
      <c r="D12">
        <v>26062</v>
      </c>
    </row>
    <row r="13" spans="1:7" x14ac:dyDescent="0.2">
      <c r="A13" s="1">
        <v>22646</v>
      </c>
      <c r="B13">
        <v>155436</v>
      </c>
      <c r="C13">
        <v>79509</v>
      </c>
      <c r="D13">
        <v>25426</v>
      </c>
    </row>
    <row r="14" spans="1:7" x14ac:dyDescent="0.2">
      <c r="A14" s="1">
        <v>22736</v>
      </c>
      <c r="B14">
        <v>156202</v>
      </c>
      <c r="C14">
        <v>80153</v>
      </c>
      <c r="D14">
        <v>25626</v>
      </c>
    </row>
    <row r="15" spans="1:7" x14ac:dyDescent="0.2">
      <c r="A15" s="1">
        <v>22827</v>
      </c>
      <c r="B15">
        <v>157678</v>
      </c>
      <c r="C15">
        <v>81490</v>
      </c>
      <c r="D15">
        <v>26205</v>
      </c>
    </row>
    <row r="16" spans="1:7" x14ac:dyDescent="0.2">
      <c r="A16" s="1">
        <v>22919</v>
      </c>
      <c r="B16">
        <v>158572</v>
      </c>
      <c r="C16">
        <v>80962</v>
      </c>
      <c r="D16">
        <v>26085</v>
      </c>
    </row>
    <row r="17" spans="1:4" x14ac:dyDescent="0.2">
      <c r="A17" s="1">
        <v>23011</v>
      </c>
      <c r="B17">
        <v>157894</v>
      </c>
      <c r="C17">
        <v>81896</v>
      </c>
      <c r="D17">
        <v>25479</v>
      </c>
    </row>
    <row r="18" spans="1:4" x14ac:dyDescent="0.2">
      <c r="A18" s="1">
        <v>23101</v>
      </c>
      <c r="B18">
        <v>158616</v>
      </c>
      <c r="C18">
        <v>82351</v>
      </c>
      <c r="D18">
        <v>23515</v>
      </c>
    </row>
    <row r="19" spans="1:4" x14ac:dyDescent="0.2">
      <c r="A19" s="1">
        <v>23192</v>
      </c>
      <c r="B19">
        <v>165619</v>
      </c>
      <c r="C19">
        <v>84884</v>
      </c>
      <c r="D19">
        <v>26708</v>
      </c>
    </row>
    <row r="20" spans="1:4" x14ac:dyDescent="0.2">
      <c r="A20" s="1">
        <v>23284</v>
      </c>
      <c r="B20">
        <v>166407</v>
      </c>
      <c r="C20">
        <v>85851</v>
      </c>
      <c r="D20">
        <v>27256</v>
      </c>
    </row>
    <row r="21" spans="1:4" x14ac:dyDescent="0.2">
      <c r="A21" s="1">
        <v>23376</v>
      </c>
      <c r="B21">
        <v>170054</v>
      </c>
      <c r="C21">
        <v>85630</v>
      </c>
      <c r="D21">
        <v>28341</v>
      </c>
    </row>
    <row r="22" spans="1:4" x14ac:dyDescent="0.2">
      <c r="A22" s="1">
        <v>23467</v>
      </c>
      <c r="B22">
        <v>171209</v>
      </c>
      <c r="C22">
        <v>86911</v>
      </c>
      <c r="D22">
        <v>29743</v>
      </c>
    </row>
    <row r="23" spans="1:4" x14ac:dyDescent="0.2">
      <c r="A23" s="1">
        <v>23558</v>
      </c>
      <c r="B23">
        <v>174393</v>
      </c>
      <c r="C23">
        <v>87197</v>
      </c>
      <c r="D23">
        <v>30569</v>
      </c>
    </row>
    <row r="24" spans="1:4" x14ac:dyDescent="0.2">
      <c r="A24" s="1">
        <v>23650</v>
      </c>
      <c r="B24">
        <v>175037</v>
      </c>
      <c r="C24">
        <v>87682</v>
      </c>
      <c r="D24">
        <v>31028</v>
      </c>
    </row>
    <row r="25" spans="1:4" x14ac:dyDescent="0.2">
      <c r="A25" s="1">
        <v>23742</v>
      </c>
      <c r="B25">
        <v>177683</v>
      </c>
      <c r="C25">
        <v>88568</v>
      </c>
      <c r="D25">
        <v>31617</v>
      </c>
    </row>
    <row r="26" spans="1:4" x14ac:dyDescent="0.2">
      <c r="A26" s="1">
        <v>23832</v>
      </c>
      <c r="B26">
        <v>177153</v>
      </c>
      <c r="C26">
        <v>88415</v>
      </c>
      <c r="D26">
        <v>32197</v>
      </c>
    </row>
    <row r="27" spans="1:4" x14ac:dyDescent="0.2">
      <c r="A27" s="1">
        <v>23923</v>
      </c>
      <c r="B27">
        <v>177267</v>
      </c>
      <c r="C27">
        <v>88094</v>
      </c>
      <c r="D27">
        <v>31770</v>
      </c>
    </row>
    <row r="28" spans="1:4" x14ac:dyDescent="0.2">
      <c r="A28" s="1">
        <v>24015</v>
      </c>
      <c r="B28">
        <v>178719</v>
      </c>
      <c r="C28">
        <v>89076</v>
      </c>
      <c r="D28">
        <v>32030</v>
      </c>
    </row>
    <row r="29" spans="1:4" x14ac:dyDescent="0.2">
      <c r="A29" s="1">
        <v>24107</v>
      </c>
      <c r="B29">
        <v>179904</v>
      </c>
      <c r="C29">
        <v>89352</v>
      </c>
      <c r="D29">
        <v>32719</v>
      </c>
    </row>
    <row r="30" spans="1:4" x14ac:dyDescent="0.2">
      <c r="A30" s="1">
        <v>24197</v>
      </c>
      <c r="B30">
        <v>180172</v>
      </c>
      <c r="C30">
        <v>90587</v>
      </c>
      <c r="D30">
        <v>32075</v>
      </c>
    </row>
    <row r="31" spans="1:4" x14ac:dyDescent="0.2">
      <c r="A31" s="1">
        <v>24288</v>
      </c>
      <c r="B31">
        <v>181154</v>
      </c>
      <c r="C31">
        <v>91429</v>
      </c>
      <c r="D31">
        <v>31761</v>
      </c>
    </row>
    <row r="32" spans="1:4" x14ac:dyDescent="0.2">
      <c r="A32" s="1">
        <v>24380</v>
      </c>
      <c r="B32">
        <v>181778</v>
      </c>
      <c r="C32">
        <v>89883</v>
      </c>
      <c r="D32">
        <v>32245</v>
      </c>
    </row>
    <row r="33" spans="1:4" x14ac:dyDescent="0.2">
      <c r="A33" s="1">
        <v>24472</v>
      </c>
      <c r="B33">
        <v>180944</v>
      </c>
      <c r="C33">
        <v>89866</v>
      </c>
      <c r="D33">
        <v>32360</v>
      </c>
    </row>
    <row r="34" spans="1:4" x14ac:dyDescent="0.2">
      <c r="A34" s="1">
        <v>24562</v>
      </c>
      <c r="B34">
        <v>183328</v>
      </c>
      <c r="C34">
        <v>90782</v>
      </c>
      <c r="D34">
        <v>33672</v>
      </c>
    </row>
    <row r="35" spans="1:4" x14ac:dyDescent="0.2">
      <c r="A35" s="1">
        <v>24653</v>
      </c>
      <c r="B35">
        <v>185968</v>
      </c>
      <c r="C35">
        <v>91987</v>
      </c>
      <c r="D35">
        <v>35259</v>
      </c>
    </row>
    <row r="36" spans="1:4" x14ac:dyDescent="0.2">
      <c r="A36" s="1">
        <v>24745</v>
      </c>
      <c r="B36">
        <v>186841</v>
      </c>
      <c r="C36">
        <v>93923</v>
      </c>
      <c r="D36">
        <v>35416</v>
      </c>
    </row>
    <row r="37" spans="1:4" x14ac:dyDescent="0.2">
      <c r="A37" s="1">
        <v>24837</v>
      </c>
      <c r="B37">
        <v>187834</v>
      </c>
      <c r="C37">
        <v>94644</v>
      </c>
      <c r="D37">
        <v>35304</v>
      </c>
    </row>
    <row r="38" spans="1:4" x14ac:dyDescent="0.2">
      <c r="A38" s="1">
        <v>24928</v>
      </c>
      <c r="B38">
        <v>194591</v>
      </c>
      <c r="C38">
        <v>97600</v>
      </c>
      <c r="D38">
        <v>38014</v>
      </c>
    </row>
    <row r="39" spans="1:4" x14ac:dyDescent="0.2">
      <c r="A39" s="1">
        <v>25019</v>
      </c>
      <c r="B39">
        <v>193804</v>
      </c>
      <c r="C39">
        <v>93866</v>
      </c>
      <c r="D39">
        <v>37638</v>
      </c>
    </row>
    <row r="40" spans="1:4" x14ac:dyDescent="0.2">
      <c r="A40" s="1">
        <v>25111</v>
      </c>
      <c r="B40">
        <v>197603</v>
      </c>
      <c r="C40">
        <v>95533</v>
      </c>
      <c r="D40">
        <v>38683</v>
      </c>
    </row>
    <row r="41" spans="1:4" x14ac:dyDescent="0.2">
      <c r="A41" s="1">
        <v>25203</v>
      </c>
      <c r="B41">
        <v>198437</v>
      </c>
      <c r="C41">
        <v>95649</v>
      </c>
      <c r="D41">
        <v>40635</v>
      </c>
    </row>
    <row r="42" spans="1:4" x14ac:dyDescent="0.2">
      <c r="A42" s="1">
        <v>25293</v>
      </c>
      <c r="B42">
        <v>197901</v>
      </c>
      <c r="C42">
        <v>95500</v>
      </c>
      <c r="D42">
        <v>37520</v>
      </c>
    </row>
    <row r="43" spans="1:4" x14ac:dyDescent="0.2">
      <c r="A43" s="1">
        <v>25384</v>
      </c>
      <c r="B43">
        <v>199471</v>
      </c>
      <c r="C43">
        <v>96352</v>
      </c>
      <c r="D43">
        <v>37734</v>
      </c>
    </row>
    <row r="44" spans="1:4" x14ac:dyDescent="0.2">
      <c r="A44" s="1">
        <v>25476</v>
      </c>
      <c r="B44">
        <v>200592</v>
      </c>
      <c r="C44">
        <v>96487</v>
      </c>
      <c r="D44">
        <v>39079</v>
      </c>
    </row>
    <row r="45" spans="1:4" x14ac:dyDescent="0.2">
      <c r="A45" s="1">
        <v>25568</v>
      </c>
      <c r="B45">
        <v>201431</v>
      </c>
      <c r="C45">
        <v>97122</v>
      </c>
      <c r="D45">
        <v>39269</v>
      </c>
    </row>
    <row r="46" spans="1:4" x14ac:dyDescent="0.2">
      <c r="A46" s="1">
        <v>25658</v>
      </c>
      <c r="B46">
        <v>200089</v>
      </c>
      <c r="C46">
        <v>97391</v>
      </c>
      <c r="D46">
        <v>38089</v>
      </c>
    </row>
    <row r="47" spans="1:4" x14ac:dyDescent="0.2">
      <c r="A47" s="1">
        <v>25749</v>
      </c>
      <c r="B47">
        <v>205001</v>
      </c>
      <c r="C47">
        <v>98946</v>
      </c>
      <c r="D47">
        <v>39700</v>
      </c>
    </row>
    <row r="48" spans="1:4" x14ac:dyDescent="0.2">
      <c r="A48" s="1">
        <v>25841</v>
      </c>
      <c r="B48">
        <v>206988</v>
      </c>
      <c r="C48">
        <v>100458</v>
      </c>
      <c r="D48">
        <v>40156</v>
      </c>
    </row>
    <row r="49" spans="1:5" x14ac:dyDescent="0.2">
      <c r="A49" s="1">
        <v>25933</v>
      </c>
      <c r="B49">
        <v>208869</v>
      </c>
      <c r="C49">
        <v>100058</v>
      </c>
      <c r="D49">
        <v>41365</v>
      </c>
    </row>
    <row r="50" spans="1:5" x14ac:dyDescent="0.2">
      <c r="A50" s="1">
        <v>26023</v>
      </c>
      <c r="B50">
        <v>207680</v>
      </c>
      <c r="C50">
        <v>99798</v>
      </c>
      <c r="D50">
        <v>40579</v>
      </c>
      <c r="E50">
        <v>11235.9</v>
      </c>
    </row>
    <row r="51" spans="1:5" x14ac:dyDescent="0.2">
      <c r="A51" s="1">
        <v>26114</v>
      </c>
      <c r="B51">
        <v>211465</v>
      </c>
      <c r="C51">
        <v>102036</v>
      </c>
      <c r="D51">
        <v>42575</v>
      </c>
      <c r="E51">
        <v>11216.4</v>
      </c>
    </row>
    <row r="52" spans="1:5" x14ac:dyDescent="0.2">
      <c r="A52" s="1">
        <v>26206</v>
      </c>
      <c r="B52">
        <v>215240</v>
      </c>
      <c r="C52">
        <v>103845</v>
      </c>
      <c r="D52">
        <v>43553</v>
      </c>
      <c r="E52">
        <v>11196.9</v>
      </c>
    </row>
    <row r="53" spans="1:5" x14ac:dyDescent="0.2">
      <c r="A53" s="1">
        <v>26298</v>
      </c>
      <c r="B53">
        <v>216006</v>
      </c>
      <c r="C53">
        <v>104685</v>
      </c>
      <c r="D53">
        <v>44186</v>
      </c>
      <c r="E53">
        <v>11202.1</v>
      </c>
    </row>
    <row r="54" spans="1:5" x14ac:dyDescent="0.2">
      <c r="A54" s="1">
        <v>26389</v>
      </c>
      <c r="B54">
        <v>216317</v>
      </c>
      <c r="C54">
        <v>106484</v>
      </c>
      <c r="D54">
        <v>43781</v>
      </c>
      <c r="E54">
        <v>11293.1</v>
      </c>
    </row>
    <row r="55" spans="1:5" x14ac:dyDescent="0.2">
      <c r="A55" s="1">
        <v>26480</v>
      </c>
      <c r="B55">
        <v>222086</v>
      </c>
      <c r="C55">
        <v>108905</v>
      </c>
      <c r="D55">
        <v>45230</v>
      </c>
      <c r="E55">
        <v>11350.300000000001</v>
      </c>
    </row>
    <row r="56" spans="1:5" x14ac:dyDescent="0.2">
      <c r="A56" s="1">
        <v>26572</v>
      </c>
      <c r="B56">
        <v>222694</v>
      </c>
      <c r="C56">
        <v>110560</v>
      </c>
      <c r="D56">
        <v>45116</v>
      </c>
      <c r="E56">
        <v>11397.1</v>
      </c>
    </row>
    <row r="57" spans="1:5" x14ac:dyDescent="0.2">
      <c r="A57" s="1">
        <v>26664</v>
      </c>
      <c r="B57">
        <v>226205</v>
      </c>
      <c r="C57">
        <v>111472</v>
      </c>
      <c r="D57">
        <v>44980</v>
      </c>
      <c r="E57">
        <v>11464.699999999999</v>
      </c>
    </row>
    <row r="58" spans="1:5" x14ac:dyDescent="0.2">
      <c r="A58" s="1">
        <v>26754</v>
      </c>
      <c r="B58">
        <v>237322</v>
      </c>
      <c r="C58">
        <v>115851</v>
      </c>
      <c r="D58">
        <v>47315</v>
      </c>
      <c r="E58">
        <v>11577.800000000001</v>
      </c>
    </row>
    <row r="59" spans="1:5" x14ac:dyDescent="0.2">
      <c r="A59" s="1">
        <v>26845</v>
      </c>
      <c r="B59">
        <v>237728</v>
      </c>
      <c r="C59">
        <v>115074</v>
      </c>
      <c r="D59">
        <v>45755</v>
      </c>
      <c r="E59">
        <v>11624.6</v>
      </c>
    </row>
    <row r="60" spans="1:5" x14ac:dyDescent="0.2">
      <c r="A60" s="1">
        <v>26937</v>
      </c>
      <c r="B60">
        <v>235429</v>
      </c>
      <c r="C60">
        <v>115927</v>
      </c>
      <c r="D60">
        <v>44849</v>
      </c>
      <c r="E60">
        <v>11618.1</v>
      </c>
    </row>
    <row r="61" spans="1:5" x14ac:dyDescent="0.2">
      <c r="A61" s="1">
        <v>27029</v>
      </c>
      <c r="B61">
        <v>234514</v>
      </c>
      <c r="C61">
        <v>115008</v>
      </c>
      <c r="D61">
        <v>44646</v>
      </c>
      <c r="E61">
        <v>11620.699999999999</v>
      </c>
    </row>
    <row r="62" spans="1:5" x14ac:dyDescent="0.2">
      <c r="A62" s="1">
        <v>27119</v>
      </c>
      <c r="B62">
        <v>228013</v>
      </c>
      <c r="C62">
        <v>112937</v>
      </c>
      <c r="D62">
        <v>44251</v>
      </c>
      <c r="E62">
        <v>11590.800000000001</v>
      </c>
    </row>
    <row r="63" spans="1:5" x14ac:dyDescent="0.2">
      <c r="A63" s="1">
        <v>27210</v>
      </c>
      <c r="B63">
        <v>231343</v>
      </c>
      <c r="C63">
        <v>113501</v>
      </c>
      <c r="D63">
        <v>41823</v>
      </c>
      <c r="E63">
        <v>11564.800000000001</v>
      </c>
    </row>
    <row r="64" spans="1:5" x14ac:dyDescent="0.2">
      <c r="A64" s="1">
        <v>27302</v>
      </c>
      <c r="B64">
        <v>232777</v>
      </c>
      <c r="C64">
        <v>114591</v>
      </c>
      <c r="D64">
        <v>41363</v>
      </c>
      <c r="E64">
        <v>11545.300000000001</v>
      </c>
    </row>
    <row r="65" spans="1:5" x14ac:dyDescent="0.2">
      <c r="A65" s="1">
        <v>27394</v>
      </c>
      <c r="B65">
        <v>229394</v>
      </c>
      <c r="C65">
        <v>114879</v>
      </c>
      <c r="D65">
        <v>41542</v>
      </c>
      <c r="E65">
        <v>11485.5</v>
      </c>
    </row>
    <row r="66" spans="1:5" x14ac:dyDescent="0.2">
      <c r="A66" s="1">
        <v>27484</v>
      </c>
      <c r="B66">
        <v>229477</v>
      </c>
      <c r="C66">
        <v>114484</v>
      </c>
      <c r="D66">
        <v>40443</v>
      </c>
      <c r="E66">
        <v>11399.699999999999</v>
      </c>
    </row>
    <row r="67" spans="1:5" x14ac:dyDescent="0.2">
      <c r="A67" s="1">
        <v>27575</v>
      </c>
      <c r="B67">
        <v>225734</v>
      </c>
      <c r="C67">
        <v>114713</v>
      </c>
      <c r="D67">
        <v>40270</v>
      </c>
      <c r="E67">
        <v>11328.199999999999</v>
      </c>
    </row>
    <row r="68" spans="1:5" x14ac:dyDescent="0.2">
      <c r="A68" s="1">
        <v>27667</v>
      </c>
      <c r="B68">
        <v>224919</v>
      </c>
      <c r="C68">
        <v>113499</v>
      </c>
      <c r="D68">
        <v>39673</v>
      </c>
      <c r="E68">
        <v>11276.199999999999</v>
      </c>
    </row>
    <row r="69" spans="1:5" x14ac:dyDescent="0.2">
      <c r="A69" s="1">
        <v>27759</v>
      </c>
      <c r="B69">
        <v>227490</v>
      </c>
      <c r="C69">
        <v>112523</v>
      </c>
      <c r="D69">
        <v>38533</v>
      </c>
      <c r="E69">
        <v>11226.800000000001</v>
      </c>
    </row>
    <row r="70" spans="1:5" x14ac:dyDescent="0.2">
      <c r="A70" s="1">
        <v>27850</v>
      </c>
      <c r="B70">
        <v>231247</v>
      </c>
      <c r="C70">
        <v>113272</v>
      </c>
      <c r="D70">
        <v>40457</v>
      </c>
      <c r="E70">
        <v>11190.4</v>
      </c>
    </row>
    <row r="71" spans="1:5" x14ac:dyDescent="0.2">
      <c r="A71" s="1">
        <v>27941</v>
      </c>
      <c r="B71">
        <v>230985</v>
      </c>
      <c r="C71">
        <v>114014</v>
      </c>
      <c r="D71">
        <v>40086</v>
      </c>
      <c r="E71">
        <v>11181.300000000001</v>
      </c>
    </row>
    <row r="72" spans="1:5" x14ac:dyDescent="0.2">
      <c r="A72" s="1">
        <v>28033</v>
      </c>
      <c r="B72">
        <v>233947</v>
      </c>
      <c r="C72">
        <v>115092</v>
      </c>
      <c r="D72">
        <v>39606</v>
      </c>
      <c r="E72">
        <v>11193</v>
      </c>
    </row>
    <row r="73" spans="1:5" x14ac:dyDescent="0.2">
      <c r="A73" s="1">
        <v>28125</v>
      </c>
      <c r="B73">
        <v>238928</v>
      </c>
      <c r="C73">
        <v>115326</v>
      </c>
      <c r="D73">
        <v>39883</v>
      </c>
      <c r="E73">
        <v>11224.199999999999</v>
      </c>
    </row>
    <row r="74" spans="1:5" x14ac:dyDescent="0.2">
      <c r="A74" s="1">
        <v>28215</v>
      </c>
      <c r="B74">
        <v>238831</v>
      </c>
      <c r="C74">
        <v>112986</v>
      </c>
      <c r="D74">
        <v>38864</v>
      </c>
      <c r="E74">
        <v>11252.800000000001</v>
      </c>
    </row>
    <row r="75" spans="1:5" x14ac:dyDescent="0.2">
      <c r="A75" s="1">
        <v>28306</v>
      </c>
      <c r="B75">
        <v>237076</v>
      </c>
      <c r="C75">
        <v>112834</v>
      </c>
      <c r="D75">
        <v>41024</v>
      </c>
      <c r="E75">
        <v>11267.1</v>
      </c>
    </row>
    <row r="76" spans="1:5" x14ac:dyDescent="0.2">
      <c r="A76" s="1">
        <v>28398</v>
      </c>
      <c r="B76">
        <v>238720</v>
      </c>
      <c r="C76">
        <v>114225</v>
      </c>
      <c r="D76">
        <v>40580</v>
      </c>
      <c r="E76">
        <v>11274.9</v>
      </c>
    </row>
    <row r="77" spans="1:5" x14ac:dyDescent="0.2">
      <c r="A77" s="1">
        <v>28490</v>
      </c>
      <c r="B77">
        <v>242807</v>
      </c>
      <c r="C77">
        <v>116589</v>
      </c>
      <c r="D77">
        <v>42079</v>
      </c>
      <c r="E77">
        <v>11281.4</v>
      </c>
    </row>
    <row r="78" spans="1:5" x14ac:dyDescent="0.2">
      <c r="A78" s="1">
        <v>28580</v>
      </c>
      <c r="B78">
        <v>244622</v>
      </c>
      <c r="C78">
        <v>119423</v>
      </c>
      <c r="D78">
        <v>43560</v>
      </c>
      <c r="E78">
        <v>11297</v>
      </c>
    </row>
    <row r="79" spans="1:5" x14ac:dyDescent="0.2">
      <c r="A79" s="1">
        <v>28671</v>
      </c>
      <c r="B79">
        <v>247510</v>
      </c>
      <c r="C79">
        <v>119080</v>
      </c>
      <c r="D79">
        <v>43639</v>
      </c>
      <c r="E79">
        <v>11312.6</v>
      </c>
    </row>
    <row r="80" spans="1:5" x14ac:dyDescent="0.2">
      <c r="A80" s="1">
        <v>28763</v>
      </c>
      <c r="B80">
        <v>250901</v>
      </c>
      <c r="C80">
        <v>121777</v>
      </c>
      <c r="D80">
        <v>43606</v>
      </c>
      <c r="E80">
        <v>11336</v>
      </c>
    </row>
    <row r="81" spans="1:5" x14ac:dyDescent="0.2">
      <c r="A81" s="1">
        <v>28855</v>
      </c>
      <c r="B81">
        <v>253135</v>
      </c>
      <c r="C81">
        <v>120964</v>
      </c>
      <c r="D81">
        <v>43752</v>
      </c>
      <c r="E81">
        <v>11395.800000000001</v>
      </c>
    </row>
    <row r="82" spans="1:5" x14ac:dyDescent="0.2">
      <c r="A82" s="1">
        <v>28945</v>
      </c>
      <c r="B82">
        <v>251825</v>
      </c>
      <c r="C82">
        <v>123098</v>
      </c>
      <c r="D82">
        <v>45999</v>
      </c>
      <c r="E82">
        <v>11421.800000000001</v>
      </c>
    </row>
    <row r="83" spans="1:5" x14ac:dyDescent="0.2">
      <c r="A83" s="1">
        <v>29036</v>
      </c>
      <c r="B83">
        <v>262981</v>
      </c>
      <c r="C83">
        <v>130033</v>
      </c>
      <c r="D83">
        <v>47062</v>
      </c>
      <c r="E83">
        <v>11434.800000000001</v>
      </c>
    </row>
    <row r="84" spans="1:5" x14ac:dyDescent="0.2">
      <c r="A84" s="1">
        <v>29128</v>
      </c>
      <c r="B84">
        <v>257095</v>
      </c>
      <c r="C84">
        <v>124599</v>
      </c>
      <c r="D84">
        <v>47936</v>
      </c>
      <c r="E84">
        <v>11447.800000000001</v>
      </c>
    </row>
    <row r="85" spans="1:5" x14ac:dyDescent="0.2">
      <c r="A85" s="1">
        <v>29220</v>
      </c>
      <c r="B85">
        <v>259744</v>
      </c>
      <c r="C85">
        <v>126291</v>
      </c>
      <c r="D85">
        <v>48608</v>
      </c>
      <c r="E85">
        <v>11437.4</v>
      </c>
    </row>
    <row r="86" spans="1:5" x14ac:dyDescent="0.2">
      <c r="A86" s="1">
        <v>29311</v>
      </c>
      <c r="B86">
        <v>256815</v>
      </c>
      <c r="C86">
        <v>128436</v>
      </c>
      <c r="D86">
        <v>46263</v>
      </c>
      <c r="E86">
        <v>11376.300000000001</v>
      </c>
    </row>
    <row r="87" spans="1:5" x14ac:dyDescent="0.2">
      <c r="A87" s="1">
        <v>29402</v>
      </c>
      <c r="B87">
        <v>251750</v>
      </c>
      <c r="C87">
        <v>125085</v>
      </c>
      <c r="D87">
        <v>44461</v>
      </c>
      <c r="E87">
        <v>11286.6</v>
      </c>
    </row>
    <row r="88" spans="1:5" x14ac:dyDescent="0.2">
      <c r="A88" s="1">
        <v>29494</v>
      </c>
      <c r="B88">
        <v>251454</v>
      </c>
      <c r="C88">
        <v>126726</v>
      </c>
      <c r="D88">
        <v>43674</v>
      </c>
      <c r="E88">
        <v>11146.199999999999</v>
      </c>
    </row>
    <row r="89" spans="1:5" x14ac:dyDescent="0.2">
      <c r="A89" s="1">
        <v>29586</v>
      </c>
      <c r="B89">
        <v>248574</v>
      </c>
      <c r="C89">
        <v>124309</v>
      </c>
      <c r="D89">
        <v>43053</v>
      </c>
      <c r="E89">
        <v>10979.800000000001</v>
      </c>
    </row>
    <row r="90" spans="1:5" x14ac:dyDescent="0.2">
      <c r="A90" s="1">
        <v>29676</v>
      </c>
      <c r="B90">
        <v>248097</v>
      </c>
      <c r="C90">
        <v>126574</v>
      </c>
      <c r="D90">
        <v>40673</v>
      </c>
      <c r="E90">
        <v>10826.4</v>
      </c>
    </row>
    <row r="91" spans="1:5" x14ac:dyDescent="0.2">
      <c r="A91" s="1">
        <v>29767</v>
      </c>
      <c r="B91">
        <v>248514</v>
      </c>
      <c r="C91">
        <v>126512</v>
      </c>
      <c r="D91">
        <v>41620</v>
      </c>
      <c r="E91">
        <v>10708.1</v>
      </c>
    </row>
    <row r="92" spans="1:5" x14ac:dyDescent="0.2">
      <c r="A92" s="1">
        <v>29859</v>
      </c>
      <c r="B92">
        <v>251197</v>
      </c>
      <c r="C92">
        <v>126598</v>
      </c>
      <c r="D92">
        <v>41966</v>
      </c>
      <c r="E92">
        <v>10631.4</v>
      </c>
    </row>
    <row r="93" spans="1:5" x14ac:dyDescent="0.2">
      <c r="A93" s="1">
        <v>29951</v>
      </c>
      <c r="B93">
        <v>251349</v>
      </c>
      <c r="C93">
        <v>126245</v>
      </c>
      <c r="D93">
        <v>41460</v>
      </c>
      <c r="E93">
        <v>10565.1</v>
      </c>
    </row>
    <row r="94" spans="1:5" x14ac:dyDescent="0.2">
      <c r="A94" s="1">
        <v>30041</v>
      </c>
      <c r="B94">
        <v>251388</v>
      </c>
      <c r="C94">
        <v>126668</v>
      </c>
      <c r="D94">
        <v>41386</v>
      </c>
      <c r="E94">
        <v>10532.6</v>
      </c>
    </row>
    <row r="95" spans="1:5" x14ac:dyDescent="0.2">
      <c r="A95" s="1">
        <v>30132</v>
      </c>
      <c r="B95">
        <v>253939</v>
      </c>
      <c r="C95">
        <v>126571</v>
      </c>
      <c r="D95">
        <v>43277</v>
      </c>
      <c r="E95">
        <v>10491</v>
      </c>
    </row>
    <row r="96" spans="1:5" x14ac:dyDescent="0.2">
      <c r="A96" s="1">
        <v>30224</v>
      </c>
      <c r="B96">
        <v>254533</v>
      </c>
      <c r="C96">
        <v>128702</v>
      </c>
      <c r="D96">
        <v>44541</v>
      </c>
      <c r="E96">
        <v>10428.6</v>
      </c>
    </row>
    <row r="97" spans="1:5" x14ac:dyDescent="0.2">
      <c r="A97" s="1">
        <v>30316</v>
      </c>
      <c r="B97">
        <v>256172</v>
      </c>
      <c r="C97">
        <v>129796</v>
      </c>
      <c r="D97">
        <v>45037</v>
      </c>
      <c r="E97">
        <v>10351.9</v>
      </c>
    </row>
    <row r="98" spans="1:5" x14ac:dyDescent="0.2">
      <c r="A98" s="1">
        <v>30406</v>
      </c>
      <c r="B98">
        <v>260720</v>
      </c>
      <c r="C98">
        <v>131753</v>
      </c>
      <c r="D98">
        <v>46370</v>
      </c>
      <c r="E98">
        <v>10292.1</v>
      </c>
    </row>
    <row r="99" spans="1:5" x14ac:dyDescent="0.2">
      <c r="A99" s="1">
        <v>30497</v>
      </c>
      <c r="B99">
        <v>262390</v>
      </c>
      <c r="C99">
        <v>132591</v>
      </c>
      <c r="D99">
        <v>45818</v>
      </c>
      <c r="E99">
        <v>10280.4</v>
      </c>
    </row>
    <row r="100" spans="1:5" x14ac:dyDescent="0.2">
      <c r="A100" s="1">
        <v>30589</v>
      </c>
      <c r="B100">
        <v>265120</v>
      </c>
      <c r="C100">
        <v>134749</v>
      </c>
      <c r="D100">
        <v>46258</v>
      </c>
      <c r="E100">
        <v>10349.300000000001</v>
      </c>
    </row>
    <row r="101" spans="1:5" x14ac:dyDescent="0.2">
      <c r="A101" s="1">
        <v>30681</v>
      </c>
      <c r="B101">
        <v>267076</v>
      </c>
      <c r="C101">
        <v>134800</v>
      </c>
      <c r="D101">
        <v>48413</v>
      </c>
      <c r="E101">
        <v>10436.4</v>
      </c>
    </row>
    <row r="102" spans="1:5" x14ac:dyDescent="0.2">
      <c r="A102" s="1">
        <v>30772</v>
      </c>
      <c r="B102">
        <v>268763</v>
      </c>
      <c r="C102">
        <v>135619</v>
      </c>
      <c r="D102">
        <v>49453</v>
      </c>
      <c r="E102">
        <v>10506.6</v>
      </c>
    </row>
    <row r="103" spans="1:5" x14ac:dyDescent="0.2">
      <c r="A103" s="1">
        <v>30863</v>
      </c>
      <c r="B103">
        <v>266099</v>
      </c>
      <c r="C103">
        <v>136699</v>
      </c>
      <c r="D103">
        <v>49645</v>
      </c>
      <c r="E103">
        <v>10574.199999999999</v>
      </c>
    </row>
    <row r="104" spans="1:5" x14ac:dyDescent="0.2">
      <c r="A104" s="1">
        <v>30955</v>
      </c>
      <c r="B104">
        <v>267783</v>
      </c>
      <c r="C104">
        <v>135975</v>
      </c>
      <c r="D104">
        <v>49723</v>
      </c>
      <c r="E104">
        <v>10630.1</v>
      </c>
    </row>
    <row r="105" spans="1:5" x14ac:dyDescent="0.2">
      <c r="A105" s="1">
        <v>31047</v>
      </c>
      <c r="B105">
        <v>272734</v>
      </c>
      <c r="C105">
        <v>138537</v>
      </c>
      <c r="D105">
        <v>50096</v>
      </c>
      <c r="E105">
        <v>10684.699999999999</v>
      </c>
    </row>
    <row r="106" spans="1:5" x14ac:dyDescent="0.2">
      <c r="A106" s="1">
        <v>31137</v>
      </c>
      <c r="B106">
        <v>274498</v>
      </c>
      <c r="C106">
        <v>141730</v>
      </c>
      <c r="D106">
        <v>53861</v>
      </c>
      <c r="E106">
        <v>10725</v>
      </c>
    </row>
    <row r="107" spans="1:5" x14ac:dyDescent="0.2">
      <c r="A107" s="1">
        <v>31228</v>
      </c>
      <c r="B107">
        <v>280049</v>
      </c>
      <c r="C107">
        <v>142472</v>
      </c>
      <c r="D107">
        <v>49474</v>
      </c>
      <c r="E107">
        <v>10745.800000000001</v>
      </c>
    </row>
    <row r="108" spans="1:5" x14ac:dyDescent="0.2">
      <c r="A108" s="1">
        <v>31320</v>
      </c>
      <c r="B108">
        <v>280252</v>
      </c>
      <c r="C108">
        <v>144493</v>
      </c>
      <c r="D108">
        <v>49904</v>
      </c>
      <c r="E108">
        <v>10758.800000000001</v>
      </c>
    </row>
    <row r="109" spans="1:5" x14ac:dyDescent="0.2">
      <c r="A109" s="1">
        <v>31412</v>
      </c>
      <c r="B109">
        <v>280672</v>
      </c>
      <c r="C109">
        <v>145621</v>
      </c>
      <c r="D109">
        <v>49710</v>
      </c>
      <c r="E109">
        <v>10760.1</v>
      </c>
    </row>
    <row r="110" spans="1:5" x14ac:dyDescent="0.2">
      <c r="A110" s="1">
        <v>31502</v>
      </c>
      <c r="B110">
        <v>283200</v>
      </c>
      <c r="C110">
        <v>149625</v>
      </c>
      <c r="D110">
        <v>49176</v>
      </c>
      <c r="E110">
        <v>10753.6</v>
      </c>
    </row>
    <row r="111" spans="1:5" x14ac:dyDescent="0.2">
      <c r="A111" s="1">
        <v>31593</v>
      </c>
      <c r="B111">
        <v>284643</v>
      </c>
      <c r="C111">
        <v>151978</v>
      </c>
      <c r="D111">
        <v>47819</v>
      </c>
      <c r="E111">
        <v>10756.199999999999</v>
      </c>
    </row>
    <row r="112" spans="1:5" x14ac:dyDescent="0.2">
      <c r="A112" s="1">
        <v>31685</v>
      </c>
      <c r="B112">
        <v>285943</v>
      </c>
      <c r="C112">
        <v>152962</v>
      </c>
      <c r="D112">
        <v>50498</v>
      </c>
      <c r="E112">
        <v>10788.699999999999</v>
      </c>
    </row>
    <row r="113" spans="1:7" x14ac:dyDescent="0.2">
      <c r="A113" s="1">
        <v>31777</v>
      </c>
      <c r="B113">
        <v>290408</v>
      </c>
      <c r="C113">
        <v>153702</v>
      </c>
      <c r="D113">
        <v>52948</v>
      </c>
      <c r="E113">
        <v>10827.699999999999</v>
      </c>
    </row>
    <row r="114" spans="1:7" x14ac:dyDescent="0.2">
      <c r="A114" s="1">
        <v>31867</v>
      </c>
      <c r="B114">
        <v>293128</v>
      </c>
      <c r="C114">
        <v>155439</v>
      </c>
      <c r="D114">
        <v>51615</v>
      </c>
      <c r="E114">
        <v>10873.199999999999</v>
      </c>
    </row>
    <row r="115" spans="1:7" x14ac:dyDescent="0.2">
      <c r="A115" s="1">
        <v>31958</v>
      </c>
      <c r="B115">
        <v>297464</v>
      </c>
      <c r="C115">
        <v>158041</v>
      </c>
      <c r="D115">
        <v>54107</v>
      </c>
      <c r="E115">
        <v>10962.9</v>
      </c>
      <c r="G115">
        <v>163001</v>
      </c>
    </row>
    <row r="116" spans="1:7" x14ac:dyDescent="0.2">
      <c r="A116" s="1">
        <v>32050</v>
      </c>
      <c r="B116">
        <v>304555</v>
      </c>
      <c r="C116">
        <v>161305</v>
      </c>
      <c r="D116">
        <v>59096</v>
      </c>
      <c r="E116">
        <v>11079.9</v>
      </c>
      <c r="G116">
        <v>166402</v>
      </c>
    </row>
    <row r="117" spans="1:7" x14ac:dyDescent="0.2">
      <c r="A117" s="1">
        <v>32142</v>
      </c>
      <c r="B117">
        <v>308624</v>
      </c>
      <c r="C117">
        <v>164878</v>
      </c>
      <c r="D117">
        <v>60521</v>
      </c>
      <c r="E117">
        <v>11190.4</v>
      </c>
      <c r="G117">
        <v>170067</v>
      </c>
    </row>
    <row r="118" spans="1:7" x14ac:dyDescent="0.2">
      <c r="A118" s="1">
        <v>32233</v>
      </c>
      <c r="B118">
        <v>313316</v>
      </c>
      <c r="C118">
        <v>167118</v>
      </c>
      <c r="D118">
        <v>63524</v>
      </c>
      <c r="E118">
        <v>11302.199999999999</v>
      </c>
      <c r="G118">
        <v>172527</v>
      </c>
    </row>
    <row r="119" spans="1:7" x14ac:dyDescent="0.2">
      <c r="A119" s="1">
        <v>32324</v>
      </c>
      <c r="B119">
        <v>313997</v>
      </c>
      <c r="C119">
        <v>169500</v>
      </c>
      <c r="D119">
        <v>65224</v>
      </c>
      <c r="E119">
        <v>11390.6</v>
      </c>
      <c r="G119">
        <v>174935</v>
      </c>
    </row>
    <row r="120" spans="1:7" x14ac:dyDescent="0.2">
      <c r="A120" s="1">
        <v>32416</v>
      </c>
      <c r="B120">
        <v>318223</v>
      </c>
      <c r="C120">
        <v>173440</v>
      </c>
      <c r="D120">
        <v>65803</v>
      </c>
      <c r="E120">
        <v>11480.300000000001</v>
      </c>
      <c r="F120">
        <v>6.9176341902435503</v>
      </c>
      <c r="G120">
        <v>178995</v>
      </c>
    </row>
    <row r="121" spans="1:7" x14ac:dyDescent="0.2">
      <c r="A121" s="1">
        <v>32508</v>
      </c>
      <c r="B121">
        <v>320612</v>
      </c>
      <c r="C121">
        <v>174977</v>
      </c>
      <c r="D121">
        <v>65739</v>
      </c>
      <c r="E121">
        <v>11572.6</v>
      </c>
      <c r="F121">
        <v>6.8467183659861099</v>
      </c>
      <c r="G121">
        <v>180615</v>
      </c>
    </row>
    <row r="122" spans="1:7" x14ac:dyDescent="0.2">
      <c r="A122" s="1">
        <v>32598</v>
      </c>
      <c r="B122">
        <v>322258</v>
      </c>
      <c r="C122">
        <v>176456</v>
      </c>
      <c r="D122">
        <v>69251</v>
      </c>
      <c r="E122">
        <v>11685.699999999999</v>
      </c>
      <c r="F122">
        <v>5.9973444357035897</v>
      </c>
      <c r="G122">
        <v>182055</v>
      </c>
    </row>
    <row r="123" spans="1:7" x14ac:dyDescent="0.2">
      <c r="A123" s="1">
        <v>32689</v>
      </c>
      <c r="B123">
        <v>323569</v>
      </c>
      <c r="C123">
        <v>177960</v>
      </c>
      <c r="D123">
        <v>67897</v>
      </c>
      <c r="E123">
        <v>11753.300000000001</v>
      </c>
      <c r="F123">
        <v>5.2760495466631498</v>
      </c>
      <c r="G123">
        <v>183530</v>
      </c>
    </row>
    <row r="124" spans="1:7" x14ac:dyDescent="0.2">
      <c r="A124" s="1">
        <v>32781</v>
      </c>
      <c r="B124">
        <v>323542</v>
      </c>
      <c r="C124">
        <v>177788</v>
      </c>
      <c r="D124">
        <v>68657</v>
      </c>
      <c r="E124">
        <v>11785.800000000001</v>
      </c>
      <c r="F124">
        <v>4.3000088242323597</v>
      </c>
      <c r="G124">
        <v>183492</v>
      </c>
    </row>
    <row r="125" spans="1:7" x14ac:dyDescent="0.2">
      <c r="A125" s="1">
        <v>32873</v>
      </c>
      <c r="B125">
        <v>324139</v>
      </c>
      <c r="C125">
        <v>178541</v>
      </c>
      <c r="D125">
        <v>67315</v>
      </c>
      <c r="E125">
        <v>11814.4</v>
      </c>
      <c r="F125">
        <v>3.66645444223429</v>
      </c>
      <c r="G125">
        <v>184364</v>
      </c>
    </row>
    <row r="126" spans="1:7" x14ac:dyDescent="0.2">
      <c r="A126" s="1">
        <v>32963</v>
      </c>
      <c r="B126">
        <v>326896</v>
      </c>
      <c r="C126">
        <v>180618</v>
      </c>
      <c r="D126">
        <v>67750</v>
      </c>
      <c r="E126">
        <v>11805.300000000001</v>
      </c>
      <c r="F126">
        <v>3.8208032656299999</v>
      </c>
      <c r="G126">
        <v>186677</v>
      </c>
    </row>
    <row r="127" spans="1:7" x14ac:dyDescent="0.2">
      <c r="A127" s="1">
        <v>33054</v>
      </c>
      <c r="B127">
        <v>328047</v>
      </c>
      <c r="C127">
        <v>180979</v>
      </c>
      <c r="D127">
        <v>66791</v>
      </c>
      <c r="E127">
        <v>11785.800000000001</v>
      </c>
      <c r="F127">
        <v>3.7435204912481299</v>
      </c>
      <c r="G127">
        <v>186943</v>
      </c>
    </row>
    <row r="128" spans="1:7" x14ac:dyDescent="0.2">
      <c r="A128" s="1">
        <v>33146</v>
      </c>
      <c r="B128">
        <v>324080</v>
      </c>
      <c r="C128">
        <v>179811</v>
      </c>
      <c r="D128">
        <v>66185</v>
      </c>
      <c r="E128">
        <v>11723.4</v>
      </c>
      <c r="F128">
        <v>1.6861858255443301</v>
      </c>
      <c r="G128">
        <v>185841</v>
      </c>
    </row>
    <row r="129" spans="1:7" x14ac:dyDescent="0.2">
      <c r="A129" s="1">
        <v>33238</v>
      </c>
      <c r="B129">
        <v>322743</v>
      </c>
      <c r="C129">
        <v>179595</v>
      </c>
      <c r="D129">
        <v>65453</v>
      </c>
      <c r="E129">
        <v>11601.199999999999</v>
      </c>
      <c r="F129">
        <v>0.568846098360134</v>
      </c>
      <c r="G129">
        <v>185681</v>
      </c>
    </row>
    <row r="130" spans="1:7" x14ac:dyDescent="0.2">
      <c r="A130" s="1">
        <v>33328</v>
      </c>
      <c r="B130">
        <v>321164</v>
      </c>
      <c r="C130">
        <v>179314</v>
      </c>
      <c r="D130">
        <v>62473</v>
      </c>
      <c r="E130">
        <v>11458.199999999999</v>
      </c>
      <c r="F130">
        <v>-0.39349521143288901</v>
      </c>
      <c r="G130">
        <v>185312</v>
      </c>
    </row>
    <row r="131" spans="1:7" x14ac:dyDescent="0.2">
      <c r="A131" s="1">
        <v>33419</v>
      </c>
      <c r="B131">
        <v>319958</v>
      </c>
      <c r="C131">
        <v>178053</v>
      </c>
      <c r="D131">
        <v>61542</v>
      </c>
      <c r="E131">
        <v>11307.4</v>
      </c>
      <c r="F131">
        <v>-1.22674628385117</v>
      </c>
      <c r="G131">
        <v>184049</v>
      </c>
    </row>
    <row r="132" spans="1:7" x14ac:dyDescent="0.2">
      <c r="A132" s="1">
        <v>33511</v>
      </c>
      <c r="B132">
        <v>319027</v>
      </c>
      <c r="C132">
        <v>178202</v>
      </c>
      <c r="D132">
        <v>60419</v>
      </c>
      <c r="E132">
        <v>11173.5</v>
      </c>
      <c r="F132">
        <v>-2.0255164753543502</v>
      </c>
      <c r="G132">
        <v>184236</v>
      </c>
    </row>
    <row r="133" spans="1:7" x14ac:dyDescent="0.2">
      <c r="A133" s="1">
        <v>33603</v>
      </c>
      <c r="B133">
        <v>319668</v>
      </c>
      <c r="C133">
        <v>178197</v>
      </c>
      <c r="D133">
        <v>60643</v>
      </c>
      <c r="E133">
        <v>11074.699999999999</v>
      </c>
      <c r="F133">
        <v>-2.4343781795055901</v>
      </c>
      <c r="G133">
        <v>184231</v>
      </c>
    </row>
    <row r="134" spans="1:7" x14ac:dyDescent="0.2">
      <c r="A134" s="1">
        <v>33694</v>
      </c>
      <c r="B134">
        <v>319525</v>
      </c>
      <c r="C134">
        <v>177645</v>
      </c>
      <c r="D134">
        <v>60802</v>
      </c>
      <c r="E134">
        <v>11013.6</v>
      </c>
      <c r="F134">
        <v>-2.9127989734701498</v>
      </c>
      <c r="G134">
        <v>183627</v>
      </c>
    </row>
    <row r="135" spans="1:7" x14ac:dyDescent="0.2">
      <c r="A135" s="1">
        <v>33785</v>
      </c>
      <c r="B135">
        <v>318481</v>
      </c>
      <c r="C135">
        <v>180068</v>
      </c>
      <c r="D135">
        <v>60439</v>
      </c>
      <c r="E135">
        <v>11018.800000000001</v>
      </c>
      <c r="F135">
        <v>-3.5110320844395702</v>
      </c>
      <c r="G135">
        <v>185996</v>
      </c>
    </row>
    <row r="136" spans="1:7" x14ac:dyDescent="0.2">
      <c r="A136" s="1">
        <v>33877</v>
      </c>
      <c r="B136">
        <v>320240</v>
      </c>
      <c r="C136">
        <v>181075</v>
      </c>
      <c r="D136">
        <v>60669</v>
      </c>
      <c r="E136">
        <v>10925.199999999999</v>
      </c>
      <c r="F136">
        <v>-3.11120296038531</v>
      </c>
      <c r="G136">
        <v>187027</v>
      </c>
    </row>
    <row r="137" spans="1:7" x14ac:dyDescent="0.2">
      <c r="A137" s="1">
        <v>33969</v>
      </c>
      <c r="B137">
        <v>321960</v>
      </c>
      <c r="C137">
        <v>181426</v>
      </c>
      <c r="D137">
        <v>59216</v>
      </c>
      <c r="E137">
        <v>10826.4</v>
      </c>
      <c r="F137">
        <v>-3.04197028135339</v>
      </c>
      <c r="G137">
        <v>187388</v>
      </c>
    </row>
    <row r="138" spans="1:7" x14ac:dyDescent="0.2">
      <c r="A138" s="1">
        <v>34059</v>
      </c>
      <c r="B138">
        <v>324111</v>
      </c>
      <c r="C138">
        <v>182898</v>
      </c>
      <c r="D138">
        <v>60645</v>
      </c>
      <c r="E138">
        <v>10819.9</v>
      </c>
      <c r="F138">
        <v>-3.29186017228424</v>
      </c>
      <c r="G138">
        <v>188978</v>
      </c>
    </row>
    <row r="139" spans="1:7" x14ac:dyDescent="0.2">
      <c r="A139" s="1">
        <v>34150</v>
      </c>
      <c r="B139">
        <v>325394</v>
      </c>
      <c r="C139">
        <v>183300</v>
      </c>
      <c r="D139">
        <v>60305</v>
      </c>
      <c r="E139">
        <v>10823.800000000001</v>
      </c>
      <c r="F139">
        <v>-3.2621532391307602</v>
      </c>
      <c r="G139">
        <v>190033</v>
      </c>
    </row>
    <row r="140" spans="1:7" x14ac:dyDescent="0.2">
      <c r="A140" s="1">
        <v>34242</v>
      </c>
      <c r="B140">
        <v>327863</v>
      </c>
      <c r="C140">
        <v>186406</v>
      </c>
      <c r="D140">
        <v>60379</v>
      </c>
      <c r="E140">
        <v>10821.199999999999</v>
      </c>
      <c r="F140">
        <v>-2.7051067852100701</v>
      </c>
      <c r="G140">
        <v>193186</v>
      </c>
    </row>
    <row r="141" spans="1:7" x14ac:dyDescent="0.2">
      <c r="A141" s="1">
        <v>34334</v>
      </c>
      <c r="B141">
        <v>329789</v>
      </c>
      <c r="C141">
        <v>187862</v>
      </c>
      <c r="D141">
        <v>61643</v>
      </c>
      <c r="E141">
        <v>10810.800000000001</v>
      </c>
      <c r="F141">
        <v>-2.5761323858531902</v>
      </c>
      <c r="G141">
        <v>194705</v>
      </c>
    </row>
    <row r="142" spans="1:7" x14ac:dyDescent="0.2">
      <c r="A142" s="1">
        <v>34424</v>
      </c>
      <c r="B142">
        <v>333269</v>
      </c>
      <c r="C142">
        <v>189820</v>
      </c>
      <c r="D142">
        <v>62385</v>
      </c>
      <c r="E142">
        <v>10882.300000000001</v>
      </c>
      <c r="F142">
        <v>-1.8865648100368499</v>
      </c>
      <c r="G142">
        <v>196673</v>
      </c>
    </row>
    <row r="143" spans="1:7" x14ac:dyDescent="0.2">
      <c r="A143" s="1">
        <v>34515</v>
      </c>
      <c r="B143">
        <v>336803</v>
      </c>
      <c r="C143">
        <v>190126</v>
      </c>
      <c r="D143">
        <v>61140</v>
      </c>
      <c r="E143">
        <v>10909.6</v>
      </c>
      <c r="F143">
        <v>-0.89239157257942803</v>
      </c>
      <c r="G143">
        <v>197074</v>
      </c>
    </row>
    <row r="144" spans="1:7" x14ac:dyDescent="0.2">
      <c r="A144" s="1">
        <v>34607</v>
      </c>
      <c r="B144">
        <v>340451</v>
      </c>
      <c r="C144">
        <v>191745</v>
      </c>
      <c r="D144">
        <v>61551</v>
      </c>
      <c r="E144">
        <v>11001.9</v>
      </c>
      <c r="F144">
        <v>-0.230066852953525</v>
      </c>
      <c r="G144">
        <v>198816</v>
      </c>
    </row>
    <row r="145" spans="1:7" x14ac:dyDescent="0.2">
      <c r="A145" s="1">
        <v>34699</v>
      </c>
      <c r="B145">
        <v>342104</v>
      </c>
      <c r="C145">
        <v>193174</v>
      </c>
      <c r="D145">
        <v>61890</v>
      </c>
      <c r="E145">
        <v>11089</v>
      </c>
      <c r="F145">
        <v>4.0169195267356197E-2</v>
      </c>
      <c r="G145">
        <v>200323</v>
      </c>
    </row>
    <row r="146" spans="1:7" x14ac:dyDescent="0.2">
      <c r="A146" s="1">
        <v>34789</v>
      </c>
      <c r="B146">
        <v>342962</v>
      </c>
      <c r="C146">
        <v>193065</v>
      </c>
      <c r="D146">
        <v>61060</v>
      </c>
      <c r="E146">
        <v>11081.199999999999</v>
      </c>
      <c r="F146">
        <v>-0.74365141680633595</v>
      </c>
      <c r="G146">
        <v>200395</v>
      </c>
    </row>
    <row r="147" spans="1:7" x14ac:dyDescent="0.2">
      <c r="A147" s="1">
        <v>34880</v>
      </c>
      <c r="B147">
        <v>343589</v>
      </c>
      <c r="C147">
        <v>194528</v>
      </c>
      <c r="D147">
        <v>61177</v>
      </c>
      <c r="E147">
        <v>11104.6</v>
      </c>
      <c r="F147">
        <v>-1.0812324123911901</v>
      </c>
      <c r="G147">
        <v>201882</v>
      </c>
    </row>
    <row r="148" spans="1:7" x14ac:dyDescent="0.2">
      <c r="A148" s="1">
        <v>34972</v>
      </c>
      <c r="B148">
        <v>347031</v>
      </c>
      <c r="C148">
        <v>195239</v>
      </c>
      <c r="D148">
        <v>61619</v>
      </c>
      <c r="E148">
        <v>11113.699999999999</v>
      </c>
      <c r="F148">
        <v>-0.59078001033174699</v>
      </c>
      <c r="G148">
        <v>202680</v>
      </c>
    </row>
    <row r="149" spans="1:7" x14ac:dyDescent="0.2">
      <c r="A149" s="1">
        <v>35064</v>
      </c>
      <c r="B149">
        <v>347651</v>
      </c>
      <c r="C149">
        <v>197752</v>
      </c>
      <c r="D149">
        <v>61941</v>
      </c>
      <c r="E149">
        <v>11176.1</v>
      </c>
      <c r="F149">
        <v>-1.00161421635132</v>
      </c>
      <c r="G149">
        <v>205247</v>
      </c>
    </row>
    <row r="150" spans="1:7" x14ac:dyDescent="0.2">
      <c r="A150" s="1">
        <v>35155</v>
      </c>
      <c r="B150">
        <v>349056</v>
      </c>
      <c r="C150">
        <v>199735</v>
      </c>
      <c r="D150">
        <v>63561</v>
      </c>
      <c r="E150">
        <v>11178.699999999999</v>
      </c>
      <c r="F150">
        <v>-0.67176493919937696</v>
      </c>
      <c r="G150">
        <v>207817</v>
      </c>
    </row>
    <row r="151" spans="1:7" x14ac:dyDescent="0.2">
      <c r="A151" s="1">
        <v>35246</v>
      </c>
      <c r="B151">
        <v>349195</v>
      </c>
      <c r="C151">
        <v>201336</v>
      </c>
      <c r="D151">
        <v>65708</v>
      </c>
      <c r="E151">
        <v>11216.4</v>
      </c>
      <c r="F151">
        <v>-0.90949895832332694</v>
      </c>
      <c r="G151">
        <v>208586</v>
      </c>
    </row>
    <row r="152" spans="1:7" x14ac:dyDescent="0.2">
      <c r="A152" s="1">
        <v>35338</v>
      </c>
      <c r="B152">
        <v>352909</v>
      </c>
      <c r="C152">
        <v>202899</v>
      </c>
      <c r="D152">
        <v>65162</v>
      </c>
      <c r="E152">
        <v>11222.9</v>
      </c>
      <c r="F152">
        <v>-0.98494571975045697</v>
      </c>
      <c r="G152">
        <v>210204</v>
      </c>
    </row>
    <row r="153" spans="1:7" x14ac:dyDescent="0.2">
      <c r="A153" s="1">
        <v>35430</v>
      </c>
      <c r="B153">
        <v>356423</v>
      </c>
      <c r="C153">
        <v>205440</v>
      </c>
      <c r="D153">
        <v>62889</v>
      </c>
      <c r="E153">
        <v>11259.300000000001</v>
      </c>
      <c r="F153">
        <v>-0.945418596796475</v>
      </c>
      <c r="G153">
        <v>213085</v>
      </c>
    </row>
    <row r="154" spans="1:7" x14ac:dyDescent="0.2">
      <c r="A154" s="1">
        <v>35520</v>
      </c>
      <c r="B154">
        <v>361885</v>
      </c>
      <c r="C154">
        <v>208783</v>
      </c>
      <c r="D154">
        <v>60400</v>
      </c>
      <c r="E154">
        <v>11358.1</v>
      </c>
      <c r="F154">
        <v>-8.1219059248215705E-3</v>
      </c>
      <c r="G154">
        <v>218169</v>
      </c>
    </row>
    <row r="155" spans="1:7" x14ac:dyDescent="0.2">
      <c r="A155" s="1">
        <v>35611</v>
      </c>
      <c r="B155">
        <v>365725</v>
      </c>
      <c r="C155">
        <v>210673</v>
      </c>
      <c r="D155">
        <v>62155</v>
      </c>
      <c r="E155">
        <v>11417.9</v>
      </c>
      <c r="F155">
        <v>7.84111432679543E-2</v>
      </c>
      <c r="G155">
        <v>219782</v>
      </c>
    </row>
    <row r="156" spans="1:7" x14ac:dyDescent="0.2">
      <c r="A156" s="1">
        <v>35703</v>
      </c>
      <c r="B156">
        <v>369141</v>
      </c>
      <c r="C156">
        <v>213437</v>
      </c>
      <c r="D156">
        <v>65271</v>
      </c>
      <c r="E156">
        <v>11442.6</v>
      </c>
      <c r="F156">
        <v>5.2461276338646697E-3</v>
      </c>
      <c r="G156">
        <v>222689</v>
      </c>
    </row>
    <row r="157" spans="1:7" x14ac:dyDescent="0.2">
      <c r="A157" s="1">
        <v>35795</v>
      </c>
      <c r="B157">
        <v>374512</v>
      </c>
      <c r="C157">
        <v>215655</v>
      </c>
      <c r="D157">
        <v>66823</v>
      </c>
      <c r="E157">
        <v>11437.4</v>
      </c>
      <c r="F157">
        <v>-0.113315778004121</v>
      </c>
      <c r="G157">
        <v>225044</v>
      </c>
    </row>
    <row r="158" spans="1:7" x14ac:dyDescent="0.2">
      <c r="A158" s="1">
        <v>35885</v>
      </c>
      <c r="B158">
        <v>376761</v>
      </c>
      <c r="C158">
        <v>217866</v>
      </c>
      <c r="D158">
        <v>67081</v>
      </c>
      <c r="E158">
        <v>11493.300000000001</v>
      </c>
      <c r="F158">
        <v>0.35232580082478598</v>
      </c>
      <c r="G158">
        <v>227397</v>
      </c>
    </row>
    <row r="159" spans="1:7" x14ac:dyDescent="0.2">
      <c r="A159" s="1">
        <v>35976</v>
      </c>
      <c r="B159">
        <v>378766</v>
      </c>
      <c r="C159">
        <v>219509</v>
      </c>
      <c r="D159">
        <v>67628</v>
      </c>
      <c r="E159">
        <v>11493.300000000001</v>
      </c>
      <c r="F159">
        <v>0.18544471888963501</v>
      </c>
      <c r="G159">
        <v>228907</v>
      </c>
    </row>
    <row r="160" spans="1:7" x14ac:dyDescent="0.2">
      <c r="A160" s="1">
        <v>36068</v>
      </c>
      <c r="B160">
        <v>379906</v>
      </c>
      <c r="C160">
        <v>223278</v>
      </c>
      <c r="D160">
        <v>67628</v>
      </c>
      <c r="E160">
        <v>11538.800000000001</v>
      </c>
      <c r="F160">
        <v>0.157845722834311</v>
      </c>
      <c r="G160">
        <v>232585</v>
      </c>
    </row>
    <row r="161" spans="1:7" x14ac:dyDescent="0.2">
      <c r="A161" s="1">
        <v>36160</v>
      </c>
      <c r="B161">
        <v>382282</v>
      </c>
      <c r="C161">
        <v>223130</v>
      </c>
      <c r="D161">
        <v>69647</v>
      </c>
      <c r="E161">
        <v>11481.6</v>
      </c>
      <c r="F161">
        <v>-0.51317086500777798</v>
      </c>
      <c r="G161">
        <v>232330</v>
      </c>
    </row>
    <row r="162" spans="1:7" x14ac:dyDescent="0.2">
      <c r="A162" s="1">
        <v>36250</v>
      </c>
      <c r="B162">
        <v>385025</v>
      </c>
      <c r="C162">
        <v>225755</v>
      </c>
      <c r="D162">
        <v>69082</v>
      </c>
      <c r="E162">
        <v>11547.9</v>
      </c>
      <c r="F162">
        <v>-0.37218782460312799</v>
      </c>
      <c r="G162">
        <v>235028</v>
      </c>
    </row>
    <row r="163" spans="1:7" x14ac:dyDescent="0.2">
      <c r="A163" s="1">
        <v>36341</v>
      </c>
      <c r="B163">
        <v>386581</v>
      </c>
      <c r="C163">
        <v>230078</v>
      </c>
      <c r="D163">
        <v>68383</v>
      </c>
      <c r="E163">
        <v>11577.800000000001</v>
      </c>
      <c r="F163">
        <v>4.5365294861338799E-2</v>
      </c>
      <c r="G163">
        <v>239530</v>
      </c>
    </row>
    <row r="164" spans="1:7" x14ac:dyDescent="0.2">
      <c r="A164" s="1">
        <v>36433</v>
      </c>
      <c r="B164">
        <v>393078</v>
      </c>
      <c r="C164">
        <v>232417</v>
      </c>
      <c r="D164">
        <v>70284</v>
      </c>
      <c r="E164">
        <v>11632.4</v>
      </c>
      <c r="F164">
        <v>0.16262397978819501</v>
      </c>
      <c r="G164">
        <v>242005</v>
      </c>
    </row>
    <row r="165" spans="1:7" x14ac:dyDescent="0.2">
      <c r="A165" s="1">
        <v>36525</v>
      </c>
      <c r="B165">
        <v>398776</v>
      </c>
      <c r="C165">
        <v>234208</v>
      </c>
      <c r="D165">
        <v>69588</v>
      </c>
      <c r="E165">
        <v>11661</v>
      </c>
      <c r="F165">
        <v>0.81451014866165805</v>
      </c>
      <c r="G165">
        <v>243974</v>
      </c>
    </row>
    <row r="166" spans="1:7" x14ac:dyDescent="0.2">
      <c r="A166" s="1">
        <v>36616</v>
      </c>
      <c r="B166">
        <v>403407</v>
      </c>
      <c r="C166">
        <v>237565</v>
      </c>
      <c r="D166">
        <v>71669</v>
      </c>
      <c r="E166">
        <v>11497.199999999999</v>
      </c>
      <c r="F166">
        <v>-0.807077862700738</v>
      </c>
      <c r="G166">
        <v>247346</v>
      </c>
    </row>
    <row r="167" spans="1:7" x14ac:dyDescent="0.2">
      <c r="A167" s="1">
        <v>36707</v>
      </c>
      <c r="B167">
        <v>406049</v>
      </c>
      <c r="C167">
        <v>240039</v>
      </c>
      <c r="D167">
        <v>75861</v>
      </c>
      <c r="E167">
        <v>11638.9</v>
      </c>
      <c r="F167">
        <v>0.53264032273610096</v>
      </c>
      <c r="G167">
        <v>249813</v>
      </c>
    </row>
    <row r="168" spans="1:7" x14ac:dyDescent="0.2">
      <c r="A168" s="1">
        <v>36799</v>
      </c>
      <c r="B168">
        <v>408120</v>
      </c>
      <c r="C168">
        <v>242727</v>
      </c>
      <c r="D168">
        <v>70315</v>
      </c>
      <c r="E168">
        <v>11648</v>
      </c>
      <c r="F168">
        <v>0.271806601737618</v>
      </c>
      <c r="G168">
        <v>252653</v>
      </c>
    </row>
    <row r="169" spans="1:7" x14ac:dyDescent="0.2">
      <c r="A169" s="1">
        <v>36891</v>
      </c>
      <c r="B169">
        <v>409871</v>
      </c>
      <c r="C169">
        <v>245076</v>
      </c>
      <c r="D169">
        <v>72710</v>
      </c>
      <c r="E169">
        <v>11744.199999999999</v>
      </c>
      <c r="F169">
        <v>0.70674457035057403</v>
      </c>
      <c r="G169">
        <v>255066</v>
      </c>
    </row>
    <row r="170" spans="1:7" x14ac:dyDescent="0.2">
      <c r="A170" s="1">
        <v>36981</v>
      </c>
      <c r="B170">
        <v>413381</v>
      </c>
      <c r="C170">
        <v>245915</v>
      </c>
      <c r="D170">
        <v>72802</v>
      </c>
      <c r="E170">
        <v>11706.5</v>
      </c>
      <c r="F170">
        <v>0.41762760247680097</v>
      </c>
      <c r="G170">
        <v>255980</v>
      </c>
    </row>
    <row r="171" spans="1:7" x14ac:dyDescent="0.2">
      <c r="A171" s="1">
        <v>37072</v>
      </c>
      <c r="B171">
        <v>414894</v>
      </c>
      <c r="C171">
        <v>247757</v>
      </c>
      <c r="D171">
        <v>74549</v>
      </c>
      <c r="E171">
        <v>11783.199999999999</v>
      </c>
      <c r="F171">
        <v>0.27171772306839898</v>
      </c>
      <c r="G171">
        <v>257706</v>
      </c>
    </row>
    <row r="172" spans="1:7" x14ac:dyDescent="0.2">
      <c r="A172" s="1">
        <v>37164</v>
      </c>
      <c r="B172">
        <v>416803</v>
      </c>
      <c r="C172">
        <v>251391</v>
      </c>
      <c r="D172">
        <v>74141</v>
      </c>
      <c r="E172">
        <v>11763.699999999999</v>
      </c>
      <c r="F172">
        <v>2.9738324737060302E-2</v>
      </c>
      <c r="G172">
        <v>261481</v>
      </c>
    </row>
    <row r="173" spans="1:7" x14ac:dyDescent="0.2">
      <c r="A173" s="1">
        <v>37256</v>
      </c>
      <c r="B173">
        <v>417480</v>
      </c>
      <c r="C173">
        <v>253365</v>
      </c>
      <c r="D173">
        <v>72261</v>
      </c>
      <c r="E173">
        <v>11745.5</v>
      </c>
      <c r="F173">
        <v>-0.63993486982955505</v>
      </c>
      <c r="G173">
        <v>263550</v>
      </c>
    </row>
    <row r="174" spans="1:7" x14ac:dyDescent="0.2">
      <c r="A174" s="1">
        <v>37346</v>
      </c>
      <c r="B174">
        <v>418930</v>
      </c>
      <c r="C174">
        <v>254416</v>
      </c>
      <c r="D174">
        <v>72191</v>
      </c>
      <c r="E174">
        <v>11719.5</v>
      </c>
      <c r="F174">
        <v>-0.63539245314266801</v>
      </c>
      <c r="G174">
        <v>264631</v>
      </c>
    </row>
    <row r="175" spans="1:7" x14ac:dyDescent="0.2">
      <c r="A175" s="1">
        <v>37437</v>
      </c>
      <c r="B175">
        <v>421133</v>
      </c>
      <c r="C175">
        <v>255272</v>
      </c>
      <c r="D175">
        <v>72580</v>
      </c>
      <c r="E175">
        <v>11666.199999999999</v>
      </c>
      <c r="F175">
        <v>-0.84417258489077596</v>
      </c>
      <c r="G175">
        <v>265553</v>
      </c>
    </row>
    <row r="176" spans="1:7" x14ac:dyDescent="0.2">
      <c r="A176" s="1">
        <v>37529</v>
      </c>
      <c r="B176">
        <v>424190</v>
      </c>
      <c r="C176">
        <v>257730</v>
      </c>
      <c r="D176">
        <v>76044</v>
      </c>
      <c r="E176">
        <v>11750.699999999999</v>
      </c>
      <c r="F176">
        <v>-0.47303919311603998</v>
      </c>
      <c r="G176">
        <v>268168</v>
      </c>
    </row>
    <row r="177" spans="1:7" x14ac:dyDescent="0.2">
      <c r="A177" s="1">
        <v>37621</v>
      </c>
      <c r="B177">
        <v>427745</v>
      </c>
      <c r="C177">
        <v>259797</v>
      </c>
      <c r="D177">
        <v>80704</v>
      </c>
      <c r="E177">
        <v>11768.9</v>
      </c>
      <c r="F177">
        <v>-0.23491543059932599</v>
      </c>
      <c r="G177">
        <v>270321</v>
      </c>
    </row>
    <row r="178" spans="1:7" x14ac:dyDescent="0.2">
      <c r="A178" s="1">
        <v>37711</v>
      </c>
      <c r="B178">
        <v>430454</v>
      </c>
      <c r="C178">
        <v>262143</v>
      </c>
      <c r="D178">
        <v>80331</v>
      </c>
      <c r="E178">
        <v>11759.800000000001</v>
      </c>
      <c r="F178">
        <v>-0.412486941757993</v>
      </c>
      <c r="G178">
        <v>272665</v>
      </c>
    </row>
    <row r="179" spans="1:7" x14ac:dyDescent="0.2">
      <c r="A179" s="1">
        <v>37802</v>
      </c>
      <c r="B179">
        <v>434140</v>
      </c>
      <c r="C179">
        <v>265278</v>
      </c>
      <c r="D179">
        <v>75608</v>
      </c>
      <c r="E179">
        <v>11793.6</v>
      </c>
      <c r="F179">
        <v>-0.53365875606219304</v>
      </c>
      <c r="G179">
        <v>275945</v>
      </c>
    </row>
    <row r="180" spans="1:7" x14ac:dyDescent="0.2">
      <c r="A180" s="1">
        <v>37894</v>
      </c>
      <c r="B180">
        <v>438419</v>
      </c>
      <c r="C180">
        <v>266986</v>
      </c>
      <c r="D180">
        <v>77124</v>
      </c>
      <c r="E180">
        <v>11807.9</v>
      </c>
      <c r="F180">
        <v>-0.27587813004151002</v>
      </c>
      <c r="G180">
        <v>277769</v>
      </c>
    </row>
    <row r="181" spans="1:7" x14ac:dyDescent="0.2">
      <c r="A181" s="1">
        <v>37986</v>
      </c>
      <c r="B181">
        <v>441827</v>
      </c>
      <c r="C181">
        <v>268323</v>
      </c>
      <c r="D181">
        <v>77197</v>
      </c>
      <c r="E181">
        <v>11750.699999999999</v>
      </c>
      <c r="F181">
        <v>-0.53389832173649399</v>
      </c>
      <c r="G181">
        <v>279290</v>
      </c>
    </row>
    <row r="182" spans="1:7" x14ac:dyDescent="0.2">
      <c r="A182" s="1">
        <v>38077</v>
      </c>
      <c r="B182">
        <v>443792</v>
      </c>
      <c r="C182">
        <v>270200</v>
      </c>
      <c r="D182">
        <v>79089</v>
      </c>
      <c r="E182">
        <v>11870.300000000001</v>
      </c>
      <c r="F182">
        <v>0.26647992525057201</v>
      </c>
      <c r="G182">
        <v>281254</v>
      </c>
    </row>
    <row r="183" spans="1:7" x14ac:dyDescent="0.2">
      <c r="A183" s="1">
        <v>38168</v>
      </c>
      <c r="B183">
        <v>446140</v>
      </c>
      <c r="C183">
        <v>272716</v>
      </c>
      <c r="D183">
        <v>78698</v>
      </c>
      <c r="E183">
        <v>11827.4</v>
      </c>
      <c r="F183">
        <v>0.178629395119865</v>
      </c>
      <c r="G183">
        <v>283684</v>
      </c>
    </row>
    <row r="184" spans="1:7" x14ac:dyDescent="0.2">
      <c r="A184" s="1">
        <v>38260</v>
      </c>
      <c r="B184">
        <v>447205</v>
      </c>
      <c r="C184">
        <v>274100</v>
      </c>
      <c r="D184">
        <v>80001</v>
      </c>
      <c r="E184">
        <v>11854.699999999999</v>
      </c>
      <c r="F184">
        <v>-2.6019163562299601E-2</v>
      </c>
      <c r="G184">
        <v>285152</v>
      </c>
    </row>
    <row r="185" spans="1:7" x14ac:dyDescent="0.2">
      <c r="A185" s="1">
        <v>38352</v>
      </c>
      <c r="B185">
        <v>448619</v>
      </c>
      <c r="C185">
        <v>276339</v>
      </c>
      <c r="D185">
        <v>80324</v>
      </c>
      <c r="E185">
        <v>11999</v>
      </c>
      <c r="F185">
        <v>0.92820849252594795</v>
      </c>
      <c r="G185">
        <v>287564</v>
      </c>
    </row>
    <row r="186" spans="1:7" x14ac:dyDescent="0.2">
      <c r="A186" s="1">
        <v>38442</v>
      </c>
      <c r="B186">
        <v>451985</v>
      </c>
      <c r="C186">
        <v>279204</v>
      </c>
      <c r="D186">
        <v>81869</v>
      </c>
      <c r="E186">
        <v>12009.4</v>
      </c>
      <c r="F186">
        <v>0.47825978391603902</v>
      </c>
      <c r="G186">
        <v>290423</v>
      </c>
    </row>
    <row r="187" spans="1:7" x14ac:dyDescent="0.2">
      <c r="A187" s="1">
        <v>38533</v>
      </c>
      <c r="B187">
        <v>456263</v>
      </c>
      <c r="C187">
        <v>279049</v>
      </c>
      <c r="D187">
        <v>83577</v>
      </c>
      <c r="E187">
        <v>11997.699999999999</v>
      </c>
      <c r="F187">
        <v>-0.146554301954858</v>
      </c>
      <c r="G187">
        <v>290282</v>
      </c>
    </row>
    <row r="188" spans="1:7" x14ac:dyDescent="0.2">
      <c r="A188" s="1">
        <v>38625</v>
      </c>
      <c r="B188">
        <v>460177</v>
      </c>
      <c r="C188">
        <v>282210</v>
      </c>
      <c r="D188">
        <v>82925</v>
      </c>
      <c r="E188">
        <v>12083.5</v>
      </c>
      <c r="F188">
        <v>9.7562498028776104E-2</v>
      </c>
      <c r="G188">
        <v>293277</v>
      </c>
    </row>
    <row r="189" spans="1:7" x14ac:dyDescent="0.2">
      <c r="A189" s="1">
        <v>38717</v>
      </c>
      <c r="B189">
        <v>464981</v>
      </c>
      <c r="C189">
        <v>283490</v>
      </c>
      <c r="D189">
        <v>83061</v>
      </c>
      <c r="E189">
        <v>12080.9</v>
      </c>
      <c r="F189">
        <v>-2.1319812395411301E-2</v>
      </c>
      <c r="G189">
        <v>294931</v>
      </c>
    </row>
    <row r="190" spans="1:7" x14ac:dyDescent="0.2">
      <c r="A190" s="1">
        <v>38807</v>
      </c>
      <c r="B190">
        <v>466584</v>
      </c>
      <c r="C190">
        <v>282042</v>
      </c>
      <c r="D190">
        <v>83610</v>
      </c>
      <c r="E190">
        <v>12112.1</v>
      </c>
      <c r="F190">
        <v>-2.3841078711659799E-2</v>
      </c>
      <c r="G190">
        <v>293240</v>
      </c>
    </row>
    <row r="191" spans="1:7" x14ac:dyDescent="0.2">
      <c r="A191" s="1">
        <v>38898</v>
      </c>
      <c r="B191">
        <v>467684</v>
      </c>
      <c r="C191">
        <v>282312</v>
      </c>
      <c r="D191">
        <v>83407</v>
      </c>
      <c r="E191">
        <v>12096.5</v>
      </c>
      <c r="F191">
        <v>2.6008595690552701E-2</v>
      </c>
      <c r="G191">
        <v>293251</v>
      </c>
    </row>
    <row r="192" spans="1:7" x14ac:dyDescent="0.2">
      <c r="A192" s="1">
        <v>38990</v>
      </c>
      <c r="B192">
        <v>468351</v>
      </c>
      <c r="C192">
        <v>284064</v>
      </c>
      <c r="D192">
        <v>86763</v>
      </c>
      <c r="E192">
        <v>12113.4</v>
      </c>
      <c r="F192">
        <v>4.9735153865615299E-2</v>
      </c>
      <c r="G192">
        <v>294905</v>
      </c>
    </row>
    <row r="193" spans="1:7" x14ac:dyDescent="0.2">
      <c r="A193" s="1">
        <v>39082</v>
      </c>
      <c r="B193">
        <v>470396</v>
      </c>
      <c r="C193">
        <v>284538</v>
      </c>
      <c r="D193">
        <v>86143</v>
      </c>
      <c r="E193">
        <v>12162.800000000001</v>
      </c>
      <c r="F193">
        <v>0.18561819173264299</v>
      </c>
      <c r="G193">
        <v>295299</v>
      </c>
    </row>
    <row r="194" spans="1:7" x14ac:dyDescent="0.2">
      <c r="A194" s="1">
        <v>39172</v>
      </c>
      <c r="B194">
        <v>475292</v>
      </c>
      <c r="C194">
        <v>287582</v>
      </c>
      <c r="D194">
        <v>86770</v>
      </c>
      <c r="E194">
        <v>12182.300000000001</v>
      </c>
      <c r="F194">
        <v>0.40347744111882</v>
      </c>
      <c r="G194">
        <v>298231</v>
      </c>
    </row>
    <row r="195" spans="1:7" x14ac:dyDescent="0.2">
      <c r="A195" s="1">
        <v>39263</v>
      </c>
      <c r="B195">
        <v>478424</v>
      </c>
      <c r="C195">
        <v>290739</v>
      </c>
      <c r="D195">
        <v>88649</v>
      </c>
      <c r="E195">
        <v>12235.6</v>
      </c>
      <c r="F195">
        <v>0.53144537622745902</v>
      </c>
      <c r="G195">
        <v>301327</v>
      </c>
    </row>
    <row r="196" spans="1:7" x14ac:dyDescent="0.2">
      <c r="A196" s="1">
        <v>39355</v>
      </c>
      <c r="B196">
        <v>482064</v>
      </c>
      <c r="C196">
        <v>296387</v>
      </c>
      <c r="D196">
        <v>85799</v>
      </c>
      <c r="E196">
        <v>12260.300000000001</v>
      </c>
      <c r="F196">
        <v>0.48010253220800297</v>
      </c>
      <c r="G196">
        <v>306955</v>
      </c>
    </row>
    <row r="197" spans="1:7" x14ac:dyDescent="0.2">
      <c r="A197" s="1">
        <v>39447</v>
      </c>
      <c r="B197">
        <v>485249</v>
      </c>
      <c r="C197">
        <v>296111</v>
      </c>
      <c r="D197">
        <v>91560</v>
      </c>
      <c r="E197">
        <v>12260.300000000001</v>
      </c>
      <c r="F197">
        <v>0.38277343429249699</v>
      </c>
      <c r="G197">
        <v>306717</v>
      </c>
    </row>
    <row r="198" spans="1:7" x14ac:dyDescent="0.2">
      <c r="A198" s="1">
        <v>39538</v>
      </c>
      <c r="B198">
        <v>487601</v>
      </c>
      <c r="C198">
        <v>297718</v>
      </c>
      <c r="D198">
        <v>87028</v>
      </c>
      <c r="E198">
        <v>12416.300000000001</v>
      </c>
      <c r="F198">
        <v>0.55044331624851395</v>
      </c>
      <c r="G198">
        <v>308382</v>
      </c>
    </row>
    <row r="199" spans="1:7" x14ac:dyDescent="0.2">
      <c r="A199" s="1">
        <v>39629</v>
      </c>
      <c r="B199">
        <v>485278</v>
      </c>
      <c r="C199">
        <v>293816</v>
      </c>
      <c r="D199">
        <v>87538</v>
      </c>
      <c r="E199">
        <v>12279.800000000001</v>
      </c>
      <c r="F199">
        <v>-0.77293438178607299</v>
      </c>
      <c r="G199">
        <v>304769</v>
      </c>
    </row>
    <row r="200" spans="1:7" x14ac:dyDescent="0.2">
      <c r="A200" s="1">
        <v>39721</v>
      </c>
      <c r="B200">
        <v>477935</v>
      </c>
      <c r="C200">
        <v>288567</v>
      </c>
      <c r="D200">
        <v>83063</v>
      </c>
      <c r="E200">
        <v>12287.6</v>
      </c>
      <c r="F200">
        <v>-1.12976402245677</v>
      </c>
      <c r="G200">
        <v>299674</v>
      </c>
    </row>
    <row r="201" spans="1:7" x14ac:dyDescent="0.2">
      <c r="A201" s="1">
        <v>39813</v>
      </c>
      <c r="B201">
        <v>467250</v>
      </c>
      <c r="C201">
        <v>281229</v>
      </c>
      <c r="D201">
        <v>81585</v>
      </c>
      <c r="E201">
        <v>12213.5</v>
      </c>
      <c r="F201">
        <v>-2.2975332135961799</v>
      </c>
      <c r="G201">
        <v>292608</v>
      </c>
    </row>
    <row r="202" spans="1:7" x14ac:dyDescent="0.2">
      <c r="A202" s="1">
        <v>39903</v>
      </c>
      <c r="B202">
        <v>458181</v>
      </c>
      <c r="C202">
        <v>280072</v>
      </c>
      <c r="D202">
        <v>76320</v>
      </c>
      <c r="E202">
        <v>12005.5</v>
      </c>
      <c r="F202">
        <v>-3.88840772529529</v>
      </c>
      <c r="G202">
        <v>291571</v>
      </c>
    </row>
    <row r="203" spans="1:7" x14ac:dyDescent="0.2">
      <c r="A203" s="1">
        <v>39994</v>
      </c>
      <c r="B203">
        <v>456867</v>
      </c>
      <c r="C203">
        <v>279347</v>
      </c>
      <c r="D203">
        <v>73206</v>
      </c>
      <c r="E203">
        <v>11961.300000000001</v>
      </c>
      <c r="F203">
        <v>-4.0055228293998999</v>
      </c>
      <c r="G203">
        <v>291016</v>
      </c>
    </row>
    <row r="204" spans="1:7" x14ac:dyDescent="0.2">
      <c r="A204" s="1">
        <v>40086</v>
      </c>
      <c r="B204">
        <v>457471</v>
      </c>
      <c r="C204">
        <v>280520</v>
      </c>
      <c r="D204">
        <v>74047</v>
      </c>
      <c r="E204">
        <v>11897.6</v>
      </c>
      <c r="F204">
        <v>-4.0528499195683798</v>
      </c>
      <c r="G204">
        <v>292430</v>
      </c>
    </row>
    <row r="205" spans="1:7" x14ac:dyDescent="0.2">
      <c r="A205" s="1">
        <v>40178</v>
      </c>
      <c r="B205">
        <v>459031</v>
      </c>
      <c r="C205">
        <v>282802</v>
      </c>
      <c r="D205">
        <v>72917</v>
      </c>
      <c r="E205">
        <v>11902.800000000001</v>
      </c>
      <c r="F205">
        <v>-4.2009130634097103</v>
      </c>
      <c r="G205">
        <v>294785</v>
      </c>
    </row>
    <row r="206" spans="1:7" x14ac:dyDescent="0.2">
      <c r="A206" s="1">
        <v>40268</v>
      </c>
      <c r="B206">
        <v>463391</v>
      </c>
      <c r="C206">
        <v>281251</v>
      </c>
      <c r="D206">
        <v>75936</v>
      </c>
      <c r="E206">
        <v>11887.199999999999</v>
      </c>
      <c r="F206">
        <v>-3.9185325981327699</v>
      </c>
      <c r="G206">
        <v>293140</v>
      </c>
    </row>
    <row r="207" spans="1:7" x14ac:dyDescent="0.2">
      <c r="A207" s="1">
        <v>40359</v>
      </c>
      <c r="B207">
        <v>468691</v>
      </c>
      <c r="C207">
        <v>288043</v>
      </c>
      <c r="D207">
        <v>75577</v>
      </c>
      <c r="E207">
        <v>11989.9</v>
      </c>
      <c r="F207">
        <v>-3.1723100549145902</v>
      </c>
      <c r="G207">
        <v>299974</v>
      </c>
    </row>
    <row r="208" spans="1:7" x14ac:dyDescent="0.2">
      <c r="A208" s="1">
        <v>40451</v>
      </c>
      <c r="B208">
        <v>471664</v>
      </c>
      <c r="C208">
        <v>288156</v>
      </c>
      <c r="D208">
        <v>78355</v>
      </c>
      <c r="E208">
        <v>12049.699999999999</v>
      </c>
      <c r="F208">
        <v>-2.7290281558330398</v>
      </c>
      <c r="G208">
        <v>300046</v>
      </c>
    </row>
    <row r="209" spans="1:7" x14ac:dyDescent="0.2">
      <c r="A209" s="1">
        <v>40543</v>
      </c>
      <c r="B209">
        <v>472312</v>
      </c>
      <c r="C209">
        <v>288053</v>
      </c>
      <c r="D209">
        <v>80277</v>
      </c>
      <c r="E209">
        <v>12101.699999999999</v>
      </c>
      <c r="F209">
        <v>-2.6316096694881299</v>
      </c>
      <c r="G209">
        <v>299875</v>
      </c>
    </row>
    <row r="210" spans="1:7" x14ac:dyDescent="0.2">
      <c r="A210" s="1">
        <v>40633</v>
      </c>
      <c r="B210">
        <v>473510</v>
      </c>
      <c r="C210">
        <v>285435</v>
      </c>
      <c r="D210">
        <v>76536</v>
      </c>
      <c r="E210">
        <v>12106.9</v>
      </c>
      <c r="F210">
        <v>-2.66505358479795</v>
      </c>
      <c r="G210">
        <v>297110</v>
      </c>
    </row>
    <row r="211" spans="1:7" x14ac:dyDescent="0.2">
      <c r="A211" s="1">
        <v>40724</v>
      </c>
      <c r="B211">
        <v>473773</v>
      </c>
      <c r="C211">
        <v>284431</v>
      </c>
      <c r="D211">
        <v>75777</v>
      </c>
      <c r="E211">
        <v>11978.199999999999</v>
      </c>
      <c r="F211">
        <v>-3.6943200198603998</v>
      </c>
      <c r="G211">
        <v>296450</v>
      </c>
    </row>
    <row r="212" spans="1:7" x14ac:dyDescent="0.2">
      <c r="A212" s="1">
        <v>40816</v>
      </c>
      <c r="B212">
        <v>474501</v>
      </c>
      <c r="C212">
        <v>285275</v>
      </c>
      <c r="D212">
        <v>77630</v>
      </c>
      <c r="E212">
        <v>12051</v>
      </c>
      <c r="F212">
        <v>-3.8120293220679602</v>
      </c>
      <c r="G212">
        <v>297249</v>
      </c>
    </row>
    <row r="213" spans="1:7" x14ac:dyDescent="0.2">
      <c r="A213" s="1">
        <v>40908</v>
      </c>
      <c r="B213">
        <v>474303</v>
      </c>
      <c r="C213">
        <v>286167</v>
      </c>
      <c r="D213">
        <v>78834</v>
      </c>
      <c r="E213">
        <v>12038</v>
      </c>
      <c r="F213">
        <v>-3.7258453786213002</v>
      </c>
      <c r="G213">
        <v>298141</v>
      </c>
    </row>
    <row r="214" spans="1:7" x14ac:dyDescent="0.2">
      <c r="A214" s="1">
        <v>40999</v>
      </c>
      <c r="B214">
        <v>478242</v>
      </c>
      <c r="C214">
        <v>285849</v>
      </c>
      <c r="D214">
        <v>79787</v>
      </c>
      <c r="E214">
        <v>12153.699999999999</v>
      </c>
      <c r="F214">
        <v>-3.43778830594704</v>
      </c>
      <c r="G214">
        <v>297832</v>
      </c>
    </row>
    <row r="215" spans="1:7" x14ac:dyDescent="0.2">
      <c r="A215" s="1">
        <v>41090</v>
      </c>
      <c r="B215">
        <v>477974</v>
      </c>
      <c r="C215">
        <v>288126</v>
      </c>
      <c r="D215">
        <v>76275</v>
      </c>
      <c r="E215">
        <v>12236.9</v>
      </c>
      <c r="F215">
        <v>-2.9927688696174499</v>
      </c>
      <c r="G215">
        <v>300234</v>
      </c>
    </row>
    <row r="216" spans="1:7" x14ac:dyDescent="0.2">
      <c r="A216" s="1">
        <v>41182</v>
      </c>
      <c r="B216">
        <v>483913</v>
      </c>
      <c r="C216">
        <v>291399</v>
      </c>
      <c r="D216">
        <v>75588</v>
      </c>
      <c r="E216">
        <v>12360.4</v>
      </c>
      <c r="F216">
        <v>-2.54145137364966</v>
      </c>
      <c r="G216">
        <v>303693</v>
      </c>
    </row>
    <row r="217" spans="1:7" x14ac:dyDescent="0.2">
      <c r="A217" s="1">
        <v>41274</v>
      </c>
      <c r="B217">
        <v>483422</v>
      </c>
      <c r="C217">
        <v>295844</v>
      </c>
      <c r="D217">
        <v>79483</v>
      </c>
      <c r="E217">
        <v>12398.1</v>
      </c>
      <c r="F217">
        <v>-2.57651501674182</v>
      </c>
      <c r="G217">
        <v>307546</v>
      </c>
    </row>
    <row r="218" spans="1:7" x14ac:dyDescent="0.2">
      <c r="A218" s="1">
        <v>41364</v>
      </c>
      <c r="B218">
        <v>484555</v>
      </c>
      <c r="C218">
        <v>294306</v>
      </c>
      <c r="D218">
        <v>76378</v>
      </c>
      <c r="E218">
        <v>12408.5</v>
      </c>
      <c r="F218">
        <v>-2.84207261026839</v>
      </c>
      <c r="G218">
        <v>305970</v>
      </c>
    </row>
    <row r="219" spans="1:7" x14ac:dyDescent="0.2">
      <c r="A219" s="1">
        <v>41455</v>
      </c>
      <c r="B219">
        <v>487845</v>
      </c>
      <c r="C219">
        <v>297426</v>
      </c>
      <c r="D219">
        <v>80289</v>
      </c>
      <c r="E219">
        <v>12442.300000000001</v>
      </c>
      <c r="F219">
        <v>-2.8344589558679498</v>
      </c>
      <c r="G219">
        <v>308960</v>
      </c>
    </row>
    <row r="220" spans="1:7" x14ac:dyDescent="0.2">
      <c r="A220" s="1">
        <v>41547</v>
      </c>
      <c r="B220">
        <v>491499</v>
      </c>
      <c r="C220">
        <v>301101</v>
      </c>
      <c r="D220">
        <v>82244</v>
      </c>
      <c r="E220">
        <v>12589.199999999999</v>
      </c>
      <c r="F220">
        <v>-1.9742831924606901</v>
      </c>
      <c r="G220">
        <v>312553</v>
      </c>
    </row>
    <row r="221" spans="1:7" x14ac:dyDescent="0.2">
      <c r="A221" s="1">
        <v>41639</v>
      </c>
      <c r="B221">
        <v>494658</v>
      </c>
      <c r="C221">
        <v>302250</v>
      </c>
      <c r="D221">
        <v>82874</v>
      </c>
      <c r="E221">
        <v>12611.300000000001</v>
      </c>
      <c r="F221">
        <v>-2.1932674851888301</v>
      </c>
      <c r="G221">
        <v>313427</v>
      </c>
    </row>
    <row r="222" spans="1:7" x14ac:dyDescent="0.2">
      <c r="A222" s="1">
        <v>41729</v>
      </c>
      <c r="B222">
        <v>499294</v>
      </c>
      <c r="C222">
        <v>303961</v>
      </c>
      <c r="D222">
        <v>84993</v>
      </c>
      <c r="E222">
        <v>12725.699999999999</v>
      </c>
      <c r="F222">
        <v>-1.8826407457668499</v>
      </c>
      <c r="G222">
        <v>315044</v>
      </c>
    </row>
    <row r="223" spans="1:7" x14ac:dyDescent="0.2">
      <c r="A223" s="1">
        <v>41820</v>
      </c>
      <c r="B223">
        <v>503659</v>
      </c>
      <c r="C223">
        <v>306730</v>
      </c>
      <c r="D223">
        <v>84580</v>
      </c>
      <c r="E223">
        <v>12849.199999999999</v>
      </c>
      <c r="F223">
        <v>-1.3812830361864601</v>
      </c>
      <c r="G223">
        <v>317428</v>
      </c>
    </row>
    <row r="224" spans="1:7" x14ac:dyDescent="0.2">
      <c r="A224" s="1">
        <v>41912</v>
      </c>
      <c r="B224">
        <v>507485</v>
      </c>
      <c r="C224">
        <v>310884</v>
      </c>
      <c r="D224">
        <v>86321</v>
      </c>
      <c r="E224">
        <v>12890.800000000001</v>
      </c>
      <c r="F224">
        <v>-1.3362078413907901</v>
      </c>
      <c r="G224">
        <v>321558</v>
      </c>
    </row>
    <row r="225" spans="1:7" x14ac:dyDescent="0.2">
      <c r="A225" s="1">
        <v>42004</v>
      </c>
      <c r="B225">
        <v>510787</v>
      </c>
      <c r="C225">
        <v>311922</v>
      </c>
      <c r="D225">
        <v>87264</v>
      </c>
      <c r="E225">
        <v>12967.5</v>
      </c>
      <c r="F225">
        <v>-1.25002526229075</v>
      </c>
      <c r="G225">
        <v>322618</v>
      </c>
    </row>
    <row r="226" spans="1:7" x14ac:dyDescent="0.2">
      <c r="A226" s="1">
        <v>42094</v>
      </c>
      <c r="B226">
        <v>512895</v>
      </c>
      <c r="C226">
        <v>314985</v>
      </c>
      <c r="D226">
        <v>90986</v>
      </c>
      <c r="E226">
        <v>13003.9</v>
      </c>
      <c r="F226">
        <v>-1.3073327594369699</v>
      </c>
      <c r="G226">
        <v>325701</v>
      </c>
    </row>
    <row r="227" spans="1:7" x14ac:dyDescent="0.2">
      <c r="A227" s="1">
        <v>42185</v>
      </c>
      <c r="B227">
        <v>516141</v>
      </c>
      <c r="C227">
        <v>316696</v>
      </c>
      <c r="D227">
        <v>91126</v>
      </c>
      <c r="E227">
        <v>12987</v>
      </c>
      <c r="F227">
        <v>-1.46470023983966</v>
      </c>
      <c r="G227">
        <v>327898</v>
      </c>
    </row>
    <row r="228" spans="1:7" x14ac:dyDescent="0.2">
      <c r="A228" s="1">
        <v>42277</v>
      </c>
      <c r="B228">
        <v>518365</v>
      </c>
      <c r="C228">
        <v>320984</v>
      </c>
      <c r="D228">
        <v>90440</v>
      </c>
      <c r="E228">
        <v>12990.9</v>
      </c>
      <c r="F228">
        <v>-1.2747421779619901</v>
      </c>
      <c r="G228">
        <v>332171</v>
      </c>
    </row>
    <row r="229" spans="1:7" x14ac:dyDescent="0.2">
      <c r="A229" s="1">
        <v>42369</v>
      </c>
      <c r="B229">
        <v>522194</v>
      </c>
      <c r="C229">
        <v>319709</v>
      </c>
      <c r="D229">
        <v>93017</v>
      </c>
      <c r="E229">
        <v>13247</v>
      </c>
      <c r="F229">
        <v>-0.81574917746284004</v>
      </c>
      <c r="G229">
        <v>330842</v>
      </c>
    </row>
    <row r="230" spans="1:7" x14ac:dyDescent="0.2">
      <c r="A230" s="1">
        <v>42460</v>
      </c>
      <c r="B230">
        <v>524102</v>
      </c>
      <c r="C230">
        <v>326708</v>
      </c>
      <c r="D230">
        <v>94551</v>
      </c>
      <c r="E230">
        <v>13180.699999999999</v>
      </c>
      <c r="F230">
        <v>-0.670885059976979</v>
      </c>
      <c r="G230">
        <v>337671</v>
      </c>
    </row>
    <row r="231" spans="1:7" x14ac:dyDescent="0.2">
      <c r="A231" s="1">
        <v>42551</v>
      </c>
      <c r="B231">
        <v>527401</v>
      </c>
      <c r="C231">
        <v>329914</v>
      </c>
      <c r="D231">
        <v>95674</v>
      </c>
      <c r="E231">
        <v>13214.5</v>
      </c>
      <c r="F231">
        <v>-0.95230901048582905</v>
      </c>
      <c r="G231">
        <v>340652</v>
      </c>
    </row>
    <row r="232" spans="1:7" x14ac:dyDescent="0.2">
      <c r="A232" s="1">
        <v>42643</v>
      </c>
      <c r="B232">
        <v>529730</v>
      </c>
      <c r="C232">
        <v>332474</v>
      </c>
      <c r="D232">
        <v>97398</v>
      </c>
      <c r="E232">
        <v>13245.699999999999</v>
      </c>
      <c r="F232">
        <v>-0.74176939552118804</v>
      </c>
      <c r="G232">
        <v>343126</v>
      </c>
    </row>
    <row r="233" spans="1:7" x14ac:dyDescent="0.2">
      <c r="A233" s="1">
        <v>42735</v>
      </c>
      <c r="B233">
        <v>533173</v>
      </c>
      <c r="C233">
        <v>332130</v>
      </c>
      <c r="D233">
        <v>95826</v>
      </c>
      <c r="E233">
        <v>13297.699999999999</v>
      </c>
      <c r="F233">
        <v>-0.67478306722583303</v>
      </c>
      <c r="G233">
        <v>342819</v>
      </c>
    </row>
    <row r="234" spans="1:7" x14ac:dyDescent="0.2">
      <c r="A234" s="1">
        <v>42825</v>
      </c>
      <c r="B234">
        <v>537114</v>
      </c>
      <c r="C234">
        <v>334933</v>
      </c>
      <c r="D234">
        <v>97750</v>
      </c>
      <c r="E234">
        <v>13380.9</v>
      </c>
      <c r="F234">
        <v>-0.56431528803061204</v>
      </c>
      <c r="G234">
        <v>345765</v>
      </c>
    </row>
    <row r="235" spans="1:7" x14ac:dyDescent="0.2">
      <c r="A235" s="1">
        <v>42916</v>
      </c>
      <c r="B235">
        <v>539994</v>
      </c>
      <c r="C235">
        <v>334963</v>
      </c>
      <c r="D235">
        <v>99356</v>
      </c>
      <c r="E235">
        <v>13452.4</v>
      </c>
      <c r="F235">
        <v>-0.63519953449580302</v>
      </c>
      <c r="G235">
        <v>345922</v>
      </c>
    </row>
    <row r="236" spans="1:7" x14ac:dyDescent="0.2">
      <c r="A236" s="1">
        <v>43008</v>
      </c>
      <c r="B236">
        <v>542780</v>
      </c>
      <c r="C236">
        <v>337224</v>
      </c>
      <c r="D236">
        <v>99163</v>
      </c>
      <c r="E236">
        <v>13318.5</v>
      </c>
      <c r="F236">
        <v>-0.80360708479073395</v>
      </c>
      <c r="G236">
        <v>348463</v>
      </c>
    </row>
    <row r="237" spans="1:7" x14ac:dyDescent="0.2">
      <c r="A237" s="1">
        <v>43100</v>
      </c>
      <c r="B237">
        <v>546185</v>
      </c>
      <c r="C237">
        <v>338888</v>
      </c>
      <c r="D237">
        <v>100638</v>
      </c>
      <c r="E237">
        <v>13349.7</v>
      </c>
      <c r="F237">
        <v>-0.83009864733065897</v>
      </c>
      <c r="G237">
        <v>350532</v>
      </c>
    </row>
    <row r="238" spans="1:7" x14ac:dyDescent="0.2">
      <c r="A238" s="1">
        <v>43190</v>
      </c>
      <c r="B238">
        <v>547003</v>
      </c>
      <c r="C238">
        <v>341374</v>
      </c>
      <c r="D238">
        <v>98919</v>
      </c>
      <c r="E238">
        <v>13414.7</v>
      </c>
      <c r="F238">
        <v>-0.90531947100805399</v>
      </c>
      <c r="G238">
        <v>353380</v>
      </c>
    </row>
    <row r="239" spans="1:7" x14ac:dyDescent="0.2">
      <c r="A239" s="1">
        <v>43281</v>
      </c>
      <c r="B239">
        <v>549491</v>
      </c>
      <c r="C239">
        <v>341220</v>
      </c>
      <c r="D239">
        <v>98831</v>
      </c>
      <c r="E239">
        <v>13436.8</v>
      </c>
      <c r="F239">
        <v>-0.74790025723690201</v>
      </c>
      <c r="G239">
        <v>353669</v>
      </c>
    </row>
    <row r="240" spans="1:7" x14ac:dyDescent="0.2">
      <c r="A240" s="1">
        <v>43373</v>
      </c>
      <c r="B240">
        <v>552545</v>
      </c>
      <c r="C240">
        <v>343847</v>
      </c>
      <c r="D240">
        <v>99335</v>
      </c>
      <c r="E240">
        <v>13555.1</v>
      </c>
      <c r="F240">
        <v>-0.56254020880290001</v>
      </c>
      <c r="G240">
        <v>356836</v>
      </c>
    </row>
    <row r="241" spans="1:7" x14ac:dyDescent="0.2">
      <c r="A241" s="1">
        <v>43465</v>
      </c>
      <c r="B241">
        <v>553966</v>
      </c>
      <c r="C241">
        <v>347610</v>
      </c>
      <c r="D241">
        <v>98882</v>
      </c>
      <c r="E241">
        <v>13546</v>
      </c>
      <c r="F241">
        <v>-0.54888891775288096</v>
      </c>
      <c r="G241">
        <v>361038</v>
      </c>
    </row>
    <row r="242" spans="1:7" x14ac:dyDescent="0.2">
      <c r="A242" s="1">
        <v>43555</v>
      </c>
      <c r="B242">
        <v>557458</v>
      </c>
      <c r="C242">
        <v>346305</v>
      </c>
      <c r="D242">
        <v>101096</v>
      </c>
      <c r="E242">
        <v>13687.7</v>
      </c>
      <c r="F242">
        <v>-0.12737372541283701</v>
      </c>
      <c r="G242">
        <v>359662</v>
      </c>
    </row>
    <row r="243" spans="1:7" x14ac:dyDescent="0.2">
      <c r="A243" s="1">
        <v>43646</v>
      </c>
      <c r="B243">
        <v>558071</v>
      </c>
      <c r="C243">
        <v>348077</v>
      </c>
      <c r="D243">
        <v>99966</v>
      </c>
      <c r="E243">
        <v>13683.8</v>
      </c>
      <c r="F243">
        <v>-0.56532865943801702</v>
      </c>
      <c r="G243">
        <v>361294</v>
      </c>
    </row>
    <row r="244" spans="1:7" x14ac:dyDescent="0.2">
      <c r="A244" s="1">
        <v>43738</v>
      </c>
      <c r="B244">
        <v>561480</v>
      </c>
      <c r="C244">
        <v>347094</v>
      </c>
      <c r="D244">
        <v>101637</v>
      </c>
      <c r="E244">
        <v>13683.8</v>
      </c>
      <c r="F244">
        <v>-0.44907607470031002</v>
      </c>
      <c r="G244">
        <v>360291</v>
      </c>
    </row>
    <row r="245" spans="1:7" x14ac:dyDescent="0.2">
      <c r="A245" s="1">
        <v>43830</v>
      </c>
      <c r="B245">
        <v>561339</v>
      </c>
      <c r="C245">
        <v>346188</v>
      </c>
      <c r="D245">
        <v>100666</v>
      </c>
      <c r="E245">
        <v>13651.3</v>
      </c>
      <c r="F245">
        <v>-0.54951317045913195</v>
      </c>
      <c r="G245">
        <v>358794</v>
      </c>
    </row>
    <row r="246" spans="1:7" x14ac:dyDescent="0.2">
      <c r="A246" s="1">
        <v>43921</v>
      </c>
      <c r="B246">
        <v>546515</v>
      </c>
      <c r="C246">
        <v>336134</v>
      </c>
      <c r="D246">
        <v>96825</v>
      </c>
      <c r="E246">
        <v>13425.1</v>
      </c>
      <c r="F246">
        <v>-0.62816482275602004</v>
      </c>
      <c r="G246">
        <v>348331</v>
      </c>
    </row>
    <row r="247" spans="1:7" x14ac:dyDescent="0.2">
      <c r="A247" s="1">
        <v>44012</v>
      </c>
      <c r="B247">
        <v>431794</v>
      </c>
      <c r="C247">
        <v>259158</v>
      </c>
      <c r="D247">
        <v>78812</v>
      </c>
      <c r="E247">
        <v>11029.199999999999</v>
      </c>
      <c r="F247">
        <v>-2.7953173424120599</v>
      </c>
      <c r="G247">
        <v>268018</v>
      </c>
    </row>
    <row r="248" spans="1:7" x14ac:dyDescent="0.2">
      <c r="A248" s="1">
        <v>44104</v>
      </c>
      <c r="B248">
        <v>503509</v>
      </c>
      <c r="C248">
        <v>308681</v>
      </c>
      <c r="D248">
        <v>91209</v>
      </c>
      <c r="E248">
        <v>11906.699999999999</v>
      </c>
      <c r="F248">
        <v>-1.9686756956890199</v>
      </c>
      <c r="G248">
        <v>319158</v>
      </c>
    </row>
    <row r="249" spans="1:7" x14ac:dyDescent="0.2">
      <c r="A249" s="1">
        <v>44196</v>
      </c>
      <c r="B249">
        <v>509621</v>
      </c>
      <c r="C249">
        <v>304080</v>
      </c>
      <c r="D249">
        <v>94156</v>
      </c>
      <c r="E249">
        <v>12585.300000000001</v>
      </c>
      <c r="F249">
        <v>-1.6890834060590401</v>
      </c>
      <c r="G249">
        <v>314856</v>
      </c>
    </row>
    <row r="250" spans="1:7" x14ac:dyDescent="0.2">
      <c r="A250" s="1">
        <v>44286</v>
      </c>
      <c r="B250">
        <v>504255</v>
      </c>
      <c r="C250">
        <v>293745</v>
      </c>
      <c r="D250">
        <v>92604</v>
      </c>
      <c r="E250">
        <v>12378.6</v>
      </c>
      <c r="F250">
        <v>-0.91134538553109801</v>
      </c>
      <c r="G250">
        <v>303550</v>
      </c>
    </row>
    <row r="251" spans="1:7" x14ac:dyDescent="0.2">
      <c r="A251" s="1">
        <v>44377</v>
      </c>
      <c r="B251">
        <v>537175</v>
      </c>
      <c r="C251">
        <v>323597</v>
      </c>
      <c r="D251">
        <v>96351</v>
      </c>
      <c r="E251">
        <v>13041.6</v>
      </c>
      <c r="F251">
        <v>0.12639862996818901</v>
      </c>
      <c r="G251">
        <v>334971</v>
      </c>
    </row>
    <row r="252" spans="1:7" x14ac:dyDescent="0.2">
      <c r="A252" s="1">
        <v>44469</v>
      </c>
      <c r="B252">
        <v>546487</v>
      </c>
      <c r="C252">
        <v>332958</v>
      </c>
      <c r="D252">
        <v>97221</v>
      </c>
      <c r="E252">
        <v>13382.2</v>
      </c>
      <c r="F252">
        <v>0.25699063180405901</v>
      </c>
      <c r="G252">
        <v>344597</v>
      </c>
    </row>
    <row r="253" spans="1:7" x14ac:dyDescent="0.2">
      <c r="A253" s="1">
        <v>44561</v>
      </c>
      <c r="B253">
        <v>554821</v>
      </c>
      <c r="C253">
        <v>333650</v>
      </c>
      <c r="D253">
        <v>96819</v>
      </c>
      <c r="E253">
        <v>13387.4</v>
      </c>
      <c r="F253">
        <v>0.77406084237628303</v>
      </c>
      <c r="G253">
        <v>345363</v>
      </c>
    </row>
    <row r="254" spans="1:7" x14ac:dyDescent="0.2">
      <c r="A254" s="1">
        <v>44651</v>
      </c>
      <c r="B254">
        <v>557524</v>
      </c>
      <c r="C254">
        <v>337725</v>
      </c>
      <c r="D254">
        <v>105123</v>
      </c>
      <c r="E254">
        <v>13565.5</v>
      </c>
      <c r="F254">
        <v>1.35170655647102</v>
      </c>
      <c r="G254">
        <v>350106</v>
      </c>
    </row>
    <row r="255" spans="1:7" x14ac:dyDescent="0.2">
      <c r="A255" s="1">
        <v>44742</v>
      </c>
      <c r="B255">
        <v>557810</v>
      </c>
      <c r="C255">
        <v>338452</v>
      </c>
      <c r="D255">
        <v>102732</v>
      </c>
      <c r="E255">
        <v>13560.3</v>
      </c>
      <c r="F255">
        <v>1.55095222106743</v>
      </c>
      <c r="G255">
        <v>351137</v>
      </c>
    </row>
    <row r="256" spans="1:7" x14ac:dyDescent="0.2">
      <c r="A256" s="1">
        <v>44834</v>
      </c>
      <c r="B256">
        <v>557286</v>
      </c>
      <c r="C256">
        <v>337395</v>
      </c>
      <c r="D256">
        <v>103858</v>
      </c>
      <c r="E256">
        <v>13500.5</v>
      </c>
      <c r="F256">
        <v>1.12801327529486</v>
      </c>
      <c r="G256">
        <v>350226</v>
      </c>
    </row>
    <row r="257" spans="1:7" x14ac:dyDescent="0.2">
      <c r="A257" s="1">
        <v>44926</v>
      </c>
      <c r="B257">
        <v>558005</v>
      </c>
      <c r="C257">
        <v>338155</v>
      </c>
      <c r="D257">
        <v>104129</v>
      </c>
      <c r="E257">
        <v>13462.8</v>
      </c>
      <c r="F257">
        <v>0.76852171121067003</v>
      </c>
      <c r="G257">
        <v>351058</v>
      </c>
    </row>
    <row r="258" spans="1:7" x14ac:dyDescent="0.2">
      <c r="A258" s="1">
        <v>45016</v>
      </c>
      <c r="B258">
        <v>558812</v>
      </c>
      <c r="C258">
        <v>338285</v>
      </c>
      <c r="D258">
        <v>106661</v>
      </c>
      <c r="E258">
        <v>13676</v>
      </c>
      <c r="F258">
        <v>0.65628773860817202</v>
      </c>
      <c r="G258">
        <v>351009</v>
      </c>
    </row>
    <row r="259" spans="1:7" x14ac:dyDescent="0.2">
      <c r="A259" s="1">
        <v>45107</v>
      </c>
      <c r="B259">
        <v>559956</v>
      </c>
      <c r="C259">
        <v>340812</v>
      </c>
      <c r="D259">
        <v>106647</v>
      </c>
      <c r="E259">
        <v>13603.2</v>
      </c>
      <c r="F259">
        <v>0.48418766860706097</v>
      </c>
      <c r="G259">
        <v>351570.614400002</v>
      </c>
    </row>
    <row r="260" spans="1:7" x14ac:dyDescent="0.2">
      <c r="A260" s="1">
        <v>45199</v>
      </c>
      <c r="F260">
        <v>0.386600000097438</v>
      </c>
      <c r="G260">
        <v>352765.95448896202</v>
      </c>
    </row>
    <row r="261" spans="1:7" x14ac:dyDescent="0.2">
      <c r="A261" s="1">
        <v>45291</v>
      </c>
      <c r="F261">
        <v>0.29380000025830399</v>
      </c>
      <c r="G261">
        <v>353453.21426698501</v>
      </c>
    </row>
    <row r="262" spans="1:7" x14ac:dyDescent="0.2">
      <c r="A262" s="1"/>
    </row>
    <row r="263" spans="1:7" x14ac:dyDescent="0.2">
      <c r="A263" s="1"/>
    </row>
    <row r="264" spans="1:7" x14ac:dyDescent="0.2">
      <c r="A264" s="1"/>
    </row>
    <row r="265" spans="1:7" x14ac:dyDescent="0.2">
      <c r="A265" s="1"/>
    </row>
    <row r="266" spans="1:7" x14ac:dyDescent="0.2">
      <c r="A266" s="1"/>
    </row>
    <row r="267" spans="1:7" x14ac:dyDescent="0.2">
      <c r="A267" s="1"/>
    </row>
    <row r="268" spans="1:7" x14ac:dyDescent="0.2">
      <c r="A268" s="1"/>
    </row>
    <row r="269" spans="1:7" x14ac:dyDescent="0.2">
      <c r="A269" s="1"/>
    </row>
    <row r="270" spans="1:7" x14ac:dyDescent="0.2">
      <c r="A270" s="1"/>
    </row>
    <row r="271" spans="1:7" x14ac:dyDescent="0.2">
      <c r="A271" s="1"/>
    </row>
    <row r="272" spans="1:7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49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12.5" customWidth="1"/>
  </cols>
  <sheetData>
    <row r="1" spans="1:5" x14ac:dyDescent="0.2">
      <c r="A1" s="18"/>
      <c r="B1" s="18"/>
    </row>
    <row r="2" spans="1:5" x14ac:dyDescent="0.2">
      <c r="A2">
        <v>1960</v>
      </c>
      <c r="B2" s="3"/>
    </row>
    <row r="3" spans="1:5" x14ac:dyDescent="0.2">
      <c r="A3">
        <v>2021</v>
      </c>
      <c r="B3" s="2">
        <v>1</v>
      </c>
    </row>
    <row r="4" spans="1:5" x14ac:dyDescent="0.2">
      <c r="A4" t="s">
        <v>88</v>
      </c>
      <c r="B4" t="s">
        <v>161</v>
      </c>
      <c r="C4" t="s">
        <v>85</v>
      </c>
      <c r="D4" t="s">
        <v>86</v>
      </c>
      <c r="E4" t="s">
        <v>165</v>
      </c>
    </row>
    <row r="5" spans="1:5" x14ac:dyDescent="0.2">
      <c r="A5" s="1" t="str">
        <f>IF(QuarterlyFAME!A5=0,"",QuarterlyFAME!A5)</f>
        <v/>
      </c>
      <c r="B5" t="str">
        <f>IF(QuarterlyFAME!B5=0,"",QuarterlyFAME!B5)</f>
        <v>abmi.q</v>
      </c>
      <c r="C5" t="str">
        <f>IF(QuarterlyFAME!C5=0,"",QuarterlyFAME!C5)</f>
        <v>ons.uk.hhd.abjr.q</v>
      </c>
      <c r="D5" t="str">
        <f>IF(QuarterlyFAME!D5=0,"",QuarterlyFAME!D5)</f>
        <v>ons.uk.ado.npqt.q</v>
      </c>
      <c r="E5" t="e">
        <f>IF([3]QuarterlyFAME!E5=0,"",[3]QuarterlyFAME!E5)</f>
        <v>#REF!</v>
      </c>
    </row>
    <row r="6" spans="1:5" x14ac:dyDescent="0.2">
      <c r="A6" s="1">
        <f>IF(QuarterlyFAME!A6=0,"",QuarterlyFAME!A6)</f>
        <v>22006</v>
      </c>
      <c r="B6">
        <f>IF(QuarterlyFAME!B6=0,"",QuarterlyFAME!B6)</f>
        <v>151420</v>
      </c>
      <c r="C6">
        <f>IF(QuarterlyFAME!C6=0,"",QuarterlyFAME!C6)</f>
        <v>77407</v>
      </c>
      <c r="D6">
        <f>IF(QuarterlyFAME!D6=0,"",QuarterlyFAME!D6)</f>
        <v>22788</v>
      </c>
      <c r="E6" t="str">
        <f>IF([3]QuarterlyFAME!E6=0,"",[3]QuarterlyFAME!E6)</f>
        <v/>
      </c>
    </row>
    <row r="7" spans="1:5" x14ac:dyDescent="0.2">
      <c r="A7" s="1">
        <f>IF(QuarterlyFAME!A7=0,"",QuarterlyFAME!A7)</f>
        <v>22097</v>
      </c>
      <c r="B7">
        <f>IF(QuarterlyFAME!B7=0,"",QuarterlyFAME!B7)</f>
        <v>150230</v>
      </c>
      <c r="C7">
        <f>IF(QuarterlyFAME!C7=0,"",QuarterlyFAME!C7)</f>
        <v>77150</v>
      </c>
      <c r="D7">
        <f>IF(QuarterlyFAME!D7=0,"",QuarterlyFAME!D7)</f>
        <v>23452</v>
      </c>
      <c r="E7" t="str">
        <f>IF([3]QuarterlyFAME!E7=0,"",[3]QuarterlyFAME!E7)</f>
        <v/>
      </c>
    </row>
    <row r="8" spans="1:5" x14ac:dyDescent="0.2">
      <c r="A8" s="1">
        <f>IF(QuarterlyFAME!A8=0,"",QuarterlyFAME!A8)</f>
        <v>22189</v>
      </c>
      <c r="B8">
        <f>IF(QuarterlyFAME!B8=0,"",QuarterlyFAME!B8)</f>
        <v>152485</v>
      </c>
      <c r="C8">
        <f>IF(QuarterlyFAME!C8=0,"",QuarterlyFAME!C8)</f>
        <v>77664</v>
      </c>
      <c r="D8">
        <f>IF(QuarterlyFAME!D8=0,"",QuarterlyFAME!D8)</f>
        <v>23888</v>
      </c>
      <c r="E8" t="str">
        <f>IF([3]QuarterlyFAME!E8=0,"",[3]QuarterlyFAME!E8)</f>
        <v/>
      </c>
    </row>
    <row r="9" spans="1:5" x14ac:dyDescent="0.2">
      <c r="A9" s="1">
        <f>IF(QuarterlyFAME!A9=0,"",QuarterlyFAME!A9)</f>
        <v>22281</v>
      </c>
      <c r="B9">
        <f>IF(QuarterlyFAME!B9=0,"",QuarterlyFAME!B9)</f>
        <v>153552</v>
      </c>
      <c r="C9">
        <f>IF(QuarterlyFAME!C9=0,"",QuarterlyFAME!C9)</f>
        <v>77682</v>
      </c>
      <c r="D9">
        <f>IF(QuarterlyFAME!D9=0,"",QuarterlyFAME!D9)</f>
        <v>24647</v>
      </c>
      <c r="E9" t="str">
        <f>IF([3]QuarterlyFAME!E9=0,"",[3]QuarterlyFAME!E9)</f>
        <v/>
      </c>
    </row>
    <row r="10" spans="1:5" x14ac:dyDescent="0.2">
      <c r="A10" s="1">
        <f>IF(QuarterlyFAME!A10=0,"",QuarterlyFAME!A10)</f>
        <v>22371</v>
      </c>
      <c r="B10">
        <f>IF(QuarterlyFAME!B10=0,"",QuarterlyFAME!B10)</f>
        <v>155990</v>
      </c>
      <c r="C10">
        <f>IF(QuarterlyFAME!C10=0,"",QuarterlyFAME!C10)</f>
        <v>79058</v>
      </c>
      <c r="D10">
        <f>IF(QuarterlyFAME!D10=0,"",QuarterlyFAME!D10)</f>
        <v>25266</v>
      </c>
      <c r="E10" t="str">
        <f>IF([3]QuarterlyFAME!E10=0,"",[3]QuarterlyFAME!E10)</f>
        <v/>
      </c>
    </row>
    <row r="11" spans="1:5" x14ac:dyDescent="0.2">
      <c r="A11" s="1">
        <f>IF(QuarterlyFAME!A11=0,"",QuarterlyFAME!A11)</f>
        <v>22462</v>
      </c>
      <c r="B11">
        <f>IF(QuarterlyFAME!B11=0,"",QuarterlyFAME!B11)</f>
        <v>156572</v>
      </c>
      <c r="C11">
        <f>IF(QuarterlyFAME!C11=0,"",QuarterlyFAME!C11)</f>
        <v>79093</v>
      </c>
      <c r="D11">
        <f>IF(QuarterlyFAME!D11=0,"",QuarterlyFAME!D11)</f>
        <v>25693</v>
      </c>
      <c r="E11" t="str">
        <f>IF([3]QuarterlyFAME!E11=0,"",[3]QuarterlyFAME!E11)</f>
        <v/>
      </c>
    </row>
    <row r="12" spans="1:5" x14ac:dyDescent="0.2">
      <c r="A12" s="1">
        <f>IF(QuarterlyFAME!A12=0,"",QuarterlyFAME!A12)</f>
        <v>22554</v>
      </c>
      <c r="B12">
        <f>IF(QuarterlyFAME!B12=0,"",QuarterlyFAME!B12)</f>
        <v>155818</v>
      </c>
      <c r="C12">
        <f>IF(QuarterlyFAME!C12=0,"",QuarterlyFAME!C12)</f>
        <v>79472</v>
      </c>
      <c r="D12">
        <f>IF(QuarterlyFAME!D12=0,"",QuarterlyFAME!D12)</f>
        <v>26062</v>
      </c>
      <c r="E12" t="str">
        <f>IF([3]QuarterlyFAME!E12=0,"",[3]QuarterlyFAME!E12)</f>
        <v/>
      </c>
    </row>
    <row r="13" spans="1:5" x14ac:dyDescent="0.2">
      <c r="A13" s="1">
        <f>IF(QuarterlyFAME!A13=0,"",QuarterlyFAME!A13)</f>
        <v>22646</v>
      </c>
      <c r="B13">
        <f>IF(QuarterlyFAME!B13=0,"",QuarterlyFAME!B13)</f>
        <v>155436</v>
      </c>
      <c r="C13">
        <f>IF(QuarterlyFAME!C13=0,"",QuarterlyFAME!C13)</f>
        <v>79509</v>
      </c>
      <c r="D13">
        <f>IF(QuarterlyFAME!D13=0,"",QuarterlyFAME!D13)</f>
        <v>25426</v>
      </c>
      <c r="E13" t="str">
        <f>IF([3]QuarterlyFAME!E13=0,"",[3]QuarterlyFAME!E13)</f>
        <v/>
      </c>
    </row>
    <row r="14" spans="1:5" x14ac:dyDescent="0.2">
      <c r="A14" s="1">
        <f>IF(QuarterlyFAME!A14=0,"",QuarterlyFAME!A14)</f>
        <v>22736</v>
      </c>
      <c r="B14">
        <f>IF(QuarterlyFAME!B14=0,"",QuarterlyFAME!B14)</f>
        <v>156202</v>
      </c>
      <c r="C14">
        <f>IF(QuarterlyFAME!C14=0,"",QuarterlyFAME!C14)</f>
        <v>80153</v>
      </c>
      <c r="D14">
        <f>IF(QuarterlyFAME!D14=0,"",QuarterlyFAME!D14)</f>
        <v>25626</v>
      </c>
      <c r="E14" t="str">
        <f>IF([3]QuarterlyFAME!E14=0,"",[3]QuarterlyFAME!E14)</f>
        <v/>
      </c>
    </row>
    <row r="15" spans="1:5" x14ac:dyDescent="0.2">
      <c r="A15" s="1">
        <f>IF(QuarterlyFAME!A15=0,"",QuarterlyFAME!A15)</f>
        <v>22827</v>
      </c>
      <c r="B15">
        <f>IF(QuarterlyFAME!B15=0,"",QuarterlyFAME!B15)</f>
        <v>157678</v>
      </c>
      <c r="C15">
        <f>IF(QuarterlyFAME!C15=0,"",QuarterlyFAME!C15)</f>
        <v>81490</v>
      </c>
      <c r="D15">
        <f>IF(QuarterlyFAME!D15=0,"",QuarterlyFAME!D15)</f>
        <v>26205</v>
      </c>
      <c r="E15" t="str">
        <f>IF([3]QuarterlyFAME!E15=0,"",[3]QuarterlyFAME!E15)</f>
        <v/>
      </c>
    </row>
    <row r="16" spans="1:5" x14ac:dyDescent="0.2">
      <c r="A16" s="1">
        <f>IF(QuarterlyFAME!A16=0,"",QuarterlyFAME!A16)</f>
        <v>22919</v>
      </c>
      <c r="B16">
        <f>IF(QuarterlyFAME!B16=0,"",QuarterlyFAME!B16)</f>
        <v>158572</v>
      </c>
      <c r="C16">
        <f>IF(QuarterlyFAME!C16=0,"",QuarterlyFAME!C16)</f>
        <v>80962</v>
      </c>
      <c r="D16">
        <f>IF(QuarterlyFAME!D16=0,"",QuarterlyFAME!D16)</f>
        <v>26085</v>
      </c>
      <c r="E16" t="str">
        <f>IF([3]QuarterlyFAME!E16=0,"",[3]QuarterlyFAME!E16)</f>
        <v/>
      </c>
    </row>
    <row r="17" spans="1:5" x14ac:dyDescent="0.2">
      <c r="A17" s="1">
        <f>IF(QuarterlyFAME!A17=0,"",QuarterlyFAME!A17)</f>
        <v>23011</v>
      </c>
      <c r="B17">
        <f>IF(QuarterlyFAME!B17=0,"",QuarterlyFAME!B17)</f>
        <v>157894</v>
      </c>
      <c r="C17">
        <f>IF(QuarterlyFAME!C17=0,"",QuarterlyFAME!C17)</f>
        <v>81896</v>
      </c>
      <c r="D17">
        <f>IF(QuarterlyFAME!D17=0,"",QuarterlyFAME!D17)</f>
        <v>25479</v>
      </c>
      <c r="E17" t="str">
        <f>IF([3]QuarterlyFAME!E17=0,"",[3]QuarterlyFAME!E17)</f>
        <v/>
      </c>
    </row>
    <row r="18" spans="1:5" x14ac:dyDescent="0.2">
      <c r="A18" s="1">
        <f>IF(QuarterlyFAME!A18=0,"",QuarterlyFAME!A18)</f>
        <v>23101</v>
      </c>
      <c r="B18">
        <f>IF(QuarterlyFAME!B18=0,"",QuarterlyFAME!B18)</f>
        <v>158616</v>
      </c>
      <c r="C18">
        <f>IF(QuarterlyFAME!C18=0,"",QuarterlyFAME!C18)</f>
        <v>82351</v>
      </c>
      <c r="D18">
        <f>IF(QuarterlyFAME!D18=0,"",QuarterlyFAME!D18)</f>
        <v>23515</v>
      </c>
      <c r="E18" t="str">
        <f>IF([3]QuarterlyFAME!E18=0,"",[3]QuarterlyFAME!E18)</f>
        <v/>
      </c>
    </row>
    <row r="19" spans="1:5" x14ac:dyDescent="0.2">
      <c r="A19" s="1">
        <f>IF(QuarterlyFAME!A19=0,"",QuarterlyFAME!A19)</f>
        <v>23192</v>
      </c>
      <c r="B19">
        <f>IF(QuarterlyFAME!B19=0,"",QuarterlyFAME!B19)</f>
        <v>165619</v>
      </c>
      <c r="C19">
        <f>IF(QuarterlyFAME!C19=0,"",QuarterlyFAME!C19)</f>
        <v>84884</v>
      </c>
      <c r="D19">
        <f>IF(QuarterlyFAME!D19=0,"",QuarterlyFAME!D19)</f>
        <v>26708</v>
      </c>
      <c r="E19" t="str">
        <f>IF([3]QuarterlyFAME!E19=0,"",[3]QuarterlyFAME!E19)</f>
        <v/>
      </c>
    </row>
    <row r="20" spans="1:5" x14ac:dyDescent="0.2">
      <c r="A20" s="1">
        <f>IF(QuarterlyFAME!A20=0,"",QuarterlyFAME!A20)</f>
        <v>23284</v>
      </c>
      <c r="B20">
        <f>IF(QuarterlyFAME!B20=0,"",QuarterlyFAME!B20)</f>
        <v>166407</v>
      </c>
      <c r="C20">
        <f>IF(QuarterlyFAME!C20=0,"",QuarterlyFAME!C20)</f>
        <v>85851</v>
      </c>
      <c r="D20">
        <f>IF(QuarterlyFAME!D20=0,"",QuarterlyFAME!D20)</f>
        <v>27256</v>
      </c>
      <c r="E20" t="str">
        <f>IF([3]QuarterlyFAME!E20=0,"",[3]QuarterlyFAME!E20)</f>
        <v/>
      </c>
    </row>
    <row r="21" spans="1:5" x14ac:dyDescent="0.2">
      <c r="A21" s="1">
        <f>IF(QuarterlyFAME!A21=0,"",QuarterlyFAME!A21)</f>
        <v>23376</v>
      </c>
      <c r="B21">
        <f>IF(QuarterlyFAME!B21=0,"",QuarterlyFAME!B21)</f>
        <v>170054</v>
      </c>
      <c r="C21">
        <f>IF(QuarterlyFAME!C21=0,"",QuarterlyFAME!C21)</f>
        <v>85630</v>
      </c>
      <c r="D21">
        <f>IF(QuarterlyFAME!D21=0,"",QuarterlyFAME!D21)</f>
        <v>28341</v>
      </c>
      <c r="E21" t="str">
        <f>IF([3]QuarterlyFAME!E21=0,"",[3]QuarterlyFAME!E21)</f>
        <v/>
      </c>
    </row>
    <row r="22" spans="1:5" x14ac:dyDescent="0.2">
      <c r="A22" s="1">
        <f>IF(QuarterlyFAME!A22=0,"",QuarterlyFAME!A22)</f>
        <v>23467</v>
      </c>
      <c r="B22">
        <f>IF(QuarterlyFAME!B22=0,"",QuarterlyFAME!B22)</f>
        <v>171209</v>
      </c>
      <c r="C22">
        <f>IF(QuarterlyFAME!C22=0,"",QuarterlyFAME!C22)</f>
        <v>86911</v>
      </c>
      <c r="D22">
        <f>IF(QuarterlyFAME!D22=0,"",QuarterlyFAME!D22)</f>
        <v>29743</v>
      </c>
      <c r="E22" t="str">
        <f>IF([3]QuarterlyFAME!E22=0,"",[3]QuarterlyFAME!E22)</f>
        <v/>
      </c>
    </row>
    <row r="23" spans="1:5" x14ac:dyDescent="0.2">
      <c r="A23" s="1">
        <f>IF(QuarterlyFAME!A23=0,"",QuarterlyFAME!A23)</f>
        <v>23558</v>
      </c>
      <c r="B23">
        <f>IF(QuarterlyFAME!B23=0,"",QuarterlyFAME!B23)</f>
        <v>174393</v>
      </c>
      <c r="C23">
        <f>IF(QuarterlyFAME!C23=0,"",QuarterlyFAME!C23)</f>
        <v>87197</v>
      </c>
      <c r="D23">
        <f>IF(QuarterlyFAME!D23=0,"",QuarterlyFAME!D23)</f>
        <v>30569</v>
      </c>
      <c r="E23" t="str">
        <f>IF([3]QuarterlyFAME!E23=0,"",[3]QuarterlyFAME!E23)</f>
        <v/>
      </c>
    </row>
    <row r="24" spans="1:5" x14ac:dyDescent="0.2">
      <c r="A24" s="1">
        <f>IF(QuarterlyFAME!A24=0,"",QuarterlyFAME!A24)</f>
        <v>23650</v>
      </c>
      <c r="B24">
        <f>IF(QuarterlyFAME!B24=0,"",QuarterlyFAME!B24)</f>
        <v>175037</v>
      </c>
      <c r="C24">
        <f>IF(QuarterlyFAME!C24=0,"",QuarterlyFAME!C24)</f>
        <v>87682</v>
      </c>
      <c r="D24">
        <f>IF(QuarterlyFAME!D24=0,"",QuarterlyFAME!D24)</f>
        <v>31028</v>
      </c>
      <c r="E24" t="str">
        <f>IF([3]QuarterlyFAME!E24=0,"",[3]QuarterlyFAME!E24)</f>
        <v/>
      </c>
    </row>
    <row r="25" spans="1:5" x14ac:dyDescent="0.2">
      <c r="A25" s="1">
        <f>IF(QuarterlyFAME!A25=0,"",QuarterlyFAME!A25)</f>
        <v>23742</v>
      </c>
      <c r="B25">
        <f>IF(QuarterlyFAME!B25=0,"",QuarterlyFAME!B25)</f>
        <v>177683</v>
      </c>
      <c r="C25">
        <f>IF(QuarterlyFAME!C25=0,"",QuarterlyFAME!C25)</f>
        <v>88568</v>
      </c>
      <c r="D25">
        <f>IF(QuarterlyFAME!D25=0,"",QuarterlyFAME!D25)</f>
        <v>31617</v>
      </c>
      <c r="E25" t="str">
        <f>IF([3]QuarterlyFAME!E25=0,"",[3]QuarterlyFAME!E25)</f>
        <v/>
      </c>
    </row>
    <row r="26" spans="1:5" x14ac:dyDescent="0.2">
      <c r="A26" s="1">
        <f>IF(QuarterlyFAME!A26=0,"",QuarterlyFAME!A26)</f>
        <v>23832</v>
      </c>
      <c r="B26">
        <f>IF(QuarterlyFAME!B26=0,"",QuarterlyFAME!B26)</f>
        <v>177153</v>
      </c>
      <c r="C26">
        <f>IF(QuarterlyFAME!C26=0,"",QuarterlyFAME!C26)</f>
        <v>88415</v>
      </c>
      <c r="D26">
        <f>IF(QuarterlyFAME!D26=0,"",QuarterlyFAME!D26)</f>
        <v>32197</v>
      </c>
      <c r="E26" t="str">
        <f>IF([3]QuarterlyFAME!E26=0,"",[3]QuarterlyFAME!E26)</f>
        <v/>
      </c>
    </row>
    <row r="27" spans="1:5" x14ac:dyDescent="0.2">
      <c r="A27" s="1">
        <f>IF(QuarterlyFAME!A27=0,"",QuarterlyFAME!A27)</f>
        <v>23923</v>
      </c>
      <c r="B27">
        <f>IF(QuarterlyFAME!B27=0,"",QuarterlyFAME!B27)</f>
        <v>177267</v>
      </c>
      <c r="C27">
        <f>IF(QuarterlyFAME!C27=0,"",QuarterlyFAME!C27)</f>
        <v>88094</v>
      </c>
      <c r="D27">
        <f>IF(QuarterlyFAME!D27=0,"",QuarterlyFAME!D27)</f>
        <v>31770</v>
      </c>
      <c r="E27" t="str">
        <f>IF([3]QuarterlyFAME!E27=0,"",[3]QuarterlyFAME!E27)</f>
        <v/>
      </c>
    </row>
    <row r="28" spans="1:5" x14ac:dyDescent="0.2">
      <c r="A28" s="1">
        <f>IF(QuarterlyFAME!A28=0,"",QuarterlyFAME!A28)</f>
        <v>24015</v>
      </c>
      <c r="B28">
        <f>IF(QuarterlyFAME!B28=0,"",QuarterlyFAME!B28)</f>
        <v>178719</v>
      </c>
      <c r="C28">
        <f>IF(QuarterlyFAME!C28=0,"",QuarterlyFAME!C28)</f>
        <v>89076</v>
      </c>
      <c r="D28">
        <f>IF(QuarterlyFAME!D28=0,"",QuarterlyFAME!D28)</f>
        <v>32030</v>
      </c>
      <c r="E28" t="str">
        <f>IF([3]QuarterlyFAME!E28=0,"",[3]QuarterlyFAME!E28)</f>
        <v/>
      </c>
    </row>
    <row r="29" spans="1:5" x14ac:dyDescent="0.2">
      <c r="A29" s="1">
        <f>IF(QuarterlyFAME!A29=0,"",QuarterlyFAME!A29)</f>
        <v>24107</v>
      </c>
      <c r="B29">
        <f>IF(QuarterlyFAME!B29=0,"",QuarterlyFAME!B29)</f>
        <v>179904</v>
      </c>
      <c r="C29">
        <f>IF(QuarterlyFAME!C29=0,"",QuarterlyFAME!C29)</f>
        <v>89352</v>
      </c>
      <c r="D29">
        <f>IF(QuarterlyFAME!D29=0,"",QuarterlyFAME!D29)</f>
        <v>32719</v>
      </c>
      <c r="E29" t="str">
        <f>IF([3]QuarterlyFAME!E29=0,"",[3]QuarterlyFAME!E29)</f>
        <v/>
      </c>
    </row>
    <row r="30" spans="1:5" x14ac:dyDescent="0.2">
      <c r="A30" s="1">
        <f>IF(QuarterlyFAME!A30=0,"",QuarterlyFAME!A30)</f>
        <v>24197</v>
      </c>
      <c r="B30">
        <f>IF(QuarterlyFAME!B30=0,"",QuarterlyFAME!B30)</f>
        <v>180172</v>
      </c>
      <c r="C30">
        <f>IF(QuarterlyFAME!C30=0,"",QuarterlyFAME!C30)</f>
        <v>90587</v>
      </c>
      <c r="D30">
        <f>IF(QuarterlyFAME!D30=0,"",QuarterlyFAME!D30)</f>
        <v>32075</v>
      </c>
      <c r="E30" t="str">
        <f>IF([3]QuarterlyFAME!E30=0,"",[3]QuarterlyFAME!E30)</f>
        <v/>
      </c>
    </row>
    <row r="31" spans="1:5" x14ac:dyDescent="0.2">
      <c r="A31" s="1">
        <f>IF(QuarterlyFAME!A31=0,"",QuarterlyFAME!A31)</f>
        <v>24288</v>
      </c>
      <c r="B31">
        <f>IF(QuarterlyFAME!B31=0,"",QuarterlyFAME!B31)</f>
        <v>181154</v>
      </c>
      <c r="C31">
        <f>IF(QuarterlyFAME!C31=0,"",QuarterlyFAME!C31)</f>
        <v>91429</v>
      </c>
      <c r="D31">
        <f>IF(QuarterlyFAME!D31=0,"",QuarterlyFAME!D31)</f>
        <v>31761</v>
      </c>
      <c r="E31" t="str">
        <f>IF([3]QuarterlyFAME!E31=0,"",[3]QuarterlyFAME!E31)</f>
        <v/>
      </c>
    </row>
    <row r="32" spans="1:5" x14ac:dyDescent="0.2">
      <c r="A32" s="1">
        <f>IF(QuarterlyFAME!A32=0,"",QuarterlyFAME!A32)</f>
        <v>24380</v>
      </c>
      <c r="B32">
        <f>IF(QuarterlyFAME!B32=0,"",QuarterlyFAME!B32)</f>
        <v>181778</v>
      </c>
      <c r="C32">
        <f>IF(QuarterlyFAME!C32=0,"",QuarterlyFAME!C32)</f>
        <v>89883</v>
      </c>
      <c r="D32">
        <f>IF(QuarterlyFAME!D32=0,"",QuarterlyFAME!D32)</f>
        <v>32245</v>
      </c>
      <c r="E32" t="str">
        <f>IF([3]QuarterlyFAME!E32=0,"",[3]QuarterlyFAME!E32)</f>
        <v/>
      </c>
    </row>
    <row r="33" spans="1:5" x14ac:dyDescent="0.2">
      <c r="A33" s="1">
        <f>IF(QuarterlyFAME!A33=0,"",QuarterlyFAME!A33)</f>
        <v>24472</v>
      </c>
      <c r="B33">
        <f>IF(QuarterlyFAME!B33=0,"",QuarterlyFAME!B33)</f>
        <v>180944</v>
      </c>
      <c r="C33">
        <f>IF(QuarterlyFAME!C33=0,"",QuarterlyFAME!C33)</f>
        <v>89866</v>
      </c>
      <c r="D33">
        <f>IF(QuarterlyFAME!D33=0,"",QuarterlyFAME!D33)</f>
        <v>32360</v>
      </c>
      <c r="E33" t="str">
        <f>IF([3]QuarterlyFAME!E33=0,"",[3]QuarterlyFAME!E33)</f>
        <v/>
      </c>
    </row>
    <row r="34" spans="1:5" x14ac:dyDescent="0.2">
      <c r="A34" s="1">
        <f>IF(QuarterlyFAME!A34=0,"",QuarterlyFAME!A34)</f>
        <v>24562</v>
      </c>
      <c r="B34">
        <f>IF(QuarterlyFAME!B34=0,"",QuarterlyFAME!B34)</f>
        <v>183328</v>
      </c>
      <c r="C34">
        <f>IF(QuarterlyFAME!C34=0,"",QuarterlyFAME!C34)</f>
        <v>90782</v>
      </c>
      <c r="D34">
        <f>IF(QuarterlyFAME!D34=0,"",QuarterlyFAME!D34)</f>
        <v>33672</v>
      </c>
      <c r="E34" t="str">
        <f>IF([3]QuarterlyFAME!E34=0,"",[3]QuarterlyFAME!E34)</f>
        <v/>
      </c>
    </row>
    <row r="35" spans="1:5" x14ac:dyDescent="0.2">
      <c r="A35" s="1">
        <f>IF(QuarterlyFAME!A35=0,"",QuarterlyFAME!A35)</f>
        <v>24653</v>
      </c>
      <c r="B35">
        <f>IF(QuarterlyFAME!B35=0,"",QuarterlyFAME!B35)</f>
        <v>185968</v>
      </c>
      <c r="C35">
        <f>IF(QuarterlyFAME!C35=0,"",QuarterlyFAME!C35)</f>
        <v>91987</v>
      </c>
      <c r="D35">
        <f>IF(QuarterlyFAME!D35=0,"",QuarterlyFAME!D35)</f>
        <v>35259</v>
      </c>
      <c r="E35" t="str">
        <f>IF([3]QuarterlyFAME!E35=0,"",[3]QuarterlyFAME!E35)</f>
        <v/>
      </c>
    </row>
    <row r="36" spans="1:5" x14ac:dyDescent="0.2">
      <c r="A36" s="1">
        <f>IF(QuarterlyFAME!A36=0,"",QuarterlyFAME!A36)</f>
        <v>24745</v>
      </c>
      <c r="B36">
        <f>IF(QuarterlyFAME!B36=0,"",QuarterlyFAME!B36)</f>
        <v>186841</v>
      </c>
      <c r="C36">
        <f>IF(QuarterlyFAME!C36=0,"",QuarterlyFAME!C36)</f>
        <v>93923</v>
      </c>
      <c r="D36">
        <f>IF(QuarterlyFAME!D36=0,"",QuarterlyFAME!D36)</f>
        <v>35416</v>
      </c>
      <c r="E36" t="str">
        <f>IF([3]QuarterlyFAME!E36=0,"",[3]QuarterlyFAME!E36)</f>
        <v/>
      </c>
    </row>
    <row r="37" spans="1:5" x14ac:dyDescent="0.2">
      <c r="A37" s="1">
        <f>IF(QuarterlyFAME!A37=0,"",QuarterlyFAME!A37)</f>
        <v>24837</v>
      </c>
      <c r="B37">
        <f>IF(QuarterlyFAME!B37=0,"",QuarterlyFAME!B37)</f>
        <v>187834</v>
      </c>
      <c r="C37">
        <f>IF(QuarterlyFAME!C37=0,"",QuarterlyFAME!C37)</f>
        <v>94644</v>
      </c>
      <c r="D37">
        <f>IF(QuarterlyFAME!D37=0,"",QuarterlyFAME!D37)</f>
        <v>35304</v>
      </c>
      <c r="E37" t="str">
        <f>IF([3]QuarterlyFAME!E37=0,"",[3]QuarterlyFAME!E37)</f>
        <v/>
      </c>
    </row>
    <row r="38" spans="1:5" x14ac:dyDescent="0.2">
      <c r="A38" s="1">
        <f>IF(QuarterlyFAME!A38=0,"",QuarterlyFAME!A38)</f>
        <v>24928</v>
      </c>
      <c r="B38">
        <f>IF(QuarterlyFAME!B38=0,"",QuarterlyFAME!B38)</f>
        <v>194591</v>
      </c>
      <c r="C38">
        <f>IF(QuarterlyFAME!C38=0,"",QuarterlyFAME!C38)</f>
        <v>97600</v>
      </c>
      <c r="D38">
        <f>IF(QuarterlyFAME!D38=0,"",QuarterlyFAME!D38)</f>
        <v>38014</v>
      </c>
      <c r="E38" t="str">
        <f>IF([3]QuarterlyFAME!E38=0,"",[3]QuarterlyFAME!E38)</f>
        <v/>
      </c>
    </row>
    <row r="39" spans="1:5" x14ac:dyDescent="0.2">
      <c r="A39" s="1">
        <f>IF(QuarterlyFAME!A39=0,"",QuarterlyFAME!A39)</f>
        <v>25019</v>
      </c>
      <c r="B39">
        <f>IF(QuarterlyFAME!B39=0,"",QuarterlyFAME!B39)</f>
        <v>193804</v>
      </c>
      <c r="C39">
        <f>IF(QuarterlyFAME!C39=0,"",QuarterlyFAME!C39)</f>
        <v>93866</v>
      </c>
      <c r="D39">
        <f>IF(QuarterlyFAME!D39=0,"",QuarterlyFAME!D39)</f>
        <v>37638</v>
      </c>
      <c r="E39" t="str">
        <f>IF([3]QuarterlyFAME!E39=0,"",[3]QuarterlyFAME!E39)</f>
        <v/>
      </c>
    </row>
    <row r="40" spans="1:5" x14ac:dyDescent="0.2">
      <c r="A40" s="1">
        <f>IF(QuarterlyFAME!A40=0,"",QuarterlyFAME!A40)</f>
        <v>25111</v>
      </c>
      <c r="B40">
        <f>IF(QuarterlyFAME!B40=0,"",QuarterlyFAME!B40)</f>
        <v>197603</v>
      </c>
      <c r="C40">
        <f>IF(QuarterlyFAME!C40=0,"",QuarterlyFAME!C40)</f>
        <v>95533</v>
      </c>
      <c r="D40">
        <f>IF(QuarterlyFAME!D40=0,"",QuarterlyFAME!D40)</f>
        <v>38683</v>
      </c>
      <c r="E40" t="str">
        <f>IF([3]QuarterlyFAME!E40=0,"",[3]QuarterlyFAME!E40)</f>
        <v/>
      </c>
    </row>
    <row r="41" spans="1:5" x14ac:dyDescent="0.2">
      <c r="A41" s="1">
        <f>IF(QuarterlyFAME!A41=0,"",QuarterlyFAME!A41)</f>
        <v>25203</v>
      </c>
      <c r="B41">
        <f>IF(QuarterlyFAME!B41=0,"",QuarterlyFAME!B41)</f>
        <v>198437</v>
      </c>
      <c r="C41">
        <f>IF(QuarterlyFAME!C41=0,"",QuarterlyFAME!C41)</f>
        <v>95649</v>
      </c>
      <c r="D41">
        <f>IF(QuarterlyFAME!D41=0,"",QuarterlyFAME!D41)</f>
        <v>40635</v>
      </c>
      <c r="E41" t="str">
        <f>IF([3]QuarterlyFAME!E41=0,"",[3]QuarterlyFAME!E41)</f>
        <v/>
      </c>
    </row>
    <row r="42" spans="1:5" x14ac:dyDescent="0.2">
      <c r="A42" s="1">
        <f>IF(QuarterlyFAME!A42=0,"",QuarterlyFAME!A42)</f>
        <v>25293</v>
      </c>
      <c r="B42">
        <f>IF(QuarterlyFAME!B42=0,"",QuarterlyFAME!B42)</f>
        <v>197901</v>
      </c>
      <c r="C42">
        <f>IF(QuarterlyFAME!C42=0,"",QuarterlyFAME!C42)</f>
        <v>95500</v>
      </c>
      <c r="D42">
        <f>IF(QuarterlyFAME!D42=0,"",QuarterlyFAME!D42)</f>
        <v>37520</v>
      </c>
      <c r="E42" t="str">
        <f>IF([3]QuarterlyFAME!E42=0,"",[3]QuarterlyFAME!E42)</f>
        <v/>
      </c>
    </row>
    <row r="43" spans="1:5" x14ac:dyDescent="0.2">
      <c r="A43" s="1">
        <f>IF(QuarterlyFAME!A43=0,"",QuarterlyFAME!A43)</f>
        <v>25384</v>
      </c>
      <c r="B43">
        <f>IF(QuarterlyFAME!B43=0,"",QuarterlyFAME!B43)</f>
        <v>199471</v>
      </c>
      <c r="C43">
        <f>IF(QuarterlyFAME!C43=0,"",QuarterlyFAME!C43)</f>
        <v>96352</v>
      </c>
      <c r="D43">
        <f>IF(QuarterlyFAME!D43=0,"",QuarterlyFAME!D43)</f>
        <v>37734</v>
      </c>
      <c r="E43" t="str">
        <f>IF([3]QuarterlyFAME!E43=0,"",[3]QuarterlyFAME!E43)</f>
        <v/>
      </c>
    </row>
    <row r="44" spans="1:5" x14ac:dyDescent="0.2">
      <c r="A44" s="1">
        <f>IF(QuarterlyFAME!A44=0,"",QuarterlyFAME!A44)</f>
        <v>25476</v>
      </c>
      <c r="B44">
        <f>IF(QuarterlyFAME!B44=0,"",QuarterlyFAME!B44)</f>
        <v>200592</v>
      </c>
      <c r="C44">
        <f>IF(QuarterlyFAME!C44=0,"",QuarterlyFAME!C44)</f>
        <v>96487</v>
      </c>
      <c r="D44">
        <f>IF(QuarterlyFAME!D44=0,"",QuarterlyFAME!D44)</f>
        <v>39079</v>
      </c>
      <c r="E44" t="str">
        <f>IF([3]QuarterlyFAME!E44=0,"",[3]QuarterlyFAME!E44)</f>
        <v/>
      </c>
    </row>
    <row r="45" spans="1:5" x14ac:dyDescent="0.2">
      <c r="A45" s="1">
        <f>IF(QuarterlyFAME!A45=0,"",QuarterlyFAME!A45)</f>
        <v>25568</v>
      </c>
      <c r="B45">
        <f>IF(QuarterlyFAME!B45=0,"",QuarterlyFAME!B45)</f>
        <v>201431</v>
      </c>
      <c r="C45">
        <f>IF(QuarterlyFAME!C45=0,"",QuarterlyFAME!C45)</f>
        <v>97122</v>
      </c>
      <c r="D45">
        <f>IF(QuarterlyFAME!D45=0,"",QuarterlyFAME!D45)</f>
        <v>39269</v>
      </c>
      <c r="E45" t="str">
        <f>IF([3]QuarterlyFAME!E45=0,"",[3]QuarterlyFAME!E45)</f>
        <v/>
      </c>
    </row>
    <row r="46" spans="1:5" x14ac:dyDescent="0.2">
      <c r="A46" s="1">
        <f>IF(QuarterlyFAME!A46=0,"",QuarterlyFAME!A46)</f>
        <v>25658</v>
      </c>
      <c r="B46">
        <f>IF(QuarterlyFAME!B46=0,"",QuarterlyFAME!B46)</f>
        <v>200089</v>
      </c>
      <c r="C46">
        <f>IF(QuarterlyFAME!C46=0,"",QuarterlyFAME!C46)</f>
        <v>97391</v>
      </c>
      <c r="D46">
        <f>IF(QuarterlyFAME!D46=0,"",QuarterlyFAME!D46)</f>
        <v>38089</v>
      </c>
      <c r="E46" t="str">
        <f>IF([3]QuarterlyFAME!E46=0,"",[3]QuarterlyFAME!E46)</f>
        <v/>
      </c>
    </row>
    <row r="47" spans="1:5" x14ac:dyDescent="0.2">
      <c r="A47" s="1">
        <f>IF(QuarterlyFAME!A47=0,"",QuarterlyFAME!A47)</f>
        <v>25749</v>
      </c>
      <c r="B47">
        <f>IF(QuarterlyFAME!B47=0,"",QuarterlyFAME!B47)</f>
        <v>205001</v>
      </c>
      <c r="C47">
        <f>IF(QuarterlyFAME!C47=0,"",QuarterlyFAME!C47)</f>
        <v>98946</v>
      </c>
      <c r="D47">
        <f>IF(QuarterlyFAME!D47=0,"",QuarterlyFAME!D47)</f>
        <v>39700</v>
      </c>
      <c r="E47" t="str">
        <f>IF([3]QuarterlyFAME!E47=0,"",[3]QuarterlyFAME!E47)</f>
        <v/>
      </c>
    </row>
    <row r="48" spans="1:5" x14ac:dyDescent="0.2">
      <c r="A48" s="1">
        <f>IF(QuarterlyFAME!A48=0,"",QuarterlyFAME!A48)</f>
        <v>25841</v>
      </c>
      <c r="B48">
        <f>IF(QuarterlyFAME!B48=0,"",QuarterlyFAME!B48)</f>
        <v>206988</v>
      </c>
      <c r="C48">
        <f>IF(QuarterlyFAME!C48=0,"",QuarterlyFAME!C48)</f>
        <v>100458</v>
      </c>
      <c r="D48">
        <f>IF(QuarterlyFAME!D48=0,"",QuarterlyFAME!D48)</f>
        <v>40156</v>
      </c>
      <c r="E48" t="str">
        <f>IF([3]QuarterlyFAME!E48=0,"",[3]QuarterlyFAME!E48)</f>
        <v/>
      </c>
    </row>
    <row r="49" spans="1:5" x14ac:dyDescent="0.2">
      <c r="A49" s="1">
        <f>IF(QuarterlyFAME!A49=0,"",QuarterlyFAME!A49)</f>
        <v>25933</v>
      </c>
      <c r="B49">
        <f>IF(QuarterlyFAME!B49=0,"",QuarterlyFAME!B49)</f>
        <v>208869</v>
      </c>
      <c r="C49">
        <f>IF(QuarterlyFAME!C49=0,"",QuarterlyFAME!C49)</f>
        <v>100058</v>
      </c>
      <c r="D49">
        <f>IF(QuarterlyFAME!D49=0,"",QuarterlyFAME!D49)</f>
        <v>41365</v>
      </c>
      <c r="E49" t="str">
        <f>IF([3]QuarterlyFAME!E49=0,"",[3]QuarterlyFAME!E49)</f>
        <v/>
      </c>
    </row>
    <row r="50" spans="1:5" x14ac:dyDescent="0.2">
      <c r="A50" s="1">
        <f>IF(QuarterlyFAME!A50=0,"",QuarterlyFAME!A50)</f>
        <v>26023</v>
      </c>
      <c r="B50">
        <f>IF(QuarterlyFAME!B50=0,"",QuarterlyFAME!B50)</f>
        <v>207680</v>
      </c>
      <c r="C50">
        <f>IF(QuarterlyFAME!C50=0,"",QuarterlyFAME!C50)</f>
        <v>99798</v>
      </c>
      <c r="D50">
        <f>IF(QuarterlyFAME!D50=0,"",QuarterlyFAME!D50)</f>
        <v>40579</v>
      </c>
      <c r="E50">
        <f>IF([3]QuarterlyFAME!E50=0,"",[3]QuarterlyFAME!E50)</f>
        <v>11235.9</v>
      </c>
    </row>
    <row r="51" spans="1:5" x14ac:dyDescent="0.2">
      <c r="A51" s="1">
        <f>IF(QuarterlyFAME!A51=0,"",QuarterlyFAME!A51)</f>
        <v>26114</v>
      </c>
      <c r="B51">
        <f>IF(QuarterlyFAME!B51=0,"",QuarterlyFAME!B51)</f>
        <v>211465</v>
      </c>
      <c r="C51">
        <f>IF(QuarterlyFAME!C51=0,"",QuarterlyFAME!C51)</f>
        <v>102036</v>
      </c>
      <c r="D51">
        <f>IF(QuarterlyFAME!D51=0,"",QuarterlyFAME!D51)</f>
        <v>42575</v>
      </c>
      <c r="E51">
        <f>IF([3]QuarterlyFAME!E51=0,"",[3]QuarterlyFAME!E51)</f>
        <v>11216.4</v>
      </c>
    </row>
    <row r="52" spans="1:5" x14ac:dyDescent="0.2">
      <c r="A52" s="1">
        <f>IF(QuarterlyFAME!A52=0,"",QuarterlyFAME!A52)</f>
        <v>26206</v>
      </c>
      <c r="B52">
        <f>IF(QuarterlyFAME!B52=0,"",QuarterlyFAME!B52)</f>
        <v>215240</v>
      </c>
      <c r="C52">
        <f>IF(QuarterlyFAME!C52=0,"",QuarterlyFAME!C52)</f>
        <v>103845</v>
      </c>
      <c r="D52">
        <f>IF(QuarterlyFAME!D52=0,"",QuarterlyFAME!D52)</f>
        <v>43553</v>
      </c>
      <c r="E52">
        <f>IF([3]QuarterlyFAME!E52=0,"",[3]QuarterlyFAME!E52)</f>
        <v>11196.9</v>
      </c>
    </row>
    <row r="53" spans="1:5" x14ac:dyDescent="0.2">
      <c r="A53" s="1">
        <f>IF(QuarterlyFAME!A53=0,"",QuarterlyFAME!A53)</f>
        <v>26298</v>
      </c>
      <c r="B53">
        <f>IF(QuarterlyFAME!B53=0,"",QuarterlyFAME!B53)</f>
        <v>216006</v>
      </c>
      <c r="C53">
        <f>IF(QuarterlyFAME!C53=0,"",QuarterlyFAME!C53)</f>
        <v>104685</v>
      </c>
      <c r="D53">
        <f>IF(QuarterlyFAME!D53=0,"",QuarterlyFAME!D53)</f>
        <v>44186</v>
      </c>
      <c r="E53">
        <f>IF([3]QuarterlyFAME!E53=0,"",[3]QuarterlyFAME!E53)</f>
        <v>11202.1</v>
      </c>
    </row>
    <row r="54" spans="1:5" x14ac:dyDescent="0.2">
      <c r="A54" s="1">
        <f>IF(QuarterlyFAME!A54=0,"",QuarterlyFAME!A54)</f>
        <v>26389</v>
      </c>
      <c r="B54">
        <f>IF(QuarterlyFAME!B54=0,"",QuarterlyFAME!B54)</f>
        <v>216317</v>
      </c>
      <c r="C54">
        <f>IF(QuarterlyFAME!C54=0,"",QuarterlyFAME!C54)</f>
        <v>106484</v>
      </c>
      <c r="D54">
        <f>IF(QuarterlyFAME!D54=0,"",QuarterlyFAME!D54)</f>
        <v>43781</v>
      </c>
      <c r="E54">
        <f>IF([3]QuarterlyFAME!E54=0,"",[3]QuarterlyFAME!E54)</f>
        <v>11293.1</v>
      </c>
    </row>
    <row r="55" spans="1:5" x14ac:dyDescent="0.2">
      <c r="A55" s="1">
        <f>IF(QuarterlyFAME!A55=0,"",QuarterlyFAME!A55)</f>
        <v>26480</v>
      </c>
      <c r="B55">
        <f>IF(QuarterlyFAME!B55=0,"",QuarterlyFAME!B55)</f>
        <v>222086</v>
      </c>
      <c r="C55">
        <f>IF(QuarterlyFAME!C55=0,"",QuarterlyFAME!C55)</f>
        <v>108905</v>
      </c>
      <c r="D55">
        <f>IF(QuarterlyFAME!D55=0,"",QuarterlyFAME!D55)</f>
        <v>45230</v>
      </c>
      <c r="E55">
        <f>IF([3]QuarterlyFAME!E55=0,"",[3]QuarterlyFAME!E55)</f>
        <v>11350.300000000001</v>
      </c>
    </row>
    <row r="56" spans="1:5" x14ac:dyDescent="0.2">
      <c r="A56" s="1">
        <f>IF(QuarterlyFAME!A56=0,"",QuarterlyFAME!A56)</f>
        <v>26572</v>
      </c>
      <c r="B56">
        <f>IF(QuarterlyFAME!B56=0,"",QuarterlyFAME!B56)</f>
        <v>222694</v>
      </c>
      <c r="C56">
        <f>IF(QuarterlyFAME!C56=0,"",QuarterlyFAME!C56)</f>
        <v>110560</v>
      </c>
      <c r="D56">
        <f>IF(QuarterlyFAME!D56=0,"",QuarterlyFAME!D56)</f>
        <v>45116</v>
      </c>
      <c r="E56">
        <f>IF([3]QuarterlyFAME!E56=0,"",[3]QuarterlyFAME!E56)</f>
        <v>11397.1</v>
      </c>
    </row>
    <row r="57" spans="1:5" x14ac:dyDescent="0.2">
      <c r="A57" s="1">
        <f>IF(QuarterlyFAME!A57=0,"",QuarterlyFAME!A57)</f>
        <v>26664</v>
      </c>
      <c r="B57">
        <f>IF(QuarterlyFAME!B57=0,"",QuarterlyFAME!B57)</f>
        <v>226205</v>
      </c>
      <c r="C57">
        <f>IF(QuarterlyFAME!C57=0,"",QuarterlyFAME!C57)</f>
        <v>111472</v>
      </c>
      <c r="D57">
        <f>IF(QuarterlyFAME!D57=0,"",QuarterlyFAME!D57)</f>
        <v>44980</v>
      </c>
      <c r="E57">
        <f>IF([3]QuarterlyFAME!E57=0,"",[3]QuarterlyFAME!E57)</f>
        <v>11464.699999999999</v>
      </c>
    </row>
    <row r="58" spans="1:5" x14ac:dyDescent="0.2">
      <c r="A58" s="1">
        <f>IF(QuarterlyFAME!A58=0,"",QuarterlyFAME!A58)</f>
        <v>26754</v>
      </c>
      <c r="B58">
        <f>IF(QuarterlyFAME!B58=0,"",QuarterlyFAME!B58)</f>
        <v>237322</v>
      </c>
      <c r="C58">
        <f>IF(QuarterlyFAME!C58=0,"",QuarterlyFAME!C58)</f>
        <v>115851</v>
      </c>
      <c r="D58">
        <f>IF(QuarterlyFAME!D58=0,"",QuarterlyFAME!D58)</f>
        <v>47315</v>
      </c>
      <c r="E58">
        <f>IF([3]QuarterlyFAME!E58=0,"",[3]QuarterlyFAME!E58)</f>
        <v>11577.800000000001</v>
      </c>
    </row>
    <row r="59" spans="1:5" x14ac:dyDescent="0.2">
      <c r="A59" s="1">
        <f>IF(QuarterlyFAME!A59=0,"",QuarterlyFAME!A59)</f>
        <v>26845</v>
      </c>
      <c r="B59">
        <f>IF(QuarterlyFAME!B59=0,"",QuarterlyFAME!B59)</f>
        <v>237728</v>
      </c>
      <c r="C59">
        <f>IF(QuarterlyFAME!C59=0,"",QuarterlyFAME!C59)</f>
        <v>115074</v>
      </c>
      <c r="D59">
        <f>IF(QuarterlyFAME!D59=0,"",QuarterlyFAME!D59)</f>
        <v>45755</v>
      </c>
      <c r="E59">
        <f>IF([3]QuarterlyFAME!E59=0,"",[3]QuarterlyFAME!E59)</f>
        <v>11624.6</v>
      </c>
    </row>
    <row r="60" spans="1:5" x14ac:dyDescent="0.2">
      <c r="A60" s="1">
        <f>IF(QuarterlyFAME!A60=0,"",QuarterlyFAME!A60)</f>
        <v>26937</v>
      </c>
      <c r="B60">
        <f>IF(QuarterlyFAME!B60=0,"",QuarterlyFAME!B60)</f>
        <v>235429</v>
      </c>
      <c r="C60">
        <f>IF(QuarterlyFAME!C60=0,"",QuarterlyFAME!C60)</f>
        <v>115927</v>
      </c>
      <c r="D60">
        <f>IF(QuarterlyFAME!D60=0,"",QuarterlyFAME!D60)</f>
        <v>44849</v>
      </c>
      <c r="E60">
        <f>IF([3]QuarterlyFAME!E60=0,"",[3]QuarterlyFAME!E60)</f>
        <v>11618.1</v>
      </c>
    </row>
    <row r="61" spans="1:5" x14ac:dyDescent="0.2">
      <c r="A61" s="1">
        <f>IF(QuarterlyFAME!A61=0,"",QuarterlyFAME!A61)</f>
        <v>27029</v>
      </c>
      <c r="B61">
        <f>IF(QuarterlyFAME!B61=0,"",QuarterlyFAME!B61)</f>
        <v>234514</v>
      </c>
      <c r="C61">
        <f>IF(QuarterlyFAME!C61=0,"",QuarterlyFAME!C61)</f>
        <v>115008</v>
      </c>
      <c r="D61">
        <f>IF(QuarterlyFAME!D61=0,"",QuarterlyFAME!D61)</f>
        <v>44646</v>
      </c>
      <c r="E61">
        <f>IF([3]QuarterlyFAME!E61=0,"",[3]QuarterlyFAME!E61)</f>
        <v>11620.699999999999</v>
      </c>
    </row>
    <row r="62" spans="1:5" x14ac:dyDescent="0.2">
      <c r="A62" s="1">
        <f>IF(QuarterlyFAME!A62=0,"",QuarterlyFAME!A62)</f>
        <v>27119</v>
      </c>
      <c r="B62">
        <f>IF(QuarterlyFAME!B62=0,"",QuarterlyFAME!B62)</f>
        <v>228013</v>
      </c>
      <c r="C62">
        <f>IF(QuarterlyFAME!C62=0,"",QuarterlyFAME!C62)</f>
        <v>112937</v>
      </c>
      <c r="D62">
        <f>IF(QuarterlyFAME!D62=0,"",QuarterlyFAME!D62)</f>
        <v>44251</v>
      </c>
      <c r="E62">
        <f>IF([3]QuarterlyFAME!E62=0,"",[3]QuarterlyFAME!E62)</f>
        <v>11590.800000000001</v>
      </c>
    </row>
    <row r="63" spans="1:5" x14ac:dyDescent="0.2">
      <c r="A63" s="1">
        <f>IF(QuarterlyFAME!A63=0,"",QuarterlyFAME!A63)</f>
        <v>27210</v>
      </c>
      <c r="B63">
        <f>IF(QuarterlyFAME!B63=0,"",QuarterlyFAME!B63)</f>
        <v>231343</v>
      </c>
      <c r="C63">
        <f>IF(QuarterlyFAME!C63=0,"",QuarterlyFAME!C63)</f>
        <v>113501</v>
      </c>
      <c r="D63">
        <f>IF(QuarterlyFAME!D63=0,"",QuarterlyFAME!D63)</f>
        <v>41823</v>
      </c>
      <c r="E63">
        <f>IF([3]QuarterlyFAME!E63=0,"",[3]QuarterlyFAME!E63)</f>
        <v>11564.800000000001</v>
      </c>
    </row>
    <row r="64" spans="1:5" x14ac:dyDescent="0.2">
      <c r="A64" s="1">
        <f>IF(QuarterlyFAME!A64=0,"",QuarterlyFAME!A64)</f>
        <v>27302</v>
      </c>
      <c r="B64">
        <f>IF(QuarterlyFAME!B64=0,"",QuarterlyFAME!B64)</f>
        <v>232777</v>
      </c>
      <c r="C64">
        <f>IF(QuarterlyFAME!C64=0,"",QuarterlyFAME!C64)</f>
        <v>114591</v>
      </c>
      <c r="D64">
        <f>IF(QuarterlyFAME!D64=0,"",QuarterlyFAME!D64)</f>
        <v>41363</v>
      </c>
      <c r="E64">
        <f>IF([3]QuarterlyFAME!E64=0,"",[3]QuarterlyFAME!E64)</f>
        <v>11545.300000000001</v>
      </c>
    </row>
    <row r="65" spans="1:5" x14ac:dyDescent="0.2">
      <c r="A65" s="1">
        <f>IF(QuarterlyFAME!A65=0,"",QuarterlyFAME!A65)</f>
        <v>27394</v>
      </c>
      <c r="B65">
        <f>IF(QuarterlyFAME!B65=0,"",QuarterlyFAME!B65)</f>
        <v>229394</v>
      </c>
      <c r="C65">
        <f>IF(QuarterlyFAME!C65=0,"",QuarterlyFAME!C65)</f>
        <v>114879</v>
      </c>
      <c r="D65">
        <f>IF(QuarterlyFAME!D65=0,"",QuarterlyFAME!D65)</f>
        <v>41542</v>
      </c>
      <c r="E65">
        <f>IF([3]QuarterlyFAME!E65=0,"",[3]QuarterlyFAME!E65)</f>
        <v>11485.5</v>
      </c>
    </row>
    <row r="66" spans="1:5" x14ac:dyDescent="0.2">
      <c r="A66" s="1">
        <f>IF(QuarterlyFAME!A66=0,"",QuarterlyFAME!A66)</f>
        <v>27484</v>
      </c>
      <c r="B66">
        <f>IF(QuarterlyFAME!B66=0,"",QuarterlyFAME!B66)</f>
        <v>229477</v>
      </c>
      <c r="C66">
        <f>IF(QuarterlyFAME!C66=0,"",QuarterlyFAME!C66)</f>
        <v>114484</v>
      </c>
      <c r="D66">
        <f>IF(QuarterlyFAME!D66=0,"",QuarterlyFAME!D66)</f>
        <v>40443</v>
      </c>
      <c r="E66">
        <f>IF([3]QuarterlyFAME!E66=0,"",[3]QuarterlyFAME!E66)</f>
        <v>11399.699999999999</v>
      </c>
    </row>
    <row r="67" spans="1:5" x14ac:dyDescent="0.2">
      <c r="A67" s="1">
        <f>IF(QuarterlyFAME!A67=0,"",QuarterlyFAME!A67)</f>
        <v>27575</v>
      </c>
      <c r="B67">
        <f>IF(QuarterlyFAME!B67=0,"",QuarterlyFAME!B67)</f>
        <v>225734</v>
      </c>
      <c r="C67">
        <f>IF(QuarterlyFAME!C67=0,"",QuarterlyFAME!C67)</f>
        <v>114713</v>
      </c>
      <c r="D67">
        <f>IF(QuarterlyFAME!D67=0,"",QuarterlyFAME!D67)</f>
        <v>40270</v>
      </c>
      <c r="E67">
        <f>IF([3]QuarterlyFAME!E67=0,"",[3]QuarterlyFAME!E67)</f>
        <v>11328.199999999999</v>
      </c>
    </row>
    <row r="68" spans="1:5" x14ac:dyDescent="0.2">
      <c r="A68" s="1">
        <f>IF(QuarterlyFAME!A68=0,"",QuarterlyFAME!A68)</f>
        <v>27667</v>
      </c>
      <c r="B68">
        <f>IF(QuarterlyFAME!B68=0,"",QuarterlyFAME!B68)</f>
        <v>224919</v>
      </c>
      <c r="C68">
        <f>IF(QuarterlyFAME!C68=0,"",QuarterlyFAME!C68)</f>
        <v>113499</v>
      </c>
      <c r="D68">
        <f>IF(QuarterlyFAME!D68=0,"",QuarterlyFAME!D68)</f>
        <v>39673</v>
      </c>
      <c r="E68">
        <f>IF([3]QuarterlyFAME!E68=0,"",[3]QuarterlyFAME!E68)</f>
        <v>11276.199999999999</v>
      </c>
    </row>
    <row r="69" spans="1:5" x14ac:dyDescent="0.2">
      <c r="A69" s="1">
        <f>IF(QuarterlyFAME!A69=0,"",QuarterlyFAME!A69)</f>
        <v>27759</v>
      </c>
      <c r="B69">
        <f>IF(QuarterlyFAME!B69=0,"",QuarterlyFAME!B69)</f>
        <v>227490</v>
      </c>
      <c r="C69">
        <f>IF(QuarterlyFAME!C69=0,"",QuarterlyFAME!C69)</f>
        <v>112523</v>
      </c>
      <c r="D69">
        <f>IF(QuarterlyFAME!D69=0,"",QuarterlyFAME!D69)</f>
        <v>38533</v>
      </c>
      <c r="E69">
        <f>IF([3]QuarterlyFAME!E69=0,"",[3]QuarterlyFAME!E69)</f>
        <v>11226.800000000001</v>
      </c>
    </row>
    <row r="70" spans="1:5" x14ac:dyDescent="0.2">
      <c r="A70" s="1">
        <f>IF(QuarterlyFAME!A70=0,"",QuarterlyFAME!A70)</f>
        <v>27850</v>
      </c>
      <c r="B70">
        <f>IF(QuarterlyFAME!B70=0,"",QuarterlyFAME!B70)</f>
        <v>231247</v>
      </c>
      <c r="C70">
        <f>IF(QuarterlyFAME!C70=0,"",QuarterlyFAME!C70)</f>
        <v>113272</v>
      </c>
      <c r="D70">
        <f>IF(QuarterlyFAME!D70=0,"",QuarterlyFAME!D70)</f>
        <v>40457</v>
      </c>
      <c r="E70">
        <f>IF([3]QuarterlyFAME!E70=0,"",[3]QuarterlyFAME!E70)</f>
        <v>11190.4</v>
      </c>
    </row>
    <row r="71" spans="1:5" x14ac:dyDescent="0.2">
      <c r="A71" s="1">
        <f>IF(QuarterlyFAME!A71=0,"",QuarterlyFAME!A71)</f>
        <v>27941</v>
      </c>
      <c r="B71">
        <f>IF(QuarterlyFAME!B71=0,"",QuarterlyFAME!B71)</f>
        <v>230985</v>
      </c>
      <c r="C71">
        <f>IF(QuarterlyFAME!C71=0,"",QuarterlyFAME!C71)</f>
        <v>114014</v>
      </c>
      <c r="D71">
        <f>IF(QuarterlyFAME!D71=0,"",QuarterlyFAME!D71)</f>
        <v>40086</v>
      </c>
      <c r="E71">
        <f>IF([3]QuarterlyFAME!E71=0,"",[3]QuarterlyFAME!E71)</f>
        <v>11181.300000000001</v>
      </c>
    </row>
    <row r="72" spans="1:5" x14ac:dyDescent="0.2">
      <c r="A72" s="1">
        <f>IF(QuarterlyFAME!A72=0,"",QuarterlyFAME!A72)</f>
        <v>28033</v>
      </c>
      <c r="B72">
        <f>IF(QuarterlyFAME!B72=0,"",QuarterlyFAME!B72)</f>
        <v>233947</v>
      </c>
      <c r="C72">
        <f>IF(QuarterlyFAME!C72=0,"",QuarterlyFAME!C72)</f>
        <v>115092</v>
      </c>
      <c r="D72">
        <f>IF(QuarterlyFAME!D72=0,"",QuarterlyFAME!D72)</f>
        <v>39606</v>
      </c>
      <c r="E72">
        <f>IF([3]QuarterlyFAME!E72=0,"",[3]QuarterlyFAME!E72)</f>
        <v>11193</v>
      </c>
    </row>
    <row r="73" spans="1:5" x14ac:dyDescent="0.2">
      <c r="A73" s="1">
        <f>IF(QuarterlyFAME!A73=0,"",QuarterlyFAME!A73)</f>
        <v>28125</v>
      </c>
      <c r="B73">
        <f>IF(QuarterlyFAME!B73=0,"",QuarterlyFAME!B73)</f>
        <v>238928</v>
      </c>
      <c r="C73">
        <f>IF(QuarterlyFAME!C73=0,"",QuarterlyFAME!C73)</f>
        <v>115326</v>
      </c>
      <c r="D73">
        <f>IF(QuarterlyFAME!D73=0,"",QuarterlyFAME!D73)</f>
        <v>39883</v>
      </c>
      <c r="E73">
        <f>IF([3]QuarterlyFAME!E73=0,"",[3]QuarterlyFAME!E73)</f>
        <v>11224.199999999999</v>
      </c>
    </row>
    <row r="74" spans="1:5" x14ac:dyDescent="0.2">
      <c r="A74" s="1">
        <f>IF(QuarterlyFAME!A74=0,"",QuarterlyFAME!A74)</f>
        <v>28215</v>
      </c>
      <c r="B74">
        <f>IF(QuarterlyFAME!B74=0,"",QuarterlyFAME!B74)</f>
        <v>238831</v>
      </c>
      <c r="C74">
        <f>IF(QuarterlyFAME!C74=0,"",QuarterlyFAME!C74)</f>
        <v>112986</v>
      </c>
      <c r="D74">
        <f>IF(QuarterlyFAME!D74=0,"",QuarterlyFAME!D74)</f>
        <v>38864</v>
      </c>
      <c r="E74">
        <f>IF([3]QuarterlyFAME!E74=0,"",[3]QuarterlyFAME!E74)</f>
        <v>11252.800000000001</v>
      </c>
    </row>
    <row r="75" spans="1:5" x14ac:dyDescent="0.2">
      <c r="A75" s="1">
        <f>IF(QuarterlyFAME!A75=0,"",QuarterlyFAME!A75)</f>
        <v>28306</v>
      </c>
      <c r="B75">
        <f>IF(QuarterlyFAME!B75=0,"",QuarterlyFAME!B75)</f>
        <v>237076</v>
      </c>
      <c r="C75">
        <f>IF(QuarterlyFAME!C75=0,"",QuarterlyFAME!C75)</f>
        <v>112834</v>
      </c>
      <c r="D75">
        <f>IF(QuarterlyFAME!D75=0,"",QuarterlyFAME!D75)</f>
        <v>41024</v>
      </c>
      <c r="E75">
        <f>IF([3]QuarterlyFAME!E75=0,"",[3]QuarterlyFAME!E75)</f>
        <v>11267.1</v>
      </c>
    </row>
    <row r="76" spans="1:5" x14ac:dyDescent="0.2">
      <c r="A76" s="1">
        <f>IF(QuarterlyFAME!A76=0,"",QuarterlyFAME!A76)</f>
        <v>28398</v>
      </c>
      <c r="B76">
        <f>IF(QuarterlyFAME!B76=0,"",QuarterlyFAME!B76)</f>
        <v>238720</v>
      </c>
      <c r="C76">
        <f>IF(QuarterlyFAME!C76=0,"",QuarterlyFAME!C76)</f>
        <v>114225</v>
      </c>
      <c r="D76">
        <f>IF(QuarterlyFAME!D76=0,"",QuarterlyFAME!D76)</f>
        <v>40580</v>
      </c>
      <c r="E76">
        <f>IF([3]QuarterlyFAME!E76=0,"",[3]QuarterlyFAME!E76)</f>
        <v>11274.9</v>
      </c>
    </row>
    <row r="77" spans="1:5" x14ac:dyDescent="0.2">
      <c r="A77" s="1">
        <f>IF(QuarterlyFAME!A77=0,"",QuarterlyFAME!A77)</f>
        <v>28490</v>
      </c>
      <c r="B77">
        <f>IF(QuarterlyFAME!B77=0,"",QuarterlyFAME!B77)</f>
        <v>242807</v>
      </c>
      <c r="C77">
        <f>IF(QuarterlyFAME!C77=0,"",QuarterlyFAME!C77)</f>
        <v>116589</v>
      </c>
      <c r="D77">
        <f>IF(QuarterlyFAME!D77=0,"",QuarterlyFAME!D77)</f>
        <v>42079</v>
      </c>
      <c r="E77">
        <f>IF([3]QuarterlyFAME!E77=0,"",[3]QuarterlyFAME!E77)</f>
        <v>11281.4</v>
      </c>
    </row>
    <row r="78" spans="1:5" x14ac:dyDescent="0.2">
      <c r="A78" s="1">
        <f>IF(QuarterlyFAME!A78=0,"",QuarterlyFAME!A78)</f>
        <v>28580</v>
      </c>
      <c r="B78">
        <f>IF(QuarterlyFAME!B78=0,"",QuarterlyFAME!B78)</f>
        <v>244622</v>
      </c>
      <c r="C78">
        <f>IF(QuarterlyFAME!C78=0,"",QuarterlyFAME!C78)</f>
        <v>119423</v>
      </c>
      <c r="D78">
        <f>IF(QuarterlyFAME!D78=0,"",QuarterlyFAME!D78)</f>
        <v>43560</v>
      </c>
      <c r="E78">
        <f>IF([3]QuarterlyFAME!E78=0,"",[3]QuarterlyFAME!E78)</f>
        <v>11297</v>
      </c>
    </row>
    <row r="79" spans="1:5" x14ac:dyDescent="0.2">
      <c r="A79" s="1">
        <f>IF(QuarterlyFAME!A79=0,"",QuarterlyFAME!A79)</f>
        <v>28671</v>
      </c>
      <c r="B79">
        <f>IF(QuarterlyFAME!B79=0,"",QuarterlyFAME!B79)</f>
        <v>247510</v>
      </c>
      <c r="C79">
        <f>IF(QuarterlyFAME!C79=0,"",QuarterlyFAME!C79)</f>
        <v>119080</v>
      </c>
      <c r="D79">
        <f>IF(QuarterlyFAME!D79=0,"",QuarterlyFAME!D79)</f>
        <v>43639</v>
      </c>
      <c r="E79">
        <f>IF([3]QuarterlyFAME!E79=0,"",[3]QuarterlyFAME!E79)</f>
        <v>11312.6</v>
      </c>
    </row>
    <row r="80" spans="1:5" x14ac:dyDescent="0.2">
      <c r="A80" s="1">
        <f>IF(QuarterlyFAME!A80=0,"",QuarterlyFAME!A80)</f>
        <v>28763</v>
      </c>
      <c r="B80">
        <f>IF(QuarterlyFAME!B80=0,"",QuarterlyFAME!B80)</f>
        <v>250901</v>
      </c>
      <c r="C80">
        <f>IF(QuarterlyFAME!C80=0,"",QuarterlyFAME!C80)</f>
        <v>121777</v>
      </c>
      <c r="D80">
        <f>IF(QuarterlyFAME!D80=0,"",QuarterlyFAME!D80)</f>
        <v>43606</v>
      </c>
      <c r="E80">
        <f>IF([3]QuarterlyFAME!E80=0,"",[3]QuarterlyFAME!E80)</f>
        <v>11336</v>
      </c>
    </row>
    <row r="81" spans="1:5" x14ac:dyDescent="0.2">
      <c r="A81" s="1">
        <f>IF(QuarterlyFAME!A81=0,"",QuarterlyFAME!A81)</f>
        <v>28855</v>
      </c>
      <c r="B81">
        <f>IF(QuarterlyFAME!B81=0,"",QuarterlyFAME!B81)</f>
        <v>253135</v>
      </c>
      <c r="C81">
        <f>IF(QuarterlyFAME!C81=0,"",QuarterlyFAME!C81)</f>
        <v>120964</v>
      </c>
      <c r="D81">
        <f>IF(QuarterlyFAME!D81=0,"",QuarterlyFAME!D81)</f>
        <v>43752</v>
      </c>
      <c r="E81">
        <f>IF([3]QuarterlyFAME!E81=0,"",[3]QuarterlyFAME!E81)</f>
        <v>11395.800000000001</v>
      </c>
    </row>
    <row r="82" spans="1:5" x14ac:dyDescent="0.2">
      <c r="A82" s="1">
        <f>IF(QuarterlyFAME!A82=0,"",QuarterlyFAME!A82)</f>
        <v>28945</v>
      </c>
      <c r="B82">
        <f>IF(QuarterlyFAME!B82=0,"",QuarterlyFAME!B82)</f>
        <v>251825</v>
      </c>
      <c r="C82">
        <f>IF(QuarterlyFAME!C82=0,"",QuarterlyFAME!C82)</f>
        <v>123098</v>
      </c>
      <c r="D82">
        <f>IF(QuarterlyFAME!D82=0,"",QuarterlyFAME!D82)</f>
        <v>45999</v>
      </c>
      <c r="E82">
        <f>IF([3]QuarterlyFAME!E82=0,"",[3]QuarterlyFAME!E82)</f>
        <v>11421.800000000001</v>
      </c>
    </row>
    <row r="83" spans="1:5" x14ac:dyDescent="0.2">
      <c r="A83" s="1">
        <f>IF(QuarterlyFAME!A83=0,"",QuarterlyFAME!A83)</f>
        <v>29036</v>
      </c>
      <c r="B83">
        <f>IF(QuarterlyFAME!B83=0,"",QuarterlyFAME!B83)</f>
        <v>262981</v>
      </c>
      <c r="C83">
        <f>IF(QuarterlyFAME!C83=0,"",QuarterlyFAME!C83)</f>
        <v>130033</v>
      </c>
      <c r="D83">
        <f>IF(QuarterlyFAME!D83=0,"",QuarterlyFAME!D83)</f>
        <v>47062</v>
      </c>
      <c r="E83">
        <f>IF([3]QuarterlyFAME!E83=0,"",[3]QuarterlyFAME!E83)</f>
        <v>11434.800000000001</v>
      </c>
    </row>
    <row r="84" spans="1:5" x14ac:dyDescent="0.2">
      <c r="A84" s="1">
        <f>IF(QuarterlyFAME!A84=0,"",QuarterlyFAME!A84)</f>
        <v>29128</v>
      </c>
      <c r="B84">
        <f>IF(QuarterlyFAME!B84=0,"",QuarterlyFAME!B84)</f>
        <v>257095</v>
      </c>
      <c r="C84">
        <f>IF(QuarterlyFAME!C84=0,"",QuarterlyFAME!C84)</f>
        <v>124599</v>
      </c>
      <c r="D84">
        <f>IF(QuarterlyFAME!D84=0,"",QuarterlyFAME!D84)</f>
        <v>47936</v>
      </c>
      <c r="E84">
        <f>IF([3]QuarterlyFAME!E84=0,"",[3]QuarterlyFAME!E84)</f>
        <v>11447.800000000001</v>
      </c>
    </row>
    <row r="85" spans="1:5" x14ac:dyDescent="0.2">
      <c r="A85" s="1">
        <f>IF(QuarterlyFAME!A85=0,"",QuarterlyFAME!A85)</f>
        <v>29220</v>
      </c>
      <c r="B85">
        <f>IF(QuarterlyFAME!B85=0,"",QuarterlyFAME!B85)</f>
        <v>259744</v>
      </c>
      <c r="C85">
        <f>IF(QuarterlyFAME!C85=0,"",QuarterlyFAME!C85)</f>
        <v>126291</v>
      </c>
      <c r="D85">
        <f>IF(QuarterlyFAME!D85=0,"",QuarterlyFAME!D85)</f>
        <v>48608</v>
      </c>
      <c r="E85">
        <f>IF([3]QuarterlyFAME!E85=0,"",[3]QuarterlyFAME!E85)</f>
        <v>11437.4</v>
      </c>
    </row>
    <row r="86" spans="1:5" x14ac:dyDescent="0.2">
      <c r="A86" s="1">
        <f>IF(QuarterlyFAME!A86=0,"",QuarterlyFAME!A86)</f>
        <v>29311</v>
      </c>
      <c r="B86">
        <f>IF(QuarterlyFAME!B86=0,"",QuarterlyFAME!B86)</f>
        <v>256815</v>
      </c>
      <c r="C86">
        <f>IF(QuarterlyFAME!C86=0,"",QuarterlyFAME!C86)</f>
        <v>128436</v>
      </c>
      <c r="D86">
        <f>IF(QuarterlyFAME!D86=0,"",QuarterlyFAME!D86)</f>
        <v>46263</v>
      </c>
      <c r="E86">
        <f>IF([3]QuarterlyFAME!E86=0,"",[3]QuarterlyFAME!E86)</f>
        <v>11376.300000000001</v>
      </c>
    </row>
    <row r="87" spans="1:5" x14ac:dyDescent="0.2">
      <c r="A87" s="1">
        <f>IF(QuarterlyFAME!A87=0,"",QuarterlyFAME!A87)</f>
        <v>29402</v>
      </c>
      <c r="B87">
        <f>IF(QuarterlyFAME!B87=0,"",QuarterlyFAME!B87)</f>
        <v>251750</v>
      </c>
      <c r="C87">
        <f>IF(QuarterlyFAME!C87=0,"",QuarterlyFAME!C87)</f>
        <v>125085</v>
      </c>
      <c r="D87">
        <f>IF(QuarterlyFAME!D87=0,"",QuarterlyFAME!D87)</f>
        <v>44461</v>
      </c>
      <c r="E87">
        <f>IF([3]QuarterlyFAME!E87=0,"",[3]QuarterlyFAME!E87)</f>
        <v>11286.6</v>
      </c>
    </row>
    <row r="88" spans="1:5" x14ac:dyDescent="0.2">
      <c r="A88" s="1">
        <f>IF(QuarterlyFAME!A88=0,"",QuarterlyFAME!A88)</f>
        <v>29494</v>
      </c>
      <c r="B88">
        <f>IF(QuarterlyFAME!B88=0,"",QuarterlyFAME!B88)</f>
        <v>251454</v>
      </c>
      <c r="C88">
        <f>IF(QuarterlyFAME!C88=0,"",QuarterlyFAME!C88)</f>
        <v>126726</v>
      </c>
      <c r="D88">
        <f>IF(QuarterlyFAME!D88=0,"",QuarterlyFAME!D88)</f>
        <v>43674</v>
      </c>
      <c r="E88">
        <f>IF([3]QuarterlyFAME!E88=0,"",[3]QuarterlyFAME!E88)</f>
        <v>11146.199999999999</v>
      </c>
    </row>
    <row r="89" spans="1:5" x14ac:dyDescent="0.2">
      <c r="A89" s="1">
        <f>IF(QuarterlyFAME!A89=0,"",QuarterlyFAME!A89)</f>
        <v>29586</v>
      </c>
      <c r="B89">
        <f>IF(QuarterlyFAME!B89=0,"",QuarterlyFAME!B89)</f>
        <v>248574</v>
      </c>
      <c r="C89">
        <f>IF(QuarterlyFAME!C89=0,"",QuarterlyFAME!C89)</f>
        <v>124309</v>
      </c>
      <c r="D89">
        <f>IF(QuarterlyFAME!D89=0,"",QuarterlyFAME!D89)</f>
        <v>43053</v>
      </c>
      <c r="E89">
        <f>IF([3]QuarterlyFAME!E89=0,"",[3]QuarterlyFAME!E89)</f>
        <v>10979.800000000001</v>
      </c>
    </row>
    <row r="90" spans="1:5" x14ac:dyDescent="0.2">
      <c r="A90" s="1">
        <f>IF(QuarterlyFAME!A90=0,"",QuarterlyFAME!A90)</f>
        <v>29676</v>
      </c>
      <c r="B90">
        <f>IF(QuarterlyFAME!B90=0,"",QuarterlyFAME!B90)</f>
        <v>248097</v>
      </c>
      <c r="C90">
        <f>IF(QuarterlyFAME!C90=0,"",QuarterlyFAME!C90)</f>
        <v>126574</v>
      </c>
      <c r="D90">
        <f>IF(QuarterlyFAME!D90=0,"",QuarterlyFAME!D90)</f>
        <v>40673</v>
      </c>
      <c r="E90">
        <f>IF([3]QuarterlyFAME!E90=0,"",[3]QuarterlyFAME!E90)</f>
        <v>10826.4</v>
      </c>
    </row>
    <row r="91" spans="1:5" x14ac:dyDescent="0.2">
      <c r="A91" s="1">
        <f>IF(QuarterlyFAME!A91=0,"",QuarterlyFAME!A91)</f>
        <v>29767</v>
      </c>
      <c r="B91">
        <f>IF(QuarterlyFAME!B91=0,"",QuarterlyFAME!B91)</f>
        <v>248514</v>
      </c>
      <c r="C91">
        <f>IF(QuarterlyFAME!C91=0,"",QuarterlyFAME!C91)</f>
        <v>126512</v>
      </c>
      <c r="D91">
        <f>IF(QuarterlyFAME!D91=0,"",QuarterlyFAME!D91)</f>
        <v>41620</v>
      </c>
      <c r="E91">
        <f>IF([3]QuarterlyFAME!E91=0,"",[3]QuarterlyFAME!E91)</f>
        <v>10708.1</v>
      </c>
    </row>
    <row r="92" spans="1:5" x14ac:dyDescent="0.2">
      <c r="A92" s="1">
        <f>IF(QuarterlyFAME!A92=0,"",QuarterlyFAME!A92)</f>
        <v>29859</v>
      </c>
      <c r="B92">
        <f>IF(QuarterlyFAME!B92=0,"",QuarterlyFAME!B92)</f>
        <v>251197</v>
      </c>
      <c r="C92">
        <f>IF(QuarterlyFAME!C92=0,"",QuarterlyFAME!C92)</f>
        <v>126598</v>
      </c>
      <c r="D92">
        <f>IF(QuarterlyFAME!D92=0,"",QuarterlyFAME!D92)</f>
        <v>41966</v>
      </c>
      <c r="E92">
        <f>IF([3]QuarterlyFAME!E92=0,"",[3]QuarterlyFAME!E92)</f>
        <v>10631.4</v>
      </c>
    </row>
    <row r="93" spans="1:5" x14ac:dyDescent="0.2">
      <c r="A93" s="1">
        <f>IF(QuarterlyFAME!A93=0,"",QuarterlyFAME!A93)</f>
        <v>29951</v>
      </c>
      <c r="B93">
        <f>IF(QuarterlyFAME!B93=0,"",QuarterlyFAME!B93)</f>
        <v>251349</v>
      </c>
      <c r="C93">
        <f>IF(QuarterlyFAME!C93=0,"",QuarterlyFAME!C93)</f>
        <v>126245</v>
      </c>
      <c r="D93">
        <f>IF(QuarterlyFAME!D93=0,"",QuarterlyFAME!D93)</f>
        <v>41460</v>
      </c>
      <c r="E93">
        <f>IF([3]QuarterlyFAME!E93=0,"",[3]QuarterlyFAME!E93)</f>
        <v>10565.1</v>
      </c>
    </row>
    <row r="94" spans="1:5" x14ac:dyDescent="0.2">
      <c r="A94" s="1">
        <f>IF(QuarterlyFAME!A94=0,"",QuarterlyFAME!A94)</f>
        <v>30041</v>
      </c>
      <c r="B94">
        <f>IF(QuarterlyFAME!B94=0,"",QuarterlyFAME!B94)</f>
        <v>251388</v>
      </c>
      <c r="C94">
        <f>IF(QuarterlyFAME!C94=0,"",QuarterlyFAME!C94)</f>
        <v>126668</v>
      </c>
      <c r="D94">
        <f>IF(QuarterlyFAME!D94=0,"",QuarterlyFAME!D94)</f>
        <v>41386</v>
      </c>
      <c r="E94">
        <f>IF([3]QuarterlyFAME!E94=0,"",[3]QuarterlyFAME!E94)</f>
        <v>10532.6</v>
      </c>
    </row>
    <row r="95" spans="1:5" x14ac:dyDescent="0.2">
      <c r="A95" s="1">
        <f>IF(QuarterlyFAME!A95=0,"",QuarterlyFAME!A95)</f>
        <v>30132</v>
      </c>
      <c r="B95">
        <f>IF(QuarterlyFAME!B95=0,"",QuarterlyFAME!B95)</f>
        <v>253939</v>
      </c>
      <c r="C95">
        <f>IF(QuarterlyFAME!C95=0,"",QuarterlyFAME!C95)</f>
        <v>126571</v>
      </c>
      <c r="D95">
        <f>IF(QuarterlyFAME!D95=0,"",QuarterlyFAME!D95)</f>
        <v>43277</v>
      </c>
      <c r="E95">
        <f>IF([3]QuarterlyFAME!E95=0,"",[3]QuarterlyFAME!E95)</f>
        <v>10491</v>
      </c>
    </row>
    <row r="96" spans="1:5" x14ac:dyDescent="0.2">
      <c r="A96" s="1">
        <f>IF(QuarterlyFAME!A96=0,"",QuarterlyFAME!A96)</f>
        <v>30224</v>
      </c>
      <c r="B96">
        <f>IF(QuarterlyFAME!B96=0,"",QuarterlyFAME!B96)</f>
        <v>254533</v>
      </c>
      <c r="C96">
        <f>IF(QuarterlyFAME!C96=0,"",QuarterlyFAME!C96)</f>
        <v>128702</v>
      </c>
      <c r="D96">
        <f>IF(QuarterlyFAME!D96=0,"",QuarterlyFAME!D96)</f>
        <v>44541</v>
      </c>
      <c r="E96">
        <f>IF([3]QuarterlyFAME!E96=0,"",[3]QuarterlyFAME!E96)</f>
        <v>10428.6</v>
      </c>
    </row>
    <row r="97" spans="1:5" x14ac:dyDescent="0.2">
      <c r="A97" s="1">
        <f>IF(QuarterlyFAME!A97=0,"",QuarterlyFAME!A97)</f>
        <v>30316</v>
      </c>
      <c r="B97">
        <f>IF(QuarterlyFAME!B97=0,"",QuarterlyFAME!B97)</f>
        <v>256172</v>
      </c>
      <c r="C97">
        <f>IF(QuarterlyFAME!C97=0,"",QuarterlyFAME!C97)</f>
        <v>129796</v>
      </c>
      <c r="D97">
        <f>IF(QuarterlyFAME!D97=0,"",QuarterlyFAME!D97)</f>
        <v>45037</v>
      </c>
      <c r="E97">
        <f>IF([3]QuarterlyFAME!E97=0,"",[3]QuarterlyFAME!E97)</f>
        <v>10351.9</v>
      </c>
    </row>
    <row r="98" spans="1:5" x14ac:dyDescent="0.2">
      <c r="A98" s="1">
        <f>IF(QuarterlyFAME!A98=0,"",QuarterlyFAME!A98)</f>
        <v>30406</v>
      </c>
      <c r="B98">
        <f>IF(QuarterlyFAME!B98=0,"",QuarterlyFAME!B98)</f>
        <v>260720</v>
      </c>
      <c r="C98">
        <f>IF(QuarterlyFAME!C98=0,"",QuarterlyFAME!C98)</f>
        <v>131753</v>
      </c>
      <c r="D98">
        <f>IF(QuarterlyFAME!D98=0,"",QuarterlyFAME!D98)</f>
        <v>46370</v>
      </c>
      <c r="E98">
        <f>IF([3]QuarterlyFAME!E98=0,"",[3]QuarterlyFAME!E98)</f>
        <v>10292.1</v>
      </c>
    </row>
    <row r="99" spans="1:5" x14ac:dyDescent="0.2">
      <c r="A99" s="1">
        <f>IF(QuarterlyFAME!A99=0,"",QuarterlyFAME!A99)</f>
        <v>30497</v>
      </c>
      <c r="B99">
        <f>IF(QuarterlyFAME!B99=0,"",QuarterlyFAME!B99)</f>
        <v>262390</v>
      </c>
      <c r="C99">
        <f>IF(QuarterlyFAME!C99=0,"",QuarterlyFAME!C99)</f>
        <v>132591</v>
      </c>
      <c r="D99">
        <f>IF(QuarterlyFAME!D99=0,"",QuarterlyFAME!D99)</f>
        <v>45818</v>
      </c>
      <c r="E99">
        <f>IF([3]QuarterlyFAME!E99=0,"",[3]QuarterlyFAME!E99)</f>
        <v>10280.4</v>
      </c>
    </row>
    <row r="100" spans="1:5" x14ac:dyDescent="0.2">
      <c r="A100" s="1">
        <f>IF(QuarterlyFAME!A100=0,"",QuarterlyFAME!A100)</f>
        <v>30589</v>
      </c>
      <c r="B100">
        <f>IF(QuarterlyFAME!B100=0,"",QuarterlyFAME!B100)</f>
        <v>265120</v>
      </c>
      <c r="C100">
        <f>IF(QuarterlyFAME!C100=0,"",QuarterlyFAME!C100)</f>
        <v>134749</v>
      </c>
      <c r="D100">
        <f>IF(QuarterlyFAME!D100=0,"",QuarterlyFAME!D100)</f>
        <v>46258</v>
      </c>
      <c r="E100">
        <f>IF([3]QuarterlyFAME!E100=0,"",[3]QuarterlyFAME!E100)</f>
        <v>10349.300000000001</v>
      </c>
    </row>
    <row r="101" spans="1:5" x14ac:dyDescent="0.2">
      <c r="A101" s="1">
        <f>IF(QuarterlyFAME!A101=0,"",QuarterlyFAME!A101)</f>
        <v>30681</v>
      </c>
      <c r="B101">
        <f>IF(QuarterlyFAME!B101=0,"",QuarterlyFAME!B101)</f>
        <v>267076</v>
      </c>
      <c r="C101">
        <f>IF(QuarterlyFAME!C101=0,"",QuarterlyFAME!C101)</f>
        <v>134800</v>
      </c>
      <c r="D101">
        <f>IF(QuarterlyFAME!D101=0,"",QuarterlyFAME!D101)</f>
        <v>48413</v>
      </c>
      <c r="E101">
        <f>IF([3]QuarterlyFAME!E101=0,"",[3]QuarterlyFAME!E101)</f>
        <v>10436.4</v>
      </c>
    </row>
    <row r="102" spans="1:5" x14ac:dyDescent="0.2">
      <c r="A102" s="1">
        <f>IF(QuarterlyFAME!A102=0,"",QuarterlyFAME!A102)</f>
        <v>30772</v>
      </c>
      <c r="B102">
        <f>IF(QuarterlyFAME!B102=0,"",QuarterlyFAME!B102)</f>
        <v>268763</v>
      </c>
      <c r="C102">
        <f>IF(QuarterlyFAME!C102=0,"",QuarterlyFAME!C102)</f>
        <v>135619</v>
      </c>
      <c r="D102">
        <f>IF(QuarterlyFAME!D102=0,"",QuarterlyFAME!D102)</f>
        <v>49453</v>
      </c>
      <c r="E102">
        <f>IF([3]QuarterlyFAME!E102=0,"",[3]QuarterlyFAME!E102)</f>
        <v>10506.6</v>
      </c>
    </row>
    <row r="103" spans="1:5" x14ac:dyDescent="0.2">
      <c r="A103" s="1">
        <f>IF(QuarterlyFAME!A103=0,"",QuarterlyFAME!A103)</f>
        <v>30863</v>
      </c>
      <c r="B103">
        <f>IF(QuarterlyFAME!B103=0,"",QuarterlyFAME!B103)</f>
        <v>266099</v>
      </c>
      <c r="C103">
        <f>IF(QuarterlyFAME!C103=0,"",QuarterlyFAME!C103)</f>
        <v>136699</v>
      </c>
      <c r="D103">
        <f>IF(QuarterlyFAME!D103=0,"",QuarterlyFAME!D103)</f>
        <v>49645</v>
      </c>
      <c r="E103">
        <f>IF([3]QuarterlyFAME!E103=0,"",[3]QuarterlyFAME!E103)</f>
        <v>10574.199999999999</v>
      </c>
    </row>
    <row r="104" spans="1:5" x14ac:dyDescent="0.2">
      <c r="A104" s="1">
        <f>IF(QuarterlyFAME!A104=0,"",QuarterlyFAME!A104)</f>
        <v>30955</v>
      </c>
      <c r="B104">
        <f>IF(QuarterlyFAME!B104=0,"",QuarterlyFAME!B104)</f>
        <v>267783</v>
      </c>
      <c r="C104">
        <f>IF(QuarterlyFAME!C104=0,"",QuarterlyFAME!C104)</f>
        <v>135975</v>
      </c>
      <c r="D104">
        <f>IF(QuarterlyFAME!D104=0,"",QuarterlyFAME!D104)</f>
        <v>49723</v>
      </c>
      <c r="E104">
        <f>IF([3]QuarterlyFAME!E104=0,"",[3]QuarterlyFAME!E104)</f>
        <v>10630.1</v>
      </c>
    </row>
    <row r="105" spans="1:5" x14ac:dyDescent="0.2">
      <c r="A105" s="1">
        <f>IF(QuarterlyFAME!A105=0,"",QuarterlyFAME!A105)</f>
        <v>31047</v>
      </c>
      <c r="B105">
        <f>IF(QuarterlyFAME!B105=0,"",QuarterlyFAME!B105)</f>
        <v>272734</v>
      </c>
      <c r="C105">
        <f>IF(QuarterlyFAME!C105=0,"",QuarterlyFAME!C105)</f>
        <v>138537</v>
      </c>
      <c r="D105">
        <f>IF(QuarterlyFAME!D105=0,"",QuarterlyFAME!D105)</f>
        <v>50096</v>
      </c>
      <c r="E105">
        <f>IF([3]QuarterlyFAME!E105=0,"",[3]QuarterlyFAME!E105)</f>
        <v>10684.699999999999</v>
      </c>
    </row>
    <row r="106" spans="1:5" x14ac:dyDescent="0.2">
      <c r="A106" s="1">
        <f>IF(QuarterlyFAME!A106=0,"",QuarterlyFAME!A106)</f>
        <v>31137</v>
      </c>
      <c r="B106">
        <f>IF(QuarterlyFAME!B106=0,"",QuarterlyFAME!B106)</f>
        <v>274498</v>
      </c>
      <c r="C106">
        <f>IF(QuarterlyFAME!C106=0,"",QuarterlyFAME!C106)</f>
        <v>141730</v>
      </c>
      <c r="D106">
        <f>IF(QuarterlyFAME!D106=0,"",QuarterlyFAME!D106)</f>
        <v>53861</v>
      </c>
      <c r="E106">
        <f>IF([3]QuarterlyFAME!E106=0,"",[3]QuarterlyFAME!E106)</f>
        <v>10725</v>
      </c>
    </row>
    <row r="107" spans="1:5" x14ac:dyDescent="0.2">
      <c r="A107" s="1">
        <f>IF(QuarterlyFAME!A107=0,"",QuarterlyFAME!A107)</f>
        <v>31228</v>
      </c>
      <c r="B107">
        <f>IF(QuarterlyFAME!B107=0,"",QuarterlyFAME!B107)</f>
        <v>280049</v>
      </c>
      <c r="C107">
        <f>IF(QuarterlyFAME!C107=0,"",QuarterlyFAME!C107)</f>
        <v>142472</v>
      </c>
      <c r="D107">
        <f>IF(QuarterlyFAME!D107=0,"",QuarterlyFAME!D107)</f>
        <v>49474</v>
      </c>
      <c r="E107">
        <f>IF([3]QuarterlyFAME!E107=0,"",[3]QuarterlyFAME!E107)</f>
        <v>10745.800000000001</v>
      </c>
    </row>
    <row r="108" spans="1:5" x14ac:dyDescent="0.2">
      <c r="A108" s="1">
        <f>IF(QuarterlyFAME!A108=0,"",QuarterlyFAME!A108)</f>
        <v>31320</v>
      </c>
      <c r="B108">
        <f>IF(QuarterlyFAME!B108=0,"",QuarterlyFAME!B108)</f>
        <v>280252</v>
      </c>
      <c r="C108">
        <f>IF(QuarterlyFAME!C108=0,"",QuarterlyFAME!C108)</f>
        <v>144493</v>
      </c>
      <c r="D108">
        <f>IF(QuarterlyFAME!D108=0,"",QuarterlyFAME!D108)</f>
        <v>49904</v>
      </c>
      <c r="E108">
        <f>IF([3]QuarterlyFAME!E108=0,"",[3]QuarterlyFAME!E108)</f>
        <v>10758.800000000001</v>
      </c>
    </row>
    <row r="109" spans="1:5" x14ac:dyDescent="0.2">
      <c r="A109" s="1">
        <f>IF(QuarterlyFAME!A109=0,"",QuarterlyFAME!A109)</f>
        <v>31412</v>
      </c>
      <c r="B109">
        <f>IF(QuarterlyFAME!B109=0,"",QuarterlyFAME!B109)</f>
        <v>280672</v>
      </c>
      <c r="C109">
        <f>IF(QuarterlyFAME!C109=0,"",QuarterlyFAME!C109)</f>
        <v>145621</v>
      </c>
      <c r="D109">
        <f>IF(QuarterlyFAME!D109=0,"",QuarterlyFAME!D109)</f>
        <v>49710</v>
      </c>
      <c r="E109">
        <f>IF([3]QuarterlyFAME!E109=0,"",[3]QuarterlyFAME!E109)</f>
        <v>10760.1</v>
      </c>
    </row>
    <row r="110" spans="1:5" x14ac:dyDescent="0.2">
      <c r="A110" s="1">
        <f>IF(QuarterlyFAME!A110=0,"",QuarterlyFAME!A110)</f>
        <v>31502</v>
      </c>
      <c r="B110">
        <f>IF(QuarterlyFAME!B110=0,"",QuarterlyFAME!B110)</f>
        <v>283200</v>
      </c>
      <c r="C110">
        <f>IF(QuarterlyFAME!C110=0,"",QuarterlyFAME!C110)</f>
        <v>149625</v>
      </c>
      <c r="D110">
        <f>IF(QuarterlyFAME!D110=0,"",QuarterlyFAME!D110)</f>
        <v>49176</v>
      </c>
      <c r="E110">
        <f>IF([3]QuarterlyFAME!E110=0,"",[3]QuarterlyFAME!E110)</f>
        <v>10753.6</v>
      </c>
    </row>
    <row r="111" spans="1:5" x14ac:dyDescent="0.2">
      <c r="A111" s="1">
        <f>IF(QuarterlyFAME!A111=0,"",QuarterlyFAME!A111)</f>
        <v>31593</v>
      </c>
      <c r="B111">
        <f>IF(QuarterlyFAME!B111=0,"",QuarterlyFAME!B111)</f>
        <v>284643</v>
      </c>
      <c r="C111">
        <f>IF(QuarterlyFAME!C111=0,"",QuarterlyFAME!C111)</f>
        <v>151978</v>
      </c>
      <c r="D111">
        <f>IF(QuarterlyFAME!D111=0,"",QuarterlyFAME!D111)</f>
        <v>47819</v>
      </c>
      <c r="E111">
        <f>IF([3]QuarterlyFAME!E111=0,"",[3]QuarterlyFAME!E111)</f>
        <v>10756.199999999999</v>
      </c>
    </row>
    <row r="112" spans="1:5" x14ac:dyDescent="0.2">
      <c r="A112" s="1">
        <f>IF(QuarterlyFAME!A112=0,"",QuarterlyFAME!A112)</f>
        <v>31685</v>
      </c>
      <c r="B112">
        <f>IF(QuarterlyFAME!B112=0,"",QuarterlyFAME!B112)</f>
        <v>285943</v>
      </c>
      <c r="C112">
        <f>IF(QuarterlyFAME!C112=0,"",QuarterlyFAME!C112)</f>
        <v>152962</v>
      </c>
      <c r="D112">
        <f>IF(QuarterlyFAME!D112=0,"",QuarterlyFAME!D112)</f>
        <v>50498</v>
      </c>
      <c r="E112">
        <f>IF([3]QuarterlyFAME!E112=0,"",[3]QuarterlyFAME!E112)</f>
        <v>10788.699999999999</v>
      </c>
    </row>
    <row r="113" spans="1:5" x14ac:dyDescent="0.2">
      <c r="A113" s="1">
        <f>IF(QuarterlyFAME!A113=0,"",QuarterlyFAME!A113)</f>
        <v>31777</v>
      </c>
      <c r="B113">
        <f>IF(QuarterlyFAME!B113=0,"",QuarterlyFAME!B113)</f>
        <v>290408</v>
      </c>
      <c r="C113">
        <f>IF(QuarterlyFAME!C113=0,"",QuarterlyFAME!C113)</f>
        <v>153702</v>
      </c>
      <c r="D113">
        <f>IF(QuarterlyFAME!D113=0,"",QuarterlyFAME!D113)</f>
        <v>52948</v>
      </c>
      <c r="E113">
        <f>IF([3]QuarterlyFAME!E113=0,"",[3]QuarterlyFAME!E113)</f>
        <v>10827.699999999999</v>
      </c>
    </row>
    <row r="114" spans="1:5" x14ac:dyDescent="0.2">
      <c r="A114" s="1">
        <f>IF(QuarterlyFAME!A114=0,"",QuarterlyFAME!A114)</f>
        <v>31867</v>
      </c>
      <c r="B114">
        <f>IF(QuarterlyFAME!B114=0,"",QuarterlyFAME!B114)</f>
        <v>293128</v>
      </c>
      <c r="C114">
        <f>IF(QuarterlyFAME!C114=0,"",QuarterlyFAME!C114)</f>
        <v>155439</v>
      </c>
      <c r="D114">
        <f>IF(QuarterlyFAME!D114=0,"",QuarterlyFAME!D114)</f>
        <v>51615</v>
      </c>
      <c r="E114">
        <f>IF([3]QuarterlyFAME!E114=0,"",[3]QuarterlyFAME!E114)</f>
        <v>10873.199999999999</v>
      </c>
    </row>
    <row r="115" spans="1:5" x14ac:dyDescent="0.2">
      <c r="A115" s="1">
        <f>IF(QuarterlyFAME!A115=0,"",QuarterlyFAME!A115)</f>
        <v>31958</v>
      </c>
      <c r="B115">
        <f>IF(QuarterlyFAME!B115=0,"",QuarterlyFAME!B115)</f>
        <v>297464</v>
      </c>
      <c r="C115">
        <f>IF(QuarterlyFAME!C115=0,"",QuarterlyFAME!C115)</f>
        <v>158041</v>
      </c>
      <c r="D115">
        <f>IF(QuarterlyFAME!D115=0,"",QuarterlyFAME!D115)</f>
        <v>54107</v>
      </c>
      <c r="E115">
        <f>IF([3]QuarterlyFAME!E115=0,"",[3]QuarterlyFAME!E115)</f>
        <v>10962.9</v>
      </c>
    </row>
    <row r="116" spans="1:5" x14ac:dyDescent="0.2">
      <c r="A116" s="1">
        <f>IF(QuarterlyFAME!A116=0,"",QuarterlyFAME!A116)</f>
        <v>32050</v>
      </c>
      <c r="B116">
        <f>IF(QuarterlyFAME!B116=0,"",QuarterlyFAME!B116)</f>
        <v>304555</v>
      </c>
      <c r="C116">
        <f>IF(QuarterlyFAME!C116=0,"",QuarterlyFAME!C116)</f>
        <v>161305</v>
      </c>
      <c r="D116">
        <f>IF(QuarterlyFAME!D116=0,"",QuarterlyFAME!D116)</f>
        <v>59096</v>
      </c>
      <c r="E116">
        <f>IF([3]QuarterlyFAME!E116=0,"",[3]QuarterlyFAME!E116)</f>
        <v>11079.9</v>
      </c>
    </row>
    <row r="117" spans="1:5" x14ac:dyDescent="0.2">
      <c r="A117" s="1">
        <f>IF(QuarterlyFAME!A117=0,"",QuarterlyFAME!A117)</f>
        <v>32142</v>
      </c>
      <c r="B117">
        <f>IF(QuarterlyFAME!B117=0,"",QuarterlyFAME!B117)</f>
        <v>308624</v>
      </c>
      <c r="C117">
        <f>IF(QuarterlyFAME!C117=0,"",QuarterlyFAME!C117)</f>
        <v>164878</v>
      </c>
      <c r="D117">
        <f>IF(QuarterlyFAME!D117=0,"",QuarterlyFAME!D117)</f>
        <v>60521</v>
      </c>
      <c r="E117">
        <f>IF([3]QuarterlyFAME!E117=0,"",[3]QuarterlyFAME!E117)</f>
        <v>11190.4</v>
      </c>
    </row>
    <row r="118" spans="1:5" x14ac:dyDescent="0.2">
      <c r="A118" s="1">
        <f>IF(QuarterlyFAME!A118=0,"",QuarterlyFAME!A118)</f>
        <v>32233</v>
      </c>
      <c r="B118">
        <f>IF(QuarterlyFAME!B118=0,"",QuarterlyFAME!B118)</f>
        <v>313316</v>
      </c>
      <c r="C118">
        <f>IF(QuarterlyFAME!C118=0,"",QuarterlyFAME!C118)</f>
        <v>167118</v>
      </c>
      <c r="D118">
        <f>IF(QuarterlyFAME!D118=0,"",QuarterlyFAME!D118)</f>
        <v>63524</v>
      </c>
      <c r="E118">
        <f>IF([3]QuarterlyFAME!E118=0,"",[3]QuarterlyFAME!E118)</f>
        <v>11302.199999999999</v>
      </c>
    </row>
    <row r="119" spans="1:5" x14ac:dyDescent="0.2">
      <c r="A119" s="1">
        <f>IF(QuarterlyFAME!A119=0,"",QuarterlyFAME!A119)</f>
        <v>32324</v>
      </c>
      <c r="B119">
        <f>IF(QuarterlyFAME!B119=0,"",QuarterlyFAME!B119)</f>
        <v>313997</v>
      </c>
      <c r="C119">
        <f>IF(QuarterlyFAME!C119=0,"",QuarterlyFAME!C119)</f>
        <v>169500</v>
      </c>
      <c r="D119">
        <f>IF(QuarterlyFAME!D119=0,"",QuarterlyFAME!D119)</f>
        <v>65224</v>
      </c>
      <c r="E119">
        <f>IF([3]QuarterlyFAME!E119=0,"",[3]QuarterlyFAME!E119)</f>
        <v>11390.6</v>
      </c>
    </row>
    <row r="120" spans="1:5" x14ac:dyDescent="0.2">
      <c r="A120" s="1">
        <f>IF(QuarterlyFAME!A120=0,"",QuarterlyFAME!A120)</f>
        <v>32416</v>
      </c>
      <c r="B120">
        <f>IF(QuarterlyFAME!B120=0,"",QuarterlyFAME!B120)</f>
        <v>318223</v>
      </c>
      <c r="C120">
        <f>IF(QuarterlyFAME!C120=0,"",QuarterlyFAME!C120)</f>
        <v>173440</v>
      </c>
      <c r="D120">
        <f>IF(QuarterlyFAME!D120=0,"",QuarterlyFAME!D120)</f>
        <v>65803</v>
      </c>
      <c r="E120">
        <f>IF([3]QuarterlyFAME!E120=0,"",[3]QuarterlyFAME!E120)</f>
        <v>11480.300000000001</v>
      </c>
    </row>
    <row r="121" spans="1:5" x14ac:dyDescent="0.2">
      <c r="A121" s="1">
        <f>IF(QuarterlyFAME!A121=0,"",QuarterlyFAME!A121)</f>
        <v>32508</v>
      </c>
      <c r="B121">
        <f>IF(QuarterlyFAME!B121=0,"",QuarterlyFAME!B121)</f>
        <v>320612</v>
      </c>
      <c r="C121">
        <f>IF(QuarterlyFAME!C121=0,"",QuarterlyFAME!C121)</f>
        <v>174977</v>
      </c>
      <c r="D121">
        <f>IF(QuarterlyFAME!D121=0,"",QuarterlyFAME!D121)</f>
        <v>65739</v>
      </c>
      <c r="E121">
        <f>IF([3]QuarterlyFAME!E121=0,"",[3]QuarterlyFAME!E121)</f>
        <v>11572.6</v>
      </c>
    </row>
    <row r="122" spans="1:5" x14ac:dyDescent="0.2">
      <c r="A122" s="1">
        <f>IF(QuarterlyFAME!A122=0,"",QuarterlyFAME!A122)</f>
        <v>32598</v>
      </c>
      <c r="B122">
        <f>IF(QuarterlyFAME!B122=0,"",QuarterlyFAME!B122)</f>
        <v>322258</v>
      </c>
      <c r="C122">
        <f>IF(QuarterlyFAME!C122=0,"",QuarterlyFAME!C122)</f>
        <v>176456</v>
      </c>
      <c r="D122">
        <f>IF(QuarterlyFAME!D122=0,"",QuarterlyFAME!D122)</f>
        <v>69251</v>
      </c>
      <c r="E122">
        <f>IF([3]QuarterlyFAME!E122=0,"",[3]QuarterlyFAME!E122)</f>
        <v>11685.699999999999</v>
      </c>
    </row>
    <row r="123" spans="1:5" x14ac:dyDescent="0.2">
      <c r="A123" s="1">
        <f>IF(QuarterlyFAME!A123=0,"",QuarterlyFAME!A123)</f>
        <v>32689</v>
      </c>
      <c r="B123">
        <f>IF(QuarterlyFAME!B123=0,"",QuarterlyFAME!B123)</f>
        <v>323569</v>
      </c>
      <c r="C123">
        <f>IF(QuarterlyFAME!C123=0,"",QuarterlyFAME!C123)</f>
        <v>177960</v>
      </c>
      <c r="D123">
        <f>IF(QuarterlyFAME!D123=0,"",QuarterlyFAME!D123)</f>
        <v>67897</v>
      </c>
      <c r="E123">
        <f>IF([3]QuarterlyFAME!E123=0,"",[3]QuarterlyFAME!E123)</f>
        <v>11753.300000000001</v>
      </c>
    </row>
    <row r="124" spans="1:5" x14ac:dyDescent="0.2">
      <c r="A124" s="1">
        <f>IF(QuarterlyFAME!A124=0,"",QuarterlyFAME!A124)</f>
        <v>32781</v>
      </c>
      <c r="B124">
        <f>IF(QuarterlyFAME!B124=0,"",QuarterlyFAME!B124)</f>
        <v>323542</v>
      </c>
      <c r="C124">
        <f>IF(QuarterlyFAME!C124=0,"",QuarterlyFAME!C124)</f>
        <v>177788</v>
      </c>
      <c r="D124">
        <f>IF(QuarterlyFAME!D124=0,"",QuarterlyFAME!D124)</f>
        <v>68657</v>
      </c>
      <c r="E124">
        <f>IF([3]QuarterlyFAME!E124=0,"",[3]QuarterlyFAME!E124)</f>
        <v>11785.800000000001</v>
      </c>
    </row>
    <row r="125" spans="1:5" x14ac:dyDescent="0.2">
      <c r="A125" s="1">
        <f>IF(QuarterlyFAME!A125=0,"",QuarterlyFAME!A125)</f>
        <v>32873</v>
      </c>
      <c r="B125">
        <f>IF(QuarterlyFAME!B125=0,"",QuarterlyFAME!B125)</f>
        <v>324139</v>
      </c>
      <c r="C125">
        <f>IF(QuarterlyFAME!C125=0,"",QuarterlyFAME!C125)</f>
        <v>178541</v>
      </c>
      <c r="D125">
        <f>IF(QuarterlyFAME!D125=0,"",QuarterlyFAME!D125)</f>
        <v>67315</v>
      </c>
      <c r="E125">
        <f>IF([3]QuarterlyFAME!E125=0,"",[3]QuarterlyFAME!E125)</f>
        <v>11814.4</v>
      </c>
    </row>
    <row r="126" spans="1:5" x14ac:dyDescent="0.2">
      <c r="A126" s="1">
        <f>IF(QuarterlyFAME!A126=0,"",QuarterlyFAME!A126)</f>
        <v>32963</v>
      </c>
      <c r="B126">
        <f>IF(QuarterlyFAME!B126=0,"",QuarterlyFAME!B126)</f>
        <v>326896</v>
      </c>
      <c r="C126">
        <f>IF(QuarterlyFAME!C126=0,"",QuarterlyFAME!C126)</f>
        <v>180618</v>
      </c>
      <c r="D126">
        <f>IF(QuarterlyFAME!D126=0,"",QuarterlyFAME!D126)</f>
        <v>67750</v>
      </c>
      <c r="E126">
        <f>IF([3]QuarterlyFAME!E126=0,"",[3]QuarterlyFAME!E126)</f>
        <v>11805.300000000001</v>
      </c>
    </row>
    <row r="127" spans="1:5" x14ac:dyDescent="0.2">
      <c r="A127" s="1">
        <f>IF(QuarterlyFAME!A127=0,"",QuarterlyFAME!A127)</f>
        <v>33054</v>
      </c>
      <c r="B127">
        <f>IF(QuarterlyFAME!B127=0,"",QuarterlyFAME!B127)</f>
        <v>328047</v>
      </c>
      <c r="C127">
        <f>IF(QuarterlyFAME!C127=0,"",QuarterlyFAME!C127)</f>
        <v>180979</v>
      </c>
      <c r="D127">
        <f>IF(QuarterlyFAME!D127=0,"",QuarterlyFAME!D127)</f>
        <v>66791</v>
      </c>
      <c r="E127">
        <f>IF([3]QuarterlyFAME!E127=0,"",[3]QuarterlyFAME!E127)</f>
        <v>11785.800000000001</v>
      </c>
    </row>
    <row r="128" spans="1:5" x14ac:dyDescent="0.2">
      <c r="A128" s="1">
        <f>IF(QuarterlyFAME!A128=0,"",QuarterlyFAME!A128)</f>
        <v>33146</v>
      </c>
      <c r="B128">
        <f>IF(QuarterlyFAME!B128=0,"",QuarterlyFAME!B128)</f>
        <v>324080</v>
      </c>
      <c r="C128">
        <f>IF(QuarterlyFAME!C128=0,"",QuarterlyFAME!C128)</f>
        <v>179811</v>
      </c>
      <c r="D128">
        <f>IF(QuarterlyFAME!D128=0,"",QuarterlyFAME!D128)</f>
        <v>66185</v>
      </c>
      <c r="E128">
        <f>IF([3]QuarterlyFAME!E128=0,"",[3]QuarterlyFAME!E128)</f>
        <v>11723.4</v>
      </c>
    </row>
    <row r="129" spans="1:5" x14ac:dyDescent="0.2">
      <c r="A129" s="1">
        <f>IF(QuarterlyFAME!A129=0,"",QuarterlyFAME!A129)</f>
        <v>33238</v>
      </c>
      <c r="B129">
        <f>IF(QuarterlyFAME!B129=0,"",QuarterlyFAME!B129)</f>
        <v>322743</v>
      </c>
      <c r="C129">
        <f>IF(QuarterlyFAME!C129=0,"",QuarterlyFAME!C129)</f>
        <v>179595</v>
      </c>
      <c r="D129">
        <f>IF(QuarterlyFAME!D129=0,"",QuarterlyFAME!D129)</f>
        <v>65453</v>
      </c>
      <c r="E129">
        <f>IF([3]QuarterlyFAME!E129=0,"",[3]QuarterlyFAME!E129)</f>
        <v>11601.199999999999</v>
      </c>
    </row>
    <row r="130" spans="1:5" x14ac:dyDescent="0.2">
      <c r="A130" s="1">
        <f>IF(QuarterlyFAME!A130=0,"",QuarterlyFAME!A130)</f>
        <v>33328</v>
      </c>
      <c r="B130">
        <f>IF(QuarterlyFAME!B130=0,"",QuarterlyFAME!B130)</f>
        <v>321164</v>
      </c>
      <c r="C130">
        <f>IF(QuarterlyFAME!C130=0,"",QuarterlyFAME!C130)</f>
        <v>179314</v>
      </c>
      <c r="D130">
        <f>IF(QuarterlyFAME!D130=0,"",QuarterlyFAME!D130)</f>
        <v>62473</v>
      </c>
      <c r="E130">
        <f>IF([3]QuarterlyFAME!E130=0,"",[3]QuarterlyFAME!E130)</f>
        <v>11458.199999999999</v>
      </c>
    </row>
    <row r="131" spans="1:5" x14ac:dyDescent="0.2">
      <c r="A131" s="1">
        <f>IF(QuarterlyFAME!A131=0,"",QuarterlyFAME!A131)</f>
        <v>33419</v>
      </c>
      <c r="B131">
        <f>IF(QuarterlyFAME!B131=0,"",QuarterlyFAME!B131)</f>
        <v>319958</v>
      </c>
      <c r="C131">
        <f>IF(QuarterlyFAME!C131=0,"",QuarterlyFAME!C131)</f>
        <v>178053</v>
      </c>
      <c r="D131">
        <f>IF(QuarterlyFAME!D131=0,"",QuarterlyFAME!D131)</f>
        <v>61542</v>
      </c>
      <c r="E131">
        <f>IF([3]QuarterlyFAME!E131=0,"",[3]QuarterlyFAME!E131)</f>
        <v>11307.4</v>
      </c>
    </row>
    <row r="132" spans="1:5" x14ac:dyDescent="0.2">
      <c r="A132" s="1">
        <f>IF(QuarterlyFAME!A132=0,"",QuarterlyFAME!A132)</f>
        <v>33511</v>
      </c>
      <c r="B132">
        <f>IF(QuarterlyFAME!B132=0,"",QuarterlyFAME!B132)</f>
        <v>319027</v>
      </c>
      <c r="C132">
        <f>IF(QuarterlyFAME!C132=0,"",QuarterlyFAME!C132)</f>
        <v>178202</v>
      </c>
      <c r="D132">
        <f>IF(QuarterlyFAME!D132=0,"",QuarterlyFAME!D132)</f>
        <v>60419</v>
      </c>
      <c r="E132">
        <f>IF([3]QuarterlyFAME!E132=0,"",[3]QuarterlyFAME!E132)</f>
        <v>11173.5</v>
      </c>
    </row>
    <row r="133" spans="1:5" x14ac:dyDescent="0.2">
      <c r="A133" s="1">
        <f>IF(QuarterlyFAME!A133=0,"",QuarterlyFAME!A133)</f>
        <v>33603</v>
      </c>
      <c r="B133">
        <f>IF(QuarterlyFAME!B133=0,"",QuarterlyFAME!B133)</f>
        <v>319668</v>
      </c>
      <c r="C133">
        <f>IF(QuarterlyFAME!C133=0,"",QuarterlyFAME!C133)</f>
        <v>178197</v>
      </c>
      <c r="D133">
        <f>IF(QuarterlyFAME!D133=0,"",QuarterlyFAME!D133)</f>
        <v>60643</v>
      </c>
      <c r="E133">
        <f>IF([3]QuarterlyFAME!E133=0,"",[3]QuarterlyFAME!E133)</f>
        <v>11074.699999999999</v>
      </c>
    </row>
    <row r="134" spans="1:5" x14ac:dyDescent="0.2">
      <c r="A134" s="1">
        <f>IF(QuarterlyFAME!A134=0,"",QuarterlyFAME!A134)</f>
        <v>33694</v>
      </c>
      <c r="B134">
        <f>IF(QuarterlyFAME!B134=0,"",QuarterlyFAME!B134)</f>
        <v>319525</v>
      </c>
      <c r="C134">
        <f>IF(QuarterlyFAME!C134=0,"",QuarterlyFAME!C134)</f>
        <v>177645</v>
      </c>
      <c r="D134">
        <f>IF(QuarterlyFAME!D134=0,"",QuarterlyFAME!D134)</f>
        <v>60802</v>
      </c>
      <c r="E134">
        <f>IF([3]QuarterlyFAME!E134=0,"",[3]QuarterlyFAME!E134)</f>
        <v>11013.6</v>
      </c>
    </row>
    <row r="135" spans="1:5" x14ac:dyDescent="0.2">
      <c r="A135" s="1">
        <f>IF(QuarterlyFAME!A135=0,"",QuarterlyFAME!A135)</f>
        <v>33785</v>
      </c>
      <c r="B135">
        <f>IF(QuarterlyFAME!B135=0,"",QuarterlyFAME!B135)</f>
        <v>318481</v>
      </c>
      <c r="C135">
        <f>IF(QuarterlyFAME!C135=0,"",QuarterlyFAME!C135)</f>
        <v>180068</v>
      </c>
      <c r="D135">
        <f>IF(QuarterlyFAME!D135=0,"",QuarterlyFAME!D135)</f>
        <v>60439</v>
      </c>
      <c r="E135">
        <f>IF([3]QuarterlyFAME!E135=0,"",[3]QuarterlyFAME!E135)</f>
        <v>11018.800000000001</v>
      </c>
    </row>
    <row r="136" spans="1:5" x14ac:dyDescent="0.2">
      <c r="A136" s="1">
        <f>IF(QuarterlyFAME!A136=0,"",QuarterlyFAME!A136)</f>
        <v>33877</v>
      </c>
      <c r="B136">
        <f>IF(QuarterlyFAME!B136=0,"",QuarterlyFAME!B136)</f>
        <v>320240</v>
      </c>
      <c r="C136">
        <f>IF(QuarterlyFAME!C136=0,"",QuarterlyFAME!C136)</f>
        <v>181075</v>
      </c>
      <c r="D136">
        <f>IF(QuarterlyFAME!D136=0,"",QuarterlyFAME!D136)</f>
        <v>60669</v>
      </c>
      <c r="E136">
        <f>IF([3]QuarterlyFAME!E136=0,"",[3]QuarterlyFAME!E136)</f>
        <v>10925.199999999999</v>
      </c>
    </row>
    <row r="137" spans="1:5" x14ac:dyDescent="0.2">
      <c r="A137" s="1">
        <f>IF(QuarterlyFAME!A137=0,"",QuarterlyFAME!A137)</f>
        <v>33969</v>
      </c>
      <c r="B137">
        <f>IF(QuarterlyFAME!B137=0,"",QuarterlyFAME!B137)</f>
        <v>321960</v>
      </c>
      <c r="C137">
        <f>IF(QuarterlyFAME!C137=0,"",QuarterlyFAME!C137)</f>
        <v>181426</v>
      </c>
      <c r="D137">
        <f>IF(QuarterlyFAME!D137=0,"",QuarterlyFAME!D137)</f>
        <v>59216</v>
      </c>
      <c r="E137">
        <f>IF([3]QuarterlyFAME!E137=0,"",[3]QuarterlyFAME!E137)</f>
        <v>10826.4</v>
      </c>
    </row>
    <row r="138" spans="1:5" x14ac:dyDescent="0.2">
      <c r="A138" s="1">
        <f>IF(QuarterlyFAME!A138=0,"",QuarterlyFAME!A138)</f>
        <v>34059</v>
      </c>
      <c r="B138">
        <f>IF(QuarterlyFAME!B138=0,"",QuarterlyFAME!B138)</f>
        <v>324111</v>
      </c>
      <c r="C138">
        <f>IF(QuarterlyFAME!C138=0,"",QuarterlyFAME!C138)</f>
        <v>182898</v>
      </c>
      <c r="D138">
        <f>IF(QuarterlyFAME!D138=0,"",QuarterlyFAME!D138)</f>
        <v>60645</v>
      </c>
      <c r="E138">
        <f>IF([3]QuarterlyFAME!E138=0,"",[3]QuarterlyFAME!E138)</f>
        <v>10819.9</v>
      </c>
    </row>
    <row r="139" spans="1:5" x14ac:dyDescent="0.2">
      <c r="A139" s="1">
        <f>IF(QuarterlyFAME!A139=0,"",QuarterlyFAME!A139)</f>
        <v>34150</v>
      </c>
      <c r="B139">
        <f>IF(QuarterlyFAME!B139=0,"",QuarterlyFAME!B139)</f>
        <v>325394</v>
      </c>
      <c r="C139">
        <f>IF(QuarterlyFAME!C139=0,"",QuarterlyFAME!C139)</f>
        <v>183300</v>
      </c>
      <c r="D139">
        <f>IF(QuarterlyFAME!D139=0,"",QuarterlyFAME!D139)</f>
        <v>60305</v>
      </c>
      <c r="E139">
        <f>IF([3]QuarterlyFAME!E139=0,"",[3]QuarterlyFAME!E139)</f>
        <v>10823.800000000001</v>
      </c>
    </row>
    <row r="140" spans="1:5" x14ac:dyDescent="0.2">
      <c r="A140" s="1">
        <f>IF(QuarterlyFAME!A140=0,"",QuarterlyFAME!A140)</f>
        <v>34242</v>
      </c>
      <c r="B140">
        <f>IF(QuarterlyFAME!B140=0,"",QuarterlyFAME!B140)</f>
        <v>327863</v>
      </c>
      <c r="C140">
        <f>IF(QuarterlyFAME!C140=0,"",QuarterlyFAME!C140)</f>
        <v>186406</v>
      </c>
      <c r="D140">
        <f>IF(QuarterlyFAME!D140=0,"",QuarterlyFAME!D140)</f>
        <v>60379</v>
      </c>
      <c r="E140">
        <f>IF([3]QuarterlyFAME!E140=0,"",[3]QuarterlyFAME!E140)</f>
        <v>10821.199999999999</v>
      </c>
    </row>
    <row r="141" spans="1:5" x14ac:dyDescent="0.2">
      <c r="A141" s="1">
        <f>IF(QuarterlyFAME!A141=0,"",QuarterlyFAME!A141)</f>
        <v>34334</v>
      </c>
      <c r="B141">
        <f>IF(QuarterlyFAME!B141=0,"",QuarterlyFAME!B141)</f>
        <v>329789</v>
      </c>
      <c r="C141">
        <f>IF(QuarterlyFAME!C141=0,"",QuarterlyFAME!C141)</f>
        <v>187862</v>
      </c>
      <c r="D141">
        <f>IF(QuarterlyFAME!D141=0,"",QuarterlyFAME!D141)</f>
        <v>61643</v>
      </c>
      <c r="E141">
        <f>IF([3]QuarterlyFAME!E141=0,"",[3]QuarterlyFAME!E141)</f>
        <v>10810.800000000001</v>
      </c>
    </row>
    <row r="142" spans="1:5" x14ac:dyDescent="0.2">
      <c r="A142" s="1">
        <f>IF(QuarterlyFAME!A142=0,"",QuarterlyFAME!A142)</f>
        <v>34424</v>
      </c>
      <c r="B142">
        <f>IF(QuarterlyFAME!B142=0,"",QuarterlyFAME!B142)</f>
        <v>333269</v>
      </c>
      <c r="C142">
        <f>IF(QuarterlyFAME!C142=0,"",QuarterlyFAME!C142)</f>
        <v>189820</v>
      </c>
      <c r="D142">
        <f>IF(QuarterlyFAME!D142=0,"",QuarterlyFAME!D142)</f>
        <v>62385</v>
      </c>
      <c r="E142">
        <f>IF([3]QuarterlyFAME!E142=0,"",[3]QuarterlyFAME!E142)</f>
        <v>10882.300000000001</v>
      </c>
    </row>
    <row r="143" spans="1:5" x14ac:dyDescent="0.2">
      <c r="A143" s="1">
        <f>IF(QuarterlyFAME!A143=0,"",QuarterlyFAME!A143)</f>
        <v>34515</v>
      </c>
      <c r="B143">
        <f>IF(QuarterlyFAME!B143=0,"",QuarterlyFAME!B143)</f>
        <v>336803</v>
      </c>
      <c r="C143">
        <f>IF(QuarterlyFAME!C143=0,"",QuarterlyFAME!C143)</f>
        <v>190126</v>
      </c>
      <c r="D143">
        <f>IF(QuarterlyFAME!D143=0,"",QuarterlyFAME!D143)</f>
        <v>61140</v>
      </c>
      <c r="E143">
        <f>IF([3]QuarterlyFAME!E143=0,"",[3]QuarterlyFAME!E143)</f>
        <v>10909.6</v>
      </c>
    </row>
    <row r="144" spans="1:5" x14ac:dyDescent="0.2">
      <c r="A144" s="1">
        <f>IF(QuarterlyFAME!A144=0,"",QuarterlyFAME!A144)</f>
        <v>34607</v>
      </c>
      <c r="B144">
        <f>IF(QuarterlyFAME!B144=0,"",QuarterlyFAME!B144)</f>
        <v>340451</v>
      </c>
      <c r="C144">
        <f>IF(QuarterlyFAME!C144=0,"",QuarterlyFAME!C144)</f>
        <v>191745</v>
      </c>
      <c r="D144">
        <f>IF(QuarterlyFAME!D144=0,"",QuarterlyFAME!D144)</f>
        <v>61551</v>
      </c>
      <c r="E144">
        <f>IF([3]QuarterlyFAME!E144=0,"",[3]QuarterlyFAME!E144)</f>
        <v>11001.9</v>
      </c>
    </row>
    <row r="145" spans="1:5" x14ac:dyDescent="0.2">
      <c r="A145" s="1">
        <f>IF(QuarterlyFAME!A145=0,"",QuarterlyFAME!A145)</f>
        <v>34699</v>
      </c>
      <c r="B145">
        <f>IF(QuarterlyFAME!B145=0,"",QuarterlyFAME!B145)</f>
        <v>342104</v>
      </c>
      <c r="C145">
        <f>IF(QuarterlyFAME!C145=0,"",QuarterlyFAME!C145)</f>
        <v>193174</v>
      </c>
      <c r="D145">
        <f>IF(QuarterlyFAME!D145=0,"",QuarterlyFAME!D145)</f>
        <v>61890</v>
      </c>
      <c r="E145">
        <f>IF([3]QuarterlyFAME!E145=0,"",[3]QuarterlyFAME!E145)</f>
        <v>11089</v>
      </c>
    </row>
    <row r="146" spans="1:5" x14ac:dyDescent="0.2">
      <c r="A146" s="1">
        <f>IF(QuarterlyFAME!A146=0,"",QuarterlyFAME!A146)</f>
        <v>34789</v>
      </c>
      <c r="B146">
        <f>IF(QuarterlyFAME!B146=0,"",QuarterlyFAME!B146)</f>
        <v>342962</v>
      </c>
      <c r="C146">
        <f>IF(QuarterlyFAME!C146=0,"",QuarterlyFAME!C146)</f>
        <v>193065</v>
      </c>
      <c r="D146">
        <f>IF(QuarterlyFAME!D146=0,"",QuarterlyFAME!D146)</f>
        <v>61060</v>
      </c>
      <c r="E146">
        <f>IF([3]QuarterlyFAME!E146=0,"",[3]QuarterlyFAME!E146)</f>
        <v>11081.199999999999</v>
      </c>
    </row>
    <row r="147" spans="1:5" x14ac:dyDescent="0.2">
      <c r="A147" s="1">
        <f>IF(QuarterlyFAME!A147=0,"",QuarterlyFAME!A147)</f>
        <v>34880</v>
      </c>
      <c r="B147">
        <f>IF(QuarterlyFAME!B147=0,"",QuarterlyFAME!B147)</f>
        <v>343589</v>
      </c>
      <c r="C147">
        <f>IF(QuarterlyFAME!C147=0,"",QuarterlyFAME!C147)</f>
        <v>194528</v>
      </c>
      <c r="D147">
        <f>IF(QuarterlyFAME!D147=0,"",QuarterlyFAME!D147)</f>
        <v>61177</v>
      </c>
      <c r="E147">
        <f>IF([3]QuarterlyFAME!E147=0,"",[3]QuarterlyFAME!E147)</f>
        <v>11104.6</v>
      </c>
    </row>
    <row r="148" spans="1:5" x14ac:dyDescent="0.2">
      <c r="A148" s="1">
        <f>IF(QuarterlyFAME!A148=0,"",QuarterlyFAME!A148)</f>
        <v>34972</v>
      </c>
      <c r="B148">
        <f>IF(QuarterlyFAME!B148=0,"",QuarterlyFAME!B148)</f>
        <v>347031</v>
      </c>
      <c r="C148">
        <f>IF(QuarterlyFAME!C148=0,"",QuarterlyFAME!C148)</f>
        <v>195239</v>
      </c>
      <c r="D148">
        <f>IF(QuarterlyFAME!D148=0,"",QuarterlyFAME!D148)</f>
        <v>61619</v>
      </c>
      <c r="E148">
        <f>IF([3]QuarterlyFAME!E148=0,"",[3]QuarterlyFAME!E148)</f>
        <v>11113.699999999999</v>
      </c>
    </row>
    <row r="149" spans="1:5" x14ac:dyDescent="0.2">
      <c r="A149" s="1">
        <f>IF(QuarterlyFAME!A149=0,"",QuarterlyFAME!A149)</f>
        <v>35064</v>
      </c>
      <c r="B149">
        <f>IF(QuarterlyFAME!B149=0,"",QuarterlyFAME!B149)</f>
        <v>347651</v>
      </c>
      <c r="C149">
        <f>IF(QuarterlyFAME!C149=0,"",QuarterlyFAME!C149)</f>
        <v>197752</v>
      </c>
      <c r="D149">
        <f>IF(QuarterlyFAME!D149=0,"",QuarterlyFAME!D149)</f>
        <v>61941</v>
      </c>
      <c r="E149">
        <f>IF([3]QuarterlyFAME!E149=0,"",[3]QuarterlyFAME!E149)</f>
        <v>11176.1</v>
      </c>
    </row>
    <row r="150" spans="1:5" x14ac:dyDescent="0.2">
      <c r="A150" s="1">
        <f>IF(QuarterlyFAME!A150=0,"",QuarterlyFAME!A150)</f>
        <v>35155</v>
      </c>
      <c r="B150">
        <f>IF(QuarterlyFAME!B150=0,"",QuarterlyFAME!B150)</f>
        <v>349056</v>
      </c>
      <c r="C150">
        <f>IF(QuarterlyFAME!C150=0,"",QuarterlyFAME!C150)</f>
        <v>199735</v>
      </c>
      <c r="D150">
        <f>IF(QuarterlyFAME!D150=0,"",QuarterlyFAME!D150)</f>
        <v>63561</v>
      </c>
      <c r="E150">
        <f>IF([3]QuarterlyFAME!E150=0,"",[3]QuarterlyFAME!E150)</f>
        <v>11178.699999999999</v>
      </c>
    </row>
    <row r="151" spans="1:5" x14ac:dyDescent="0.2">
      <c r="A151" s="1">
        <f>IF(QuarterlyFAME!A151=0,"",QuarterlyFAME!A151)</f>
        <v>35246</v>
      </c>
      <c r="B151">
        <f>IF(QuarterlyFAME!B151=0,"",QuarterlyFAME!B151)</f>
        <v>349195</v>
      </c>
      <c r="C151">
        <f>IF(QuarterlyFAME!C151=0,"",QuarterlyFAME!C151)</f>
        <v>201336</v>
      </c>
      <c r="D151">
        <f>IF(QuarterlyFAME!D151=0,"",QuarterlyFAME!D151)</f>
        <v>65708</v>
      </c>
      <c r="E151">
        <f>IF([3]QuarterlyFAME!E151=0,"",[3]QuarterlyFAME!E151)</f>
        <v>11216.4</v>
      </c>
    </row>
    <row r="152" spans="1:5" x14ac:dyDescent="0.2">
      <c r="A152" s="1">
        <f>IF(QuarterlyFAME!A152=0,"",QuarterlyFAME!A152)</f>
        <v>35338</v>
      </c>
      <c r="B152">
        <f>IF(QuarterlyFAME!B152=0,"",QuarterlyFAME!B152)</f>
        <v>352909</v>
      </c>
      <c r="C152">
        <f>IF(QuarterlyFAME!C152=0,"",QuarterlyFAME!C152)</f>
        <v>202899</v>
      </c>
      <c r="D152">
        <f>IF(QuarterlyFAME!D152=0,"",QuarterlyFAME!D152)</f>
        <v>65162</v>
      </c>
      <c r="E152">
        <f>IF([3]QuarterlyFAME!E152=0,"",[3]QuarterlyFAME!E152)</f>
        <v>11222.9</v>
      </c>
    </row>
    <row r="153" spans="1:5" x14ac:dyDescent="0.2">
      <c r="A153" s="1">
        <f>IF(QuarterlyFAME!A153=0,"",QuarterlyFAME!A153)</f>
        <v>35430</v>
      </c>
      <c r="B153">
        <f>IF(QuarterlyFAME!B153=0,"",QuarterlyFAME!B153)</f>
        <v>356423</v>
      </c>
      <c r="C153">
        <f>IF(QuarterlyFAME!C153=0,"",QuarterlyFAME!C153)</f>
        <v>205440</v>
      </c>
      <c r="D153">
        <f>IF(QuarterlyFAME!D153=0,"",QuarterlyFAME!D153)</f>
        <v>62889</v>
      </c>
      <c r="E153">
        <f>IF([3]QuarterlyFAME!E153=0,"",[3]QuarterlyFAME!E153)</f>
        <v>11259.300000000001</v>
      </c>
    </row>
    <row r="154" spans="1:5" x14ac:dyDescent="0.2">
      <c r="A154" s="1">
        <f>IF(QuarterlyFAME!A154=0,"",QuarterlyFAME!A154)</f>
        <v>35520</v>
      </c>
      <c r="B154">
        <f>IF(QuarterlyFAME!B154=0,"",QuarterlyFAME!B154)</f>
        <v>361885</v>
      </c>
      <c r="C154">
        <f>IF(QuarterlyFAME!C154=0,"",QuarterlyFAME!C154)</f>
        <v>208783</v>
      </c>
      <c r="D154">
        <f>IF(QuarterlyFAME!D154=0,"",QuarterlyFAME!D154)</f>
        <v>60400</v>
      </c>
      <c r="E154">
        <f>IF([3]QuarterlyFAME!E154=0,"",[3]QuarterlyFAME!E154)</f>
        <v>11358.1</v>
      </c>
    </row>
    <row r="155" spans="1:5" x14ac:dyDescent="0.2">
      <c r="A155" s="1">
        <f>IF(QuarterlyFAME!A155=0,"",QuarterlyFAME!A155)</f>
        <v>35611</v>
      </c>
      <c r="B155">
        <f>IF(QuarterlyFAME!B155=0,"",QuarterlyFAME!B155)</f>
        <v>365725</v>
      </c>
      <c r="C155">
        <f>IF(QuarterlyFAME!C155=0,"",QuarterlyFAME!C155)</f>
        <v>210673</v>
      </c>
      <c r="D155">
        <f>IF(QuarterlyFAME!D155=0,"",QuarterlyFAME!D155)</f>
        <v>62155</v>
      </c>
      <c r="E155">
        <f>IF([3]QuarterlyFAME!E155=0,"",[3]QuarterlyFAME!E155)</f>
        <v>11417.9</v>
      </c>
    </row>
    <row r="156" spans="1:5" x14ac:dyDescent="0.2">
      <c r="A156" s="1">
        <f>IF(QuarterlyFAME!A156=0,"",QuarterlyFAME!A156)</f>
        <v>35703</v>
      </c>
      <c r="B156">
        <f>IF(QuarterlyFAME!B156=0,"",QuarterlyFAME!B156)</f>
        <v>369141</v>
      </c>
      <c r="C156">
        <f>IF(QuarterlyFAME!C156=0,"",QuarterlyFAME!C156)</f>
        <v>213437</v>
      </c>
      <c r="D156">
        <f>IF(QuarterlyFAME!D156=0,"",QuarterlyFAME!D156)</f>
        <v>65271</v>
      </c>
      <c r="E156">
        <f>IF([3]QuarterlyFAME!E156=0,"",[3]QuarterlyFAME!E156)</f>
        <v>11442.6</v>
      </c>
    </row>
    <row r="157" spans="1:5" x14ac:dyDescent="0.2">
      <c r="A157" s="1">
        <f>IF(QuarterlyFAME!A157=0,"",QuarterlyFAME!A157)</f>
        <v>35795</v>
      </c>
      <c r="B157">
        <f>IF(QuarterlyFAME!B157=0,"",QuarterlyFAME!B157)</f>
        <v>374512</v>
      </c>
      <c r="C157">
        <f>IF(QuarterlyFAME!C157=0,"",QuarterlyFAME!C157)</f>
        <v>215655</v>
      </c>
      <c r="D157">
        <f>IF(QuarterlyFAME!D157=0,"",QuarterlyFAME!D157)</f>
        <v>66823</v>
      </c>
      <c r="E157">
        <f>IF([3]QuarterlyFAME!E157=0,"",[3]QuarterlyFAME!E157)</f>
        <v>11437.4</v>
      </c>
    </row>
    <row r="158" spans="1:5" x14ac:dyDescent="0.2">
      <c r="A158" s="1">
        <f>IF(QuarterlyFAME!A158=0,"",QuarterlyFAME!A158)</f>
        <v>35885</v>
      </c>
      <c r="B158">
        <f>IF(QuarterlyFAME!B158=0,"",QuarterlyFAME!B158)</f>
        <v>376761</v>
      </c>
      <c r="C158">
        <f>IF(QuarterlyFAME!C158=0,"",QuarterlyFAME!C158)</f>
        <v>217866</v>
      </c>
      <c r="D158">
        <f>IF(QuarterlyFAME!D158=0,"",QuarterlyFAME!D158)</f>
        <v>67081</v>
      </c>
      <c r="E158">
        <f>IF([3]QuarterlyFAME!E158=0,"",[3]QuarterlyFAME!E158)</f>
        <v>11493.300000000001</v>
      </c>
    </row>
    <row r="159" spans="1:5" x14ac:dyDescent="0.2">
      <c r="A159" s="1">
        <f>IF(QuarterlyFAME!A159=0,"",QuarterlyFAME!A159)</f>
        <v>35976</v>
      </c>
      <c r="B159">
        <f>IF(QuarterlyFAME!B159=0,"",QuarterlyFAME!B159)</f>
        <v>378766</v>
      </c>
      <c r="C159">
        <f>IF(QuarterlyFAME!C159=0,"",QuarterlyFAME!C159)</f>
        <v>219509</v>
      </c>
      <c r="D159">
        <f>IF(QuarterlyFAME!D159=0,"",QuarterlyFAME!D159)</f>
        <v>67628</v>
      </c>
      <c r="E159">
        <f>IF([3]QuarterlyFAME!E159=0,"",[3]QuarterlyFAME!E159)</f>
        <v>11493.300000000001</v>
      </c>
    </row>
    <row r="160" spans="1:5" x14ac:dyDescent="0.2">
      <c r="A160" s="1">
        <f>IF(QuarterlyFAME!A160=0,"",QuarterlyFAME!A160)</f>
        <v>36068</v>
      </c>
      <c r="B160">
        <f>IF(QuarterlyFAME!B160=0,"",QuarterlyFAME!B160)</f>
        <v>379906</v>
      </c>
      <c r="C160">
        <f>IF(QuarterlyFAME!C160=0,"",QuarterlyFAME!C160)</f>
        <v>223278</v>
      </c>
      <c r="D160">
        <f>IF(QuarterlyFAME!D160=0,"",QuarterlyFAME!D160)</f>
        <v>67628</v>
      </c>
      <c r="E160">
        <f>IF([3]QuarterlyFAME!E160=0,"",[3]QuarterlyFAME!E160)</f>
        <v>11538.800000000001</v>
      </c>
    </row>
    <row r="161" spans="1:5" x14ac:dyDescent="0.2">
      <c r="A161" s="1">
        <f>IF(QuarterlyFAME!A161=0,"",QuarterlyFAME!A161)</f>
        <v>36160</v>
      </c>
      <c r="B161">
        <f>IF(QuarterlyFAME!B161=0,"",QuarterlyFAME!B161)</f>
        <v>382282</v>
      </c>
      <c r="C161">
        <f>IF(QuarterlyFAME!C161=0,"",QuarterlyFAME!C161)</f>
        <v>223130</v>
      </c>
      <c r="D161">
        <f>IF(QuarterlyFAME!D161=0,"",QuarterlyFAME!D161)</f>
        <v>69647</v>
      </c>
      <c r="E161">
        <f>IF([3]QuarterlyFAME!E161=0,"",[3]QuarterlyFAME!E161)</f>
        <v>11481.6</v>
      </c>
    </row>
    <row r="162" spans="1:5" x14ac:dyDescent="0.2">
      <c r="A162" s="1">
        <f>IF(QuarterlyFAME!A162=0,"",QuarterlyFAME!A162)</f>
        <v>36250</v>
      </c>
      <c r="B162">
        <f>IF(QuarterlyFAME!B162=0,"",QuarterlyFAME!B162)</f>
        <v>385025</v>
      </c>
      <c r="C162">
        <f>IF(QuarterlyFAME!C162=0,"",QuarterlyFAME!C162)</f>
        <v>225755</v>
      </c>
      <c r="D162">
        <f>IF(QuarterlyFAME!D162=0,"",QuarterlyFAME!D162)</f>
        <v>69082</v>
      </c>
      <c r="E162">
        <f>IF([3]QuarterlyFAME!E162=0,"",[3]QuarterlyFAME!E162)</f>
        <v>11547.9</v>
      </c>
    </row>
    <row r="163" spans="1:5" x14ac:dyDescent="0.2">
      <c r="A163" s="1">
        <f>IF(QuarterlyFAME!A163=0,"",QuarterlyFAME!A163)</f>
        <v>36341</v>
      </c>
      <c r="B163">
        <f>IF(QuarterlyFAME!B163=0,"",QuarterlyFAME!B163)</f>
        <v>386581</v>
      </c>
      <c r="C163">
        <f>IF(QuarterlyFAME!C163=0,"",QuarterlyFAME!C163)</f>
        <v>230078</v>
      </c>
      <c r="D163">
        <f>IF(QuarterlyFAME!D163=0,"",QuarterlyFAME!D163)</f>
        <v>68383</v>
      </c>
      <c r="E163">
        <f>IF([3]QuarterlyFAME!E163=0,"",[3]QuarterlyFAME!E163)</f>
        <v>11577.800000000001</v>
      </c>
    </row>
    <row r="164" spans="1:5" x14ac:dyDescent="0.2">
      <c r="A164" s="1">
        <f>IF(QuarterlyFAME!A164=0,"",QuarterlyFAME!A164)</f>
        <v>36433</v>
      </c>
      <c r="B164">
        <f>IF(QuarterlyFAME!B164=0,"",QuarterlyFAME!B164)</f>
        <v>393078</v>
      </c>
      <c r="C164">
        <f>IF(QuarterlyFAME!C164=0,"",QuarterlyFAME!C164)</f>
        <v>232417</v>
      </c>
      <c r="D164">
        <f>IF(QuarterlyFAME!D164=0,"",QuarterlyFAME!D164)</f>
        <v>70284</v>
      </c>
      <c r="E164">
        <f>IF([3]QuarterlyFAME!E164=0,"",[3]QuarterlyFAME!E164)</f>
        <v>11632.4</v>
      </c>
    </row>
    <row r="165" spans="1:5" x14ac:dyDescent="0.2">
      <c r="A165" s="1">
        <f>IF(QuarterlyFAME!A165=0,"",QuarterlyFAME!A165)</f>
        <v>36525</v>
      </c>
      <c r="B165">
        <f>IF(QuarterlyFAME!B165=0,"",QuarterlyFAME!B165)</f>
        <v>398776</v>
      </c>
      <c r="C165">
        <f>IF(QuarterlyFAME!C165=0,"",QuarterlyFAME!C165)</f>
        <v>234208</v>
      </c>
      <c r="D165">
        <f>IF(QuarterlyFAME!D165=0,"",QuarterlyFAME!D165)</f>
        <v>69588</v>
      </c>
      <c r="E165">
        <f>IF([3]QuarterlyFAME!E165=0,"",[3]QuarterlyFAME!E165)</f>
        <v>11661</v>
      </c>
    </row>
    <row r="166" spans="1:5" x14ac:dyDescent="0.2">
      <c r="A166" s="1">
        <f>IF(QuarterlyFAME!A166=0,"",QuarterlyFAME!A166)</f>
        <v>36616</v>
      </c>
      <c r="B166">
        <f>IF(QuarterlyFAME!B166=0,"",QuarterlyFAME!B166)</f>
        <v>403407</v>
      </c>
      <c r="C166">
        <f>IF(QuarterlyFAME!C166=0,"",QuarterlyFAME!C166)</f>
        <v>237565</v>
      </c>
      <c r="D166">
        <f>IF(QuarterlyFAME!D166=0,"",QuarterlyFAME!D166)</f>
        <v>71669</v>
      </c>
      <c r="E166">
        <f>IF([3]QuarterlyFAME!E166=0,"",[3]QuarterlyFAME!E166)</f>
        <v>11497.199999999999</v>
      </c>
    </row>
    <row r="167" spans="1:5" x14ac:dyDescent="0.2">
      <c r="A167" s="1">
        <f>IF(QuarterlyFAME!A167=0,"",QuarterlyFAME!A167)</f>
        <v>36707</v>
      </c>
      <c r="B167">
        <f>IF(QuarterlyFAME!B167=0,"",QuarterlyFAME!B167)</f>
        <v>406049</v>
      </c>
      <c r="C167">
        <f>IF(QuarterlyFAME!C167=0,"",QuarterlyFAME!C167)</f>
        <v>240039</v>
      </c>
      <c r="D167">
        <f>IF(QuarterlyFAME!D167=0,"",QuarterlyFAME!D167)</f>
        <v>75861</v>
      </c>
      <c r="E167">
        <f>IF([3]QuarterlyFAME!E167=0,"",[3]QuarterlyFAME!E167)</f>
        <v>11638.9</v>
      </c>
    </row>
    <row r="168" spans="1:5" x14ac:dyDescent="0.2">
      <c r="A168" s="1">
        <f>IF(QuarterlyFAME!A168=0,"",QuarterlyFAME!A168)</f>
        <v>36799</v>
      </c>
      <c r="B168">
        <f>IF(QuarterlyFAME!B168=0,"",QuarterlyFAME!B168)</f>
        <v>408120</v>
      </c>
      <c r="C168">
        <f>IF(QuarterlyFAME!C168=0,"",QuarterlyFAME!C168)</f>
        <v>242727</v>
      </c>
      <c r="D168">
        <f>IF(QuarterlyFAME!D168=0,"",QuarterlyFAME!D168)</f>
        <v>70315</v>
      </c>
      <c r="E168">
        <f>IF([3]QuarterlyFAME!E168=0,"",[3]QuarterlyFAME!E168)</f>
        <v>11648</v>
      </c>
    </row>
    <row r="169" spans="1:5" x14ac:dyDescent="0.2">
      <c r="A169" s="1">
        <f>IF(QuarterlyFAME!A169=0,"",QuarterlyFAME!A169)</f>
        <v>36891</v>
      </c>
      <c r="B169">
        <f>IF(QuarterlyFAME!B169=0,"",QuarterlyFAME!B169)</f>
        <v>409871</v>
      </c>
      <c r="C169">
        <f>IF(QuarterlyFAME!C169=0,"",QuarterlyFAME!C169)</f>
        <v>245076</v>
      </c>
      <c r="D169">
        <f>IF(QuarterlyFAME!D169=0,"",QuarterlyFAME!D169)</f>
        <v>72710</v>
      </c>
      <c r="E169">
        <f>IF([3]QuarterlyFAME!E169=0,"",[3]QuarterlyFAME!E169)</f>
        <v>11744.199999999999</v>
      </c>
    </row>
    <row r="170" spans="1:5" x14ac:dyDescent="0.2">
      <c r="A170" s="1">
        <f>IF(QuarterlyFAME!A170=0,"",QuarterlyFAME!A170)</f>
        <v>36981</v>
      </c>
      <c r="B170">
        <f>IF(QuarterlyFAME!B170=0,"",QuarterlyFAME!B170)</f>
        <v>413381</v>
      </c>
      <c r="C170">
        <f>IF(QuarterlyFAME!C170=0,"",QuarterlyFAME!C170)</f>
        <v>245915</v>
      </c>
      <c r="D170">
        <f>IF(QuarterlyFAME!D170=0,"",QuarterlyFAME!D170)</f>
        <v>72802</v>
      </c>
      <c r="E170">
        <f>IF([3]QuarterlyFAME!E170=0,"",[3]QuarterlyFAME!E170)</f>
        <v>11706.5</v>
      </c>
    </row>
    <row r="171" spans="1:5" x14ac:dyDescent="0.2">
      <c r="A171" s="1">
        <f>IF(QuarterlyFAME!A171=0,"",QuarterlyFAME!A171)</f>
        <v>37072</v>
      </c>
      <c r="B171">
        <f>IF(QuarterlyFAME!B171=0,"",QuarterlyFAME!B171)</f>
        <v>414894</v>
      </c>
      <c r="C171">
        <f>IF(QuarterlyFAME!C171=0,"",QuarterlyFAME!C171)</f>
        <v>247757</v>
      </c>
      <c r="D171">
        <f>IF(QuarterlyFAME!D171=0,"",QuarterlyFAME!D171)</f>
        <v>74549</v>
      </c>
      <c r="E171">
        <f>IF([3]QuarterlyFAME!E171=0,"",[3]QuarterlyFAME!E171)</f>
        <v>11783.199999999999</v>
      </c>
    </row>
    <row r="172" spans="1:5" x14ac:dyDescent="0.2">
      <c r="A172" s="1">
        <f>IF(QuarterlyFAME!A172=0,"",QuarterlyFAME!A172)</f>
        <v>37164</v>
      </c>
      <c r="B172">
        <f>IF(QuarterlyFAME!B172=0,"",QuarterlyFAME!B172)</f>
        <v>416803</v>
      </c>
      <c r="C172">
        <f>IF(QuarterlyFAME!C172=0,"",QuarterlyFAME!C172)</f>
        <v>251391</v>
      </c>
      <c r="D172">
        <f>IF(QuarterlyFAME!D172=0,"",QuarterlyFAME!D172)</f>
        <v>74141</v>
      </c>
      <c r="E172">
        <f>IF([3]QuarterlyFAME!E172=0,"",[3]QuarterlyFAME!E172)</f>
        <v>11763.699999999999</v>
      </c>
    </row>
    <row r="173" spans="1:5" x14ac:dyDescent="0.2">
      <c r="A173" s="1">
        <f>IF(QuarterlyFAME!A173=0,"",QuarterlyFAME!A173)</f>
        <v>37256</v>
      </c>
      <c r="B173">
        <f>IF(QuarterlyFAME!B173=0,"",QuarterlyFAME!B173)</f>
        <v>417480</v>
      </c>
      <c r="C173">
        <f>IF(QuarterlyFAME!C173=0,"",QuarterlyFAME!C173)</f>
        <v>253365</v>
      </c>
      <c r="D173">
        <f>IF(QuarterlyFAME!D173=0,"",QuarterlyFAME!D173)</f>
        <v>72261</v>
      </c>
      <c r="E173">
        <f>IF([3]QuarterlyFAME!E173=0,"",[3]QuarterlyFAME!E173)</f>
        <v>11745.5</v>
      </c>
    </row>
    <row r="174" spans="1:5" x14ac:dyDescent="0.2">
      <c r="A174" s="1">
        <f>IF(QuarterlyFAME!A174=0,"",QuarterlyFAME!A174)</f>
        <v>37346</v>
      </c>
      <c r="B174">
        <f>IF(QuarterlyFAME!B174=0,"",QuarterlyFAME!B174)</f>
        <v>418930</v>
      </c>
      <c r="C174">
        <f>IF(QuarterlyFAME!C174=0,"",QuarterlyFAME!C174)</f>
        <v>254416</v>
      </c>
      <c r="D174">
        <f>IF(QuarterlyFAME!D174=0,"",QuarterlyFAME!D174)</f>
        <v>72191</v>
      </c>
      <c r="E174">
        <f>IF([3]QuarterlyFAME!E174=0,"",[3]QuarterlyFAME!E174)</f>
        <v>11719.5</v>
      </c>
    </row>
    <row r="175" spans="1:5" x14ac:dyDescent="0.2">
      <c r="A175" s="1">
        <f>IF(QuarterlyFAME!A175=0,"",QuarterlyFAME!A175)</f>
        <v>37437</v>
      </c>
      <c r="B175">
        <f>IF(QuarterlyFAME!B175=0,"",QuarterlyFAME!B175)</f>
        <v>421133</v>
      </c>
      <c r="C175">
        <f>IF(QuarterlyFAME!C175=0,"",QuarterlyFAME!C175)</f>
        <v>255272</v>
      </c>
      <c r="D175">
        <f>IF(QuarterlyFAME!D175=0,"",QuarterlyFAME!D175)</f>
        <v>72580</v>
      </c>
      <c r="E175">
        <f>IF([3]QuarterlyFAME!E175=0,"",[3]QuarterlyFAME!E175)</f>
        <v>11666.199999999999</v>
      </c>
    </row>
    <row r="176" spans="1:5" x14ac:dyDescent="0.2">
      <c r="A176" s="1">
        <f>IF(QuarterlyFAME!A176=0,"",QuarterlyFAME!A176)</f>
        <v>37529</v>
      </c>
      <c r="B176">
        <f>IF(QuarterlyFAME!B176=0,"",QuarterlyFAME!B176)</f>
        <v>424190</v>
      </c>
      <c r="C176">
        <f>IF(QuarterlyFAME!C176=0,"",QuarterlyFAME!C176)</f>
        <v>257730</v>
      </c>
      <c r="D176">
        <f>IF(QuarterlyFAME!D176=0,"",QuarterlyFAME!D176)</f>
        <v>76044</v>
      </c>
      <c r="E176">
        <f>IF([3]QuarterlyFAME!E176=0,"",[3]QuarterlyFAME!E176)</f>
        <v>11750.699999999999</v>
      </c>
    </row>
    <row r="177" spans="1:5" x14ac:dyDescent="0.2">
      <c r="A177" s="1">
        <f>IF(QuarterlyFAME!A177=0,"",QuarterlyFAME!A177)</f>
        <v>37621</v>
      </c>
      <c r="B177">
        <f>IF(QuarterlyFAME!B177=0,"",QuarterlyFAME!B177)</f>
        <v>427745</v>
      </c>
      <c r="C177">
        <f>IF(QuarterlyFAME!C177=0,"",QuarterlyFAME!C177)</f>
        <v>259797</v>
      </c>
      <c r="D177">
        <f>IF(QuarterlyFAME!D177=0,"",QuarterlyFAME!D177)</f>
        <v>80704</v>
      </c>
      <c r="E177">
        <f>IF([3]QuarterlyFAME!E177=0,"",[3]QuarterlyFAME!E177)</f>
        <v>11768.9</v>
      </c>
    </row>
    <row r="178" spans="1:5" x14ac:dyDescent="0.2">
      <c r="A178" s="1">
        <f>IF(QuarterlyFAME!A178=0,"",QuarterlyFAME!A178)</f>
        <v>37711</v>
      </c>
      <c r="B178">
        <f>IF(QuarterlyFAME!B178=0,"",QuarterlyFAME!B178)</f>
        <v>430454</v>
      </c>
      <c r="C178">
        <f>IF(QuarterlyFAME!C178=0,"",QuarterlyFAME!C178)</f>
        <v>262143</v>
      </c>
      <c r="D178">
        <f>IF(QuarterlyFAME!D178=0,"",QuarterlyFAME!D178)</f>
        <v>80331</v>
      </c>
      <c r="E178">
        <f>IF([3]QuarterlyFAME!E178=0,"",[3]QuarterlyFAME!E178)</f>
        <v>11759.800000000001</v>
      </c>
    </row>
    <row r="179" spans="1:5" x14ac:dyDescent="0.2">
      <c r="A179" s="1">
        <f>IF(QuarterlyFAME!A179=0,"",QuarterlyFAME!A179)</f>
        <v>37802</v>
      </c>
      <c r="B179">
        <f>IF(QuarterlyFAME!B179=0,"",QuarterlyFAME!B179)</f>
        <v>434140</v>
      </c>
      <c r="C179">
        <f>IF(QuarterlyFAME!C179=0,"",QuarterlyFAME!C179)</f>
        <v>265278</v>
      </c>
      <c r="D179">
        <f>IF(QuarterlyFAME!D179=0,"",QuarterlyFAME!D179)</f>
        <v>75608</v>
      </c>
      <c r="E179">
        <f>IF([3]QuarterlyFAME!E179=0,"",[3]QuarterlyFAME!E179)</f>
        <v>11793.6</v>
      </c>
    </row>
    <row r="180" spans="1:5" x14ac:dyDescent="0.2">
      <c r="A180" s="1">
        <f>IF(QuarterlyFAME!A180=0,"",QuarterlyFAME!A180)</f>
        <v>37894</v>
      </c>
      <c r="B180">
        <f>IF(QuarterlyFAME!B180=0,"",QuarterlyFAME!B180)</f>
        <v>438419</v>
      </c>
      <c r="C180">
        <f>IF(QuarterlyFAME!C180=0,"",QuarterlyFAME!C180)</f>
        <v>266986</v>
      </c>
      <c r="D180">
        <f>IF(QuarterlyFAME!D180=0,"",QuarterlyFAME!D180)</f>
        <v>77124</v>
      </c>
      <c r="E180">
        <f>IF([3]QuarterlyFAME!E180=0,"",[3]QuarterlyFAME!E180)</f>
        <v>11807.9</v>
      </c>
    </row>
    <row r="181" spans="1:5" x14ac:dyDescent="0.2">
      <c r="A181" s="1">
        <f>IF(QuarterlyFAME!A181=0,"",QuarterlyFAME!A181)</f>
        <v>37986</v>
      </c>
      <c r="B181">
        <f>IF(QuarterlyFAME!B181=0,"",QuarterlyFAME!B181)</f>
        <v>441827</v>
      </c>
      <c r="C181">
        <f>IF(QuarterlyFAME!C181=0,"",QuarterlyFAME!C181)</f>
        <v>268323</v>
      </c>
      <c r="D181">
        <f>IF(QuarterlyFAME!D181=0,"",QuarterlyFAME!D181)</f>
        <v>77197</v>
      </c>
      <c r="E181">
        <f>IF([3]QuarterlyFAME!E181=0,"",[3]QuarterlyFAME!E181)</f>
        <v>11750.699999999999</v>
      </c>
    </row>
    <row r="182" spans="1:5" x14ac:dyDescent="0.2">
      <c r="A182" s="1">
        <f>IF(QuarterlyFAME!A182=0,"",QuarterlyFAME!A182)</f>
        <v>38077</v>
      </c>
      <c r="B182">
        <f>IF(QuarterlyFAME!B182=0,"",QuarterlyFAME!B182)</f>
        <v>443792</v>
      </c>
      <c r="C182">
        <f>IF(QuarterlyFAME!C182=0,"",QuarterlyFAME!C182)</f>
        <v>270200</v>
      </c>
      <c r="D182">
        <f>IF(QuarterlyFAME!D182=0,"",QuarterlyFAME!D182)</f>
        <v>79089</v>
      </c>
      <c r="E182">
        <f>IF([3]QuarterlyFAME!E182=0,"",[3]QuarterlyFAME!E182)</f>
        <v>11870.300000000001</v>
      </c>
    </row>
    <row r="183" spans="1:5" x14ac:dyDescent="0.2">
      <c r="A183" s="1">
        <f>IF(QuarterlyFAME!A183=0,"",QuarterlyFAME!A183)</f>
        <v>38168</v>
      </c>
      <c r="B183">
        <f>IF(QuarterlyFAME!B183=0,"",QuarterlyFAME!B183)</f>
        <v>446140</v>
      </c>
      <c r="C183">
        <f>IF(QuarterlyFAME!C183=0,"",QuarterlyFAME!C183)</f>
        <v>272716</v>
      </c>
      <c r="D183">
        <f>IF(QuarterlyFAME!D183=0,"",QuarterlyFAME!D183)</f>
        <v>78698</v>
      </c>
      <c r="E183">
        <f>IF([3]QuarterlyFAME!E183=0,"",[3]QuarterlyFAME!E183)</f>
        <v>11827.4</v>
      </c>
    </row>
    <row r="184" spans="1:5" x14ac:dyDescent="0.2">
      <c r="A184" s="1">
        <f>IF(QuarterlyFAME!A184=0,"",QuarterlyFAME!A184)</f>
        <v>38260</v>
      </c>
      <c r="B184">
        <f>IF(QuarterlyFAME!B184=0,"",QuarterlyFAME!B184)</f>
        <v>447205</v>
      </c>
      <c r="C184">
        <f>IF(QuarterlyFAME!C184=0,"",QuarterlyFAME!C184)</f>
        <v>274100</v>
      </c>
      <c r="D184">
        <f>IF(QuarterlyFAME!D184=0,"",QuarterlyFAME!D184)</f>
        <v>80001</v>
      </c>
      <c r="E184">
        <f>IF([3]QuarterlyFAME!E184=0,"",[3]QuarterlyFAME!E184)</f>
        <v>11854.699999999999</v>
      </c>
    </row>
    <row r="185" spans="1:5" x14ac:dyDescent="0.2">
      <c r="A185" s="1">
        <f>IF(QuarterlyFAME!A185=0,"",QuarterlyFAME!A185)</f>
        <v>38352</v>
      </c>
      <c r="B185">
        <f>IF(QuarterlyFAME!B185=0,"",QuarterlyFAME!B185)</f>
        <v>448619</v>
      </c>
      <c r="C185">
        <f>IF(QuarterlyFAME!C185=0,"",QuarterlyFAME!C185)</f>
        <v>276339</v>
      </c>
      <c r="D185">
        <f>IF(QuarterlyFAME!D185=0,"",QuarterlyFAME!D185)</f>
        <v>80324</v>
      </c>
      <c r="E185">
        <f>IF([3]QuarterlyFAME!E185=0,"",[3]QuarterlyFAME!E185)</f>
        <v>11999</v>
      </c>
    </row>
    <row r="186" spans="1:5" x14ac:dyDescent="0.2">
      <c r="A186" s="1">
        <f>IF(QuarterlyFAME!A186=0,"",QuarterlyFAME!A186)</f>
        <v>38442</v>
      </c>
      <c r="B186">
        <f>IF(QuarterlyFAME!B186=0,"",QuarterlyFAME!B186)</f>
        <v>451985</v>
      </c>
      <c r="C186">
        <f>IF(QuarterlyFAME!C186=0,"",QuarterlyFAME!C186)</f>
        <v>279204</v>
      </c>
      <c r="D186">
        <f>IF(QuarterlyFAME!D186=0,"",QuarterlyFAME!D186)</f>
        <v>81869</v>
      </c>
      <c r="E186">
        <f>IF([3]QuarterlyFAME!E186=0,"",[3]QuarterlyFAME!E186)</f>
        <v>12009.4</v>
      </c>
    </row>
    <row r="187" spans="1:5" x14ac:dyDescent="0.2">
      <c r="A187" s="1">
        <f>IF(QuarterlyFAME!A187=0,"",QuarterlyFAME!A187)</f>
        <v>38533</v>
      </c>
      <c r="B187">
        <f>IF(QuarterlyFAME!B187=0,"",QuarterlyFAME!B187)</f>
        <v>456263</v>
      </c>
      <c r="C187">
        <f>IF(QuarterlyFAME!C187=0,"",QuarterlyFAME!C187)</f>
        <v>279049</v>
      </c>
      <c r="D187">
        <f>IF(QuarterlyFAME!D187=0,"",QuarterlyFAME!D187)</f>
        <v>83577</v>
      </c>
      <c r="E187">
        <f>IF([3]QuarterlyFAME!E187=0,"",[3]QuarterlyFAME!E187)</f>
        <v>11997.699999999999</v>
      </c>
    </row>
    <row r="188" spans="1:5" x14ac:dyDescent="0.2">
      <c r="A188" s="1">
        <f>IF(QuarterlyFAME!A188=0,"",QuarterlyFAME!A188)</f>
        <v>38625</v>
      </c>
      <c r="B188">
        <f>IF(QuarterlyFAME!B188=0,"",QuarterlyFAME!B188)</f>
        <v>460177</v>
      </c>
      <c r="C188">
        <f>IF(QuarterlyFAME!C188=0,"",QuarterlyFAME!C188)</f>
        <v>282210</v>
      </c>
      <c r="D188">
        <f>IF(QuarterlyFAME!D188=0,"",QuarterlyFAME!D188)</f>
        <v>82925</v>
      </c>
      <c r="E188">
        <f>IF([3]QuarterlyFAME!E188=0,"",[3]QuarterlyFAME!E188)</f>
        <v>12083.5</v>
      </c>
    </row>
    <row r="189" spans="1:5" x14ac:dyDescent="0.2">
      <c r="A189" s="1">
        <f>IF(QuarterlyFAME!A189=0,"",QuarterlyFAME!A189)</f>
        <v>38717</v>
      </c>
      <c r="B189">
        <f>IF(QuarterlyFAME!B189=0,"",QuarterlyFAME!B189)</f>
        <v>464981</v>
      </c>
      <c r="C189">
        <f>IF(QuarterlyFAME!C189=0,"",QuarterlyFAME!C189)</f>
        <v>283490</v>
      </c>
      <c r="D189">
        <f>IF(QuarterlyFAME!D189=0,"",QuarterlyFAME!D189)</f>
        <v>83061</v>
      </c>
      <c r="E189">
        <f>IF([3]QuarterlyFAME!E189=0,"",[3]QuarterlyFAME!E189)</f>
        <v>12080.9</v>
      </c>
    </row>
    <row r="190" spans="1:5" x14ac:dyDescent="0.2">
      <c r="A190" s="1">
        <f>IF(QuarterlyFAME!A190=0,"",QuarterlyFAME!A190)</f>
        <v>38807</v>
      </c>
      <c r="B190">
        <f>IF(QuarterlyFAME!B190=0,"",QuarterlyFAME!B190)</f>
        <v>466584</v>
      </c>
      <c r="C190">
        <f>IF(QuarterlyFAME!C190=0,"",QuarterlyFAME!C190)</f>
        <v>282042</v>
      </c>
      <c r="D190">
        <f>IF(QuarterlyFAME!D190=0,"",QuarterlyFAME!D190)</f>
        <v>83610</v>
      </c>
      <c r="E190">
        <f>IF([3]QuarterlyFAME!E190=0,"",[3]QuarterlyFAME!E190)</f>
        <v>12112.1</v>
      </c>
    </row>
    <row r="191" spans="1:5" x14ac:dyDescent="0.2">
      <c r="A191" s="1">
        <f>IF(QuarterlyFAME!A191=0,"",QuarterlyFAME!A191)</f>
        <v>38898</v>
      </c>
      <c r="B191">
        <f>IF(QuarterlyFAME!B191=0,"",QuarterlyFAME!B191)</f>
        <v>467684</v>
      </c>
      <c r="C191">
        <f>IF(QuarterlyFAME!C191=0,"",QuarterlyFAME!C191)</f>
        <v>282312</v>
      </c>
      <c r="D191">
        <f>IF(QuarterlyFAME!D191=0,"",QuarterlyFAME!D191)</f>
        <v>83407</v>
      </c>
      <c r="E191">
        <f>IF([3]QuarterlyFAME!E191=0,"",[3]QuarterlyFAME!E191)</f>
        <v>12096.5</v>
      </c>
    </row>
    <row r="192" spans="1:5" x14ac:dyDescent="0.2">
      <c r="A192" s="1">
        <f>IF(QuarterlyFAME!A192=0,"",QuarterlyFAME!A192)</f>
        <v>38990</v>
      </c>
      <c r="B192">
        <f>IF(QuarterlyFAME!B192=0,"",QuarterlyFAME!B192)</f>
        <v>468351</v>
      </c>
      <c r="C192">
        <f>IF(QuarterlyFAME!C192=0,"",QuarterlyFAME!C192)</f>
        <v>284064</v>
      </c>
      <c r="D192">
        <f>IF(QuarterlyFAME!D192=0,"",QuarterlyFAME!D192)</f>
        <v>86763</v>
      </c>
      <c r="E192">
        <f>IF([3]QuarterlyFAME!E192=0,"",[3]QuarterlyFAME!E192)</f>
        <v>12113.4</v>
      </c>
    </row>
    <row r="193" spans="1:5" x14ac:dyDescent="0.2">
      <c r="A193" s="1">
        <f>IF(QuarterlyFAME!A193=0,"",QuarterlyFAME!A193)</f>
        <v>39082</v>
      </c>
      <c r="B193">
        <f>IF(QuarterlyFAME!B193=0,"",QuarterlyFAME!B193)</f>
        <v>470396</v>
      </c>
      <c r="C193">
        <f>IF(QuarterlyFAME!C193=0,"",QuarterlyFAME!C193)</f>
        <v>284538</v>
      </c>
      <c r="D193">
        <f>IF(QuarterlyFAME!D193=0,"",QuarterlyFAME!D193)</f>
        <v>86143</v>
      </c>
      <c r="E193">
        <f>IF([3]QuarterlyFAME!E193=0,"",[3]QuarterlyFAME!E193)</f>
        <v>12162.800000000001</v>
      </c>
    </row>
    <row r="194" spans="1:5" x14ac:dyDescent="0.2">
      <c r="A194" s="1">
        <f>IF(QuarterlyFAME!A194=0,"",QuarterlyFAME!A194)</f>
        <v>39172</v>
      </c>
      <c r="B194">
        <f>IF(QuarterlyFAME!B194=0,"",QuarterlyFAME!B194)</f>
        <v>475292</v>
      </c>
      <c r="C194">
        <f>IF(QuarterlyFAME!C194=0,"",QuarterlyFAME!C194)</f>
        <v>287582</v>
      </c>
      <c r="D194">
        <f>IF(QuarterlyFAME!D194=0,"",QuarterlyFAME!D194)</f>
        <v>86770</v>
      </c>
      <c r="E194">
        <f>IF([3]QuarterlyFAME!E194=0,"",[3]QuarterlyFAME!E194)</f>
        <v>12182.300000000001</v>
      </c>
    </row>
    <row r="195" spans="1:5" x14ac:dyDescent="0.2">
      <c r="A195" s="1">
        <f>IF(QuarterlyFAME!A195=0,"",QuarterlyFAME!A195)</f>
        <v>39263</v>
      </c>
      <c r="B195">
        <f>IF(QuarterlyFAME!B195=0,"",QuarterlyFAME!B195)</f>
        <v>478424</v>
      </c>
      <c r="C195">
        <f>IF(QuarterlyFAME!C195=0,"",QuarterlyFAME!C195)</f>
        <v>290739</v>
      </c>
      <c r="D195">
        <f>IF(QuarterlyFAME!D195=0,"",QuarterlyFAME!D195)</f>
        <v>88649</v>
      </c>
      <c r="E195">
        <f>IF([3]QuarterlyFAME!E195=0,"",[3]QuarterlyFAME!E195)</f>
        <v>12235.6</v>
      </c>
    </row>
    <row r="196" spans="1:5" x14ac:dyDescent="0.2">
      <c r="A196" s="1">
        <f>IF(QuarterlyFAME!A196=0,"",QuarterlyFAME!A196)</f>
        <v>39355</v>
      </c>
      <c r="B196">
        <f>IF(QuarterlyFAME!B196=0,"",QuarterlyFAME!B196)</f>
        <v>482064</v>
      </c>
      <c r="C196">
        <f>IF(QuarterlyFAME!C196=0,"",QuarterlyFAME!C196)</f>
        <v>296387</v>
      </c>
      <c r="D196">
        <f>IF(QuarterlyFAME!D196=0,"",QuarterlyFAME!D196)</f>
        <v>85799</v>
      </c>
      <c r="E196">
        <f>IF([3]QuarterlyFAME!E196=0,"",[3]QuarterlyFAME!E196)</f>
        <v>12260.300000000001</v>
      </c>
    </row>
    <row r="197" spans="1:5" x14ac:dyDescent="0.2">
      <c r="A197" s="1">
        <f>IF(QuarterlyFAME!A197=0,"",QuarterlyFAME!A197)</f>
        <v>39447</v>
      </c>
      <c r="B197">
        <f>IF(QuarterlyFAME!B197=0,"",QuarterlyFAME!B197)</f>
        <v>485249</v>
      </c>
      <c r="C197">
        <f>IF(QuarterlyFAME!C197=0,"",QuarterlyFAME!C197)</f>
        <v>296111</v>
      </c>
      <c r="D197">
        <f>IF(QuarterlyFAME!D197=0,"",QuarterlyFAME!D197)</f>
        <v>91560</v>
      </c>
      <c r="E197">
        <f>IF([3]QuarterlyFAME!E197=0,"",[3]QuarterlyFAME!E197)</f>
        <v>12260.300000000001</v>
      </c>
    </row>
    <row r="198" spans="1:5" x14ac:dyDescent="0.2">
      <c r="A198" s="1">
        <f>IF(QuarterlyFAME!A198=0,"",QuarterlyFAME!A198)</f>
        <v>39538</v>
      </c>
      <c r="B198">
        <f>IF(QuarterlyFAME!B198=0,"",QuarterlyFAME!B198)</f>
        <v>487601</v>
      </c>
      <c r="C198">
        <f>IF(QuarterlyFAME!C198=0,"",QuarterlyFAME!C198)</f>
        <v>297718</v>
      </c>
      <c r="D198">
        <f>IF(QuarterlyFAME!D198=0,"",QuarterlyFAME!D198)</f>
        <v>87028</v>
      </c>
      <c r="E198">
        <f>IF([3]QuarterlyFAME!E198=0,"",[3]QuarterlyFAME!E198)</f>
        <v>12416.300000000001</v>
      </c>
    </row>
    <row r="199" spans="1:5" x14ac:dyDescent="0.2">
      <c r="A199" s="1">
        <f>IF(QuarterlyFAME!A199=0,"",QuarterlyFAME!A199)</f>
        <v>39629</v>
      </c>
      <c r="B199">
        <f>IF(QuarterlyFAME!B199=0,"",QuarterlyFAME!B199)</f>
        <v>485278</v>
      </c>
      <c r="C199">
        <f>IF(QuarterlyFAME!C199=0,"",QuarterlyFAME!C199)</f>
        <v>293816</v>
      </c>
      <c r="D199">
        <f>IF(QuarterlyFAME!D199=0,"",QuarterlyFAME!D199)</f>
        <v>87538</v>
      </c>
      <c r="E199">
        <f>IF([3]QuarterlyFAME!E199=0,"",[3]QuarterlyFAME!E199)</f>
        <v>12279.800000000001</v>
      </c>
    </row>
    <row r="200" spans="1:5" x14ac:dyDescent="0.2">
      <c r="A200" s="1">
        <f>IF(QuarterlyFAME!A200=0,"",QuarterlyFAME!A200)</f>
        <v>39721</v>
      </c>
      <c r="B200">
        <f>IF(QuarterlyFAME!B200=0,"",QuarterlyFAME!B200)</f>
        <v>477935</v>
      </c>
      <c r="C200">
        <f>IF(QuarterlyFAME!C200=0,"",QuarterlyFAME!C200)</f>
        <v>288567</v>
      </c>
      <c r="D200">
        <f>IF(QuarterlyFAME!D200=0,"",QuarterlyFAME!D200)</f>
        <v>83063</v>
      </c>
      <c r="E200">
        <f>IF([3]QuarterlyFAME!E200=0,"",[3]QuarterlyFAME!E200)</f>
        <v>12287.6</v>
      </c>
    </row>
    <row r="201" spans="1:5" x14ac:dyDescent="0.2">
      <c r="A201" s="1">
        <f>IF(QuarterlyFAME!A201=0,"",QuarterlyFAME!A201)</f>
        <v>39813</v>
      </c>
      <c r="B201">
        <f>IF(QuarterlyFAME!B201=0,"",QuarterlyFAME!B201)</f>
        <v>467250</v>
      </c>
      <c r="C201">
        <f>IF(QuarterlyFAME!C201=0,"",QuarterlyFAME!C201)</f>
        <v>281229</v>
      </c>
      <c r="D201">
        <f>IF(QuarterlyFAME!D201=0,"",QuarterlyFAME!D201)</f>
        <v>81585</v>
      </c>
      <c r="E201">
        <f>IF([3]QuarterlyFAME!E201=0,"",[3]QuarterlyFAME!E201)</f>
        <v>12213.5</v>
      </c>
    </row>
    <row r="202" spans="1:5" x14ac:dyDescent="0.2">
      <c r="A202" s="1">
        <f>IF(QuarterlyFAME!A202=0,"",QuarterlyFAME!A202)</f>
        <v>39903</v>
      </c>
      <c r="B202">
        <f>IF(QuarterlyFAME!B202=0,"",QuarterlyFAME!B202)</f>
        <v>458181</v>
      </c>
      <c r="C202">
        <f>IF(QuarterlyFAME!C202=0,"",QuarterlyFAME!C202)</f>
        <v>280072</v>
      </c>
      <c r="D202">
        <f>IF(QuarterlyFAME!D202=0,"",QuarterlyFAME!D202)</f>
        <v>76320</v>
      </c>
      <c r="E202">
        <f>IF([3]QuarterlyFAME!E202=0,"",[3]QuarterlyFAME!E202)</f>
        <v>12005.5</v>
      </c>
    </row>
    <row r="203" spans="1:5" x14ac:dyDescent="0.2">
      <c r="A203" s="1">
        <f>IF(QuarterlyFAME!A203=0,"",QuarterlyFAME!A203)</f>
        <v>39994</v>
      </c>
      <c r="B203">
        <f>IF(QuarterlyFAME!B203=0,"",QuarterlyFAME!B203)</f>
        <v>456867</v>
      </c>
      <c r="C203">
        <f>IF(QuarterlyFAME!C203=0,"",QuarterlyFAME!C203)</f>
        <v>279347</v>
      </c>
      <c r="D203">
        <f>IF(QuarterlyFAME!D203=0,"",QuarterlyFAME!D203)</f>
        <v>73206</v>
      </c>
      <c r="E203">
        <f>IF([3]QuarterlyFAME!E203=0,"",[3]QuarterlyFAME!E203)</f>
        <v>11961.300000000001</v>
      </c>
    </row>
    <row r="204" spans="1:5" x14ac:dyDescent="0.2">
      <c r="A204" s="1">
        <f>IF(QuarterlyFAME!A204=0,"",QuarterlyFAME!A204)</f>
        <v>40086</v>
      </c>
      <c r="B204">
        <f>IF(QuarterlyFAME!B204=0,"",QuarterlyFAME!B204)</f>
        <v>457471</v>
      </c>
      <c r="C204">
        <f>IF(QuarterlyFAME!C204=0,"",QuarterlyFAME!C204)</f>
        <v>280520</v>
      </c>
      <c r="D204">
        <f>IF(QuarterlyFAME!D204=0,"",QuarterlyFAME!D204)</f>
        <v>74047</v>
      </c>
      <c r="E204">
        <f>IF([3]QuarterlyFAME!E204=0,"",[3]QuarterlyFAME!E204)</f>
        <v>11897.6</v>
      </c>
    </row>
    <row r="205" spans="1:5" x14ac:dyDescent="0.2">
      <c r="A205" s="1">
        <f>IF(QuarterlyFAME!A205=0,"",QuarterlyFAME!A205)</f>
        <v>40178</v>
      </c>
      <c r="B205">
        <f>IF(QuarterlyFAME!B205=0,"",QuarterlyFAME!B205)</f>
        <v>459031</v>
      </c>
      <c r="C205">
        <f>IF(QuarterlyFAME!C205=0,"",QuarterlyFAME!C205)</f>
        <v>282802</v>
      </c>
      <c r="D205">
        <f>IF(QuarterlyFAME!D205=0,"",QuarterlyFAME!D205)</f>
        <v>72917</v>
      </c>
      <c r="E205">
        <f>IF([3]QuarterlyFAME!E205=0,"",[3]QuarterlyFAME!E205)</f>
        <v>11902.800000000001</v>
      </c>
    </row>
    <row r="206" spans="1:5" x14ac:dyDescent="0.2">
      <c r="A206" s="1">
        <f>IF(QuarterlyFAME!A206=0,"",QuarterlyFAME!A206)</f>
        <v>40268</v>
      </c>
      <c r="B206">
        <f>IF(QuarterlyFAME!B206=0,"",QuarterlyFAME!B206)</f>
        <v>463391</v>
      </c>
      <c r="C206">
        <f>IF(QuarterlyFAME!C206=0,"",QuarterlyFAME!C206)</f>
        <v>281251</v>
      </c>
      <c r="D206">
        <f>IF(QuarterlyFAME!D206=0,"",QuarterlyFAME!D206)</f>
        <v>75936</v>
      </c>
      <c r="E206">
        <f>IF([3]QuarterlyFAME!E206=0,"",[3]QuarterlyFAME!E206)</f>
        <v>11887.199999999999</v>
      </c>
    </row>
    <row r="207" spans="1:5" x14ac:dyDescent="0.2">
      <c r="A207" s="1">
        <f>IF(QuarterlyFAME!A207=0,"",QuarterlyFAME!A207)</f>
        <v>40359</v>
      </c>
      <c r="B207">
        <f>IF(QuarterlyFAME!B207=0,"",QuarterlyFAME!B207)</f>
        <v>468691</v>
      </c>
      <c r="C207">
        <f>IF(QuarterlyFAME!C207=0,"",QuarterlyFAME!C207)</f>
        <v>288043</v>
      </c>
      <c r="D207">
        <f>IF(QuarterlyFAME!D207=0,"",QuarterlyFAME!D207)</f>
        <v>75577</v>
      </c>
      <c r="E207">
        <f>IF([3]QuarterlyFAME!E207=0,"",[3]QuarterlyFAME!E207)</f>
        <v>11989.9</v>
      </c>
    </row>
    <row r="208" spans="1:5" x14ac:dyDescent="0.2">
      <c r="A208" s="1">
        <f>IF(QuarterlyFAME!A208=0,"",QuarterlyFAME!A208)</f>
        <v>40451</v>
      </c>
      <c r="B208">
        <f>IF(QuarterlyFAME!B208=0,"",QuarterlyFAME!B208)</f>
        <v>471664</v>
      </c>
      <c r="C208">
        <f>IF(QuarterlyFAME!C208=0,"",QuarterlyFAME!C208)</f>
        <v>288156</v>
      </c>
      <c r="D208">
        <f>IF(QuarterlyFAME!D208=0,"",QuarterlyFAME!D208)</f>
        <v>78355</v>
      </c>
      <c r="E208">
        <f>IF([3]QuarterlyFAME!E208=0,"",[3]QuarterlyFAME!E208)</f>
        <v>12049.699999999999</v>
      </c>
    </row>
    <row r="209" spans="1:5" x14ac:dyDescent="0.2">
      <c r="A209" s="1">
        <f>IF(QuarterlyFAME!A209=0,"",QuarterlyFAME!A209)</f>
        <v>40543</v>
      </c>
      <c r="B209">
        <f>IF(QuarterlyFAME!B209=0,"",QuarterlyFAME!B209)</f>
        <v>472312</v>
      </c>
      <c r="C209">
        <f>IF(QuarterlyFAME!C209=0,"",QuarterlyFAME!C209)</f>
        <v>288053</v>
      </c>
      <c r="D209">
        <f>IF(QuarterlyFAME!D209=0,"",QuarterlyFAME!D209)</f>
        <v>80277</v>
      </c>
      <c r="E209">
        <f>IF([3]QuarterlyFAME!E209=0,"",[3]QuarterlyFAME!E209)</f>
        <v>12101.699999999999</v>
      </c>
    </row>
    <row r="210" spans="1:5" x14ac:dyDescent="0.2">
      <c r="A210" s="1">
        <f>IF(QuarterlyFAME!A210=0,"",QuarterlyFAME!A210)</f>
        <v>40633</v>
      </c>
      <c r="B210">
        <f>IF(QuarterlyFAME!B210=0,"",QuarterlyFAME!B210)</f>
        <v>473510</v>
      </c>
      <c r="C210">
        <f>IF(QuarterlyFAME!C210=0,"",QuarterlyFAME!C210)</f>
        <v>285435</v>
      </c>
      <c r="D210">
        <f>IF(QuarterlyFAME!D210=0,"",QuarterlyFAME!D210)</f>
        <v>76536</v>
      </c>
      <c r="E210">
        <f>IF([3]QuarterlyFAME!E210=0,"",[3]QuarterlyFAME!E210)</f>
        <v>12106.9</v>
      </c>
    </row>
    <row r="211" spans="1:5" x14ac:dyDescent="0.2">
      <c r="A211" s="1">
        <f>IF(QuarterlyFAME!A211=0,"",QuarterlyFAME!A211)</f>
        <v>40724</v>
      </c>
      <c r="B211">
        <f>IF(QuarterlyFAME!B211=0,"",QuarterlyFAME!B211)</f>
        <v>473773</v>
      </c>
      <c r="C211">
        <f>IF(QuarterlyFAME!C211=0,"",QuarterlyFAME!C211)</f>
        <v>284431</v>
      </c>
      <c r="D211">
        <f>IF(QuarterlyFAME!D211=0,"",QuarterlyFAME!D211)</f>
        <v>75777</v>
      </c>
      <c r="E211">
        <f>IF([3]QuarterlyFAME!E211=0,"",[3]QuarterlyFAME!E211)</f>
        <v>11978.199999999999</v>
      </c>
    </row>
    <row r="212" spans="1:5" x14ac:dyDescent="0.2">
      <c r="A212" s="1">
        <f>IF(QuarterlyFAME!A212=0,"",QuarterlyFAME!A212)</f>
        <v>40816</v>
      </c>
      <c r="B212">
        <f>IF(QuarterlyFAME!B212=0,"",QuarterlyFAME!B212)</f>
        <v>474501</v>
      </c>
      <c r="C212">
        <f>IF(QuarterlyFAME!C212=0,"",QuarterlyFAME!C212)</f>
        <v>285275</v>
      </c>
      <c r="D212">
        <f>IF(QuarterlyFAME!D212=0,"",QuarterlyFAME!D212)</f>
        <v>77630</v>
      </c>
      <c r="E212">
        <f>IF([3]QuarterlyFAME!E212=0,"",[3]QuarterlyFAME!E212)</f>
        <v>12051</v>
      </c>
    </row>
    <row r="213" spans="1:5" x14ac:dyDescent="0.2">
      <c r="A213" s="1">
        <f>IF(QuarterlyFAME!A213=0,"",QuarterlyFAME!A213)</f>
        <v>40908</v>
      </c>
      <c r="B213">
        <f>IF(QuarterlyFAME!B213=0,"",QuarterlyFAME!B213)</f>
        <v>474303</v>
      </c>
      <c r="C213">
        <f>IF(QuarterlyFAME!C213=0,"",QuarterlyFAME!C213)</f>
        <v>286167</v>
      </c>
      <c r="D213">
        <f>IF(QuarterlyFAME!D213=0,"",QuarterlyFAME!D213)</f>
        <v>78834</v>
      </c>
      <c r="E213">
        <f>IF([3]QuarterlyFAME!E213=0,"",[3]QuarterlyFAME!E213)</f>
        <v>12038</v>
      </c>
    </row>
    <row r="214" spans="1:5" x14ac:dyDescent="0.2">
      <c r="A214" s="1">
        <f>IF(QuarterlyFAME!A214=0,"",QuarterlyFAME!A214)</f>
        <v>40999</v>
      </c>
      <c r="B214">
        <f>IF(QuarterlyFAME!B214=0,"",QuarterlyFAME!B214)</f>
        <v>478242</v>
      </c>
      <c r="C214">
        <f>IF(QuarterlyFAME!C214=0,"",QuarterlyFAME!C214)</f>
        <v>285849</v>
      </c>
      <c r="D214">
        <f>IF(QuarterlyFAME!D214=0,"",QuarterlyFAME!D214)</f>
        <v>79787</v>
      </c>
      <c r="E214">
        <f>IF([3]QuarterlyFAME!E214=0,"",[3]QuarterlyFAME!E214)</f>
        <v>12153.699999999999</v>
      </c>
    </row>
    <row r="215" spans="1:5" x14ac:dyDescent="0.2">
      <c r="A215" s="1">
        <f>IF(QuarterlyFAME!A215=0,"",QuarterlyFAME!A215)</f>
        <v>41090</v>
      </c>
      <c r="B215">
        <f>IF(QuarterlyFAME!B215=0,"",QuarterlyFAME!B215)</f>
        <v>477974</v>
      </c>
      <c r="C215">
        <f>IF(QuarterlyFAME!C215=0,"",QuarterlyFAME!C215)</f>
        <v>288126</v>
      </c>
      <c r="D215">
        <f>IF(QuarterlyFAME!D215=0,"",QuarterlyFAME!D215)</f>
        <v>76275</v>
      </c>
      <c r="E215">
        <f>IF([3]QuarterlyFAME!E215=0,"",[3]QuarterlyFAME!E215)</f>
        <v>12236.9</v>
      </c>
    </row>
    <row r="216" spans="1:5" x14ac:dyDescent="0.2">
      <c r="A216" s="1">
        <f>IF(QuarterlyFAME!A216=0,"",QuarterlyFAME!A216)</f>
        <v>41182</v>
      </c>
      <c r="B216">
        <f>IF(QuarterlyFAME!B216=0,"",QuarterlyFAME!B216)</f>
        <v>483913</v>
      </c>
      <c r="C216">
        <f>IF(QuarterlyFAME!C216=0,"",QuarterlyFAME!C216)</f>
        <v>291399</v>
      </c>
      <c r="D216">
        <f>IF(QuarterlyFAME!D216=0,"",QuarterlyFAME!D216)</f>
        <v>75588</v>
      </c>
      <c r="E216">
        <f>IF([3]QuarterlyFAME!E216=0,"",[3]QuarterlyFAME!E216)</f>
        <v>12360.4</v>
      </c>
    </row>
    <row r="217" spans="1:5" x14ac:dyDescent="0.2">
      <c r="A217" s="1">
        <f>IF(QuarterlyFAME!A217=0,"",QuarterlyFAME!A217)</f>
        <v>41274</v>
      </c>
      <c r="B217">
        <f>IF(QuarterlyFAME!B217=0,"",QuarterlyFAME!B217)</f>
        <v>483422</v>
      </c>
      <c r="C217">
        <f>IF(QuarterlyFAME!C217=0,"",QuarterlyFAME!C217)</f>
        <v>295844</v>
      </c>
      <c r="D217">
        <f>IF(QuarterlyFAME!D217=0,"",QuarterlyFAME!D217)</f>
        <v>79483</v>
      </c>
      <c r="E217">
        <f>IF([3]QuarterlyFAME!E217=0,"",[3]QuarterlyFAME!E217)</f>
        <v>12398.1</v>
      </c>
    </row>
    <row r="218" spans="1:5" x14ac:dyDescent="0.2">
      <c r="A218" s="1">
        <f>IF(QuarterlyFAME!A218=0,"",QuarterlyFAME!A218)</f>
        <v>41364</v>
      </c>
      <c r="B218">
        <f>IF(QuarterlyFAME!B218=0,"",QuarterlyFAME!B218)</f>
        <v>484555</v>
      </c>
      <c r="C218">
        <f>IF(QuarterlyFAME!C218=0,"",QuarterlyFAME!C218)</f>
        <v>294306</v>
      </c>
      <c r="D218">
        <f>IF(QuarterlyFAME!D218=0,"",QuarterlyFAME!D218)</f>
        <v>76378</v>
      </c>
      <c r="E218">
        <f>IF([3]QuarterlyFAME!E218=0,"",[3]QuarterlyFAME!E218)</f>
        <v>12408.5</v>
      </c>
    </row>
    <row r="219" spans="1:5" x14ac:dyDescent="0.2">
      <c r="A219" s="1">
        <f>IF(QuarterlyFAME!A219=0,"",QuarterlyFAME!A219)</f>
        <v>41455</v>
      </c>
      <c r="B219">
        <f>IF(QuarterlyFAME!B219=0,"",QuarterlyFAME!B219)</f>
        <v>487845</v>
      </c>
      <c r="C219">
        <f>IF(QuarterlyFAME!C219=0,"",QuarterlyFAME!C219)</f>
        <v>297426</v>
      </c>
      <c r="D219">
        <f>IF(QuarterlyFAME!D219=0,"",QuarterlyFAME!D219)</f>
        <v>80289</v>
      </c>
      <c r="E219">
        <f>IF([3]QuarterlyFAME!E219=0,"",[3]QuarterlyFAME!E219)</f>
        <v>12442.300000000001</v>
      </c>
    </row>
    <row r="220" spans="1:5" x14ac:dyDescent="0.2">
      <c r="A220" s="1">
        <f>IF(QuarterlyFAME!A220=0,"",QuarterlyFAME!A220)</f>
        <v>41547</v>
      </c>
      <c r="B220">
        <f>IF(QuarterlyFAME!B220=0,"",QuarterlyFAME!B220)</f>
        <v>491499</v>
      </c>
      <c r="C220">
        <f>IF(QuarterlyFAME!C220=0,"",QuarterlyFAME!C220)</f>
        <v>301101</v>
      </c>
      <c r="D220">
        <f>IF(QuarterlyFAME!D220=0,"",QuarterlyFAME!D220)</f>
        <v>82244</v>
      </c>
      <c r="E220">
        <f>IF([3]QuarterlyFAME!E220=0,"",[3]QuarterlyFAME!E220)</f>
        <v>12589.199999999999</v>
      </c>
    </row>
    <row r="221" spans="1:5" x14ac:dyDescent="0.2">
      <c r="A221" s="1">
        <f>IF(QuarterlyFAME!A221=0,"",QuarterlyFAME!A221)</f>
        <v>41639</v>
      </c>
      <c r="B221">
        <f>IF(QuarterlyFAME!B221=0,"",QuarterlyFAME!B221)</f>
        <v>494658</v>
      </c>
      <c r="C221">
        <f>IF(QuarterlyFAME!C221=0,"",QuarterlyFAME!C221)</f>
        <v>302250</v>
      </c>
      <c r="D221">
        <f>IF(QuarterlyFAME!D221=0,"",QuarterlyFAME!D221)</f>
        <v>82874</v>
      </c>
      <c r="E221">
        <f>IF([3]QuarterlyFAME!E221=0,"",[3]QuarterlyFAME!E221)</f>
        <v>12611.300000000001</v>
      </c>
    </row>
    <row r="222" spans="1:5" x14ac:dyDescent="0.2">
      <c r="A222" s="1">
        <f>IF(QuarterlyFAME!A222=0,"",QuarterlyFAME!A222)</f>
        <v>41729</v>
      </c>
      <c r="B222">
        <f>IF(QuarterlyFAME!B222=0,"",QuarterlyFAME!B222)</f>
        <v>499294</v>
      </c>
      <c r="C222">
        <f>IF(QuarterlyFAME!C222=0,"",QuarterlyFAME!C222)</f>
        <v>303961</v>
      </c>
      <c r="D222">
        <f>IF(QuarterlyFAME!D222=0,"",QuarterlyFAME!D222)</f>
        <v>84993</v>
      </c>
      <c r="E222">
        <f>IF([3]QuarterlyFAME!E222=0,"",[3]QuarterlyFAME!E222)</f>
        <v>12725.699999999999</v>
      </c>
    </row>
    <row r="223" spans="1:5" x14ac:dyDescent="0.2">
      <c r="A223" s="1">
        <f>IF(QuarterlyFAME!A223=0,"",QuarterlyFAME!A223)</f>
        <v>41820</v>
      </c>
      <c r="B223">
        <f>IF(QuarterlyFAME!B223=0,"",QuarterlyFAME!B223)</f>
        <v>503659</v>
      </c>
      <c r="C223">
        <f>IF(QuarterlyFAME!C223=0,"",QuarterlyFAME!C223)</f>
        <v>306730</v>
      </c>
      <c r="D223">
        <f>IF(QuarterlyFAME!D223=0,"",QuarterlyFAME!D223)</f>
        <v>84580</v>
      </c>
      <c r="E223">
        <f>IF([3]QuarterlyFAME!E223=0,"",[3]QuarterlyFAME!E223)</f>
        <v>12849.199999999999</v>
      </c>
    </row>
    <row r="224" spans="1:5" x14ac:dyDescent="0.2">
      <c r="A224" s="1">
        <f>IF(QuarterlyFAME!A224=0,"",QuarterlyFAME!A224)</f>
        <v>41912</v>
      </c>
      <c r="B224">
        <f>IF(QuarterlyFAME!B224=0,"",QuarterlyFAME!B224)</f>
        <v>507485</v>
      </c>
      <c r="C224">
        <f>IF(QuarterlyFAME!C224=0,"",QuarterlyFAME!C224)</f>
        <v>310884</v>
      </c>
      <c r="D224">
        <f>IF(QuarterlyFAME!D224=0,"",QuarterlyFAME!D224)</f>
        <v>86321</v>
      </c>
      <c r="E224">
        <f>IF([3]QuarterlyFAME!E224=0,"",[3]QuarterlyFAME!E224)</f>
        <v>12890.800000000001</v>
      </c>
    </row>
    <row r="225" spans="1:5" x14ac:dyDescent="0.2">
      <c r="A225" s="1">
        <f>IF(QuarterlyFAME!A225=0,"",QuarterlyFAME!A225)</f>
        <v>42004</v>
      </c>
      <c r="B225">
        <f>IF(QuarterlyFAME!B225=0,"",QuarterlyFAME!B225)</f>
        <v>510787</v>
      </c>
      <c r="C225">
        <f>IF(QuarterlyFAME!C225=0,"",QuarterlyFAME!C225)</f>
        <v>311922</v>
      </c>
      <c r="D225">
        <f>IF(QuarterlyFAME!D225=0,"",QuarterlyFAME!D225)</f>
        <v>87264</v>
      </c>
      <c r="E225">
        <f>IF([3]QuarterlyFAME!E225=0,"",[3]QuarterlyFAME!E225)</f>
        <v>12967.5</v>
      </c>
    </row>
    <row r="226" spans="1:5" x14ac:dyDescent="0.2">
      <c r="A226" s="1">
        <f>IF(QuarterlyFAME!A226=0,"",QuarterlyFAME!A226)</f>
        <v>42094</v>
      </c>
      <c r="B226">
        <f>IF(QuarterlyFAME!B226=0,"",QuarterlyFAME!B226)</f>
        <v>512895</v>
      </c>
      <c r="C226">
        <f>IF(QuarterlyFAME!C226=0,"",QuarterlyFAME!C226)</f>
        <v>314985</v>
      </c>
      <c r="D226">
        <f>IF(QuarterlyFAME!D226=0,"",QuarterlyFAME!D226)</f>
        <v>90986</v>
      </c>
      <c r="E226">
        <f>IF([3]QuarterlyFAME!E226=0,"",[3]QuarterlyFAME!E226)</f>
        <v>13003.9</v>
      </c>
    </row>
    <row r="227" spans="1:5" x14ac:dyDescent="0.2">
      <c r="A227" s="1">
        <f>IF(QuarterlyFAME!A227=0,"",QuarterlyFAME!A227)</f>
        <v>42185</v>
      </c>
      <c r="B227">
        <f>IF(QuarterlyFAME!B227=0,"",QuarterlyFAME!B227)</f>
        <v>516141</v>
      </c>
      <c r="C227">
        <f>IF(QuarterlyFAME!C227=0,"",QuarterlyFAME!C227)</f>
        <v>316696</v>
      </c>
      <c r="D227">
        <f>IF(QuarterlyFAME!D227=0,"",QuarterlyFAME!D227)</f>
        <v>91126</v>
      </c>
      <c r="E227">
        <f>IF([3]QuarterlyFAME!E227=0,"",[3]QuarterlyFAME!E227)</f>
        <v>12987</v>
      </c>
    </row>
    <row r="228" spans="1:5" x14ac:dyDescent="0.2">
      <c r="A228" s="1">
        <f>IF(QuarterlyFAME!A228=0,"",QuarterlyFAME!A228)</f>
        <v>42277</v>
      </c>
      <c r="B228">
        <f>IF(QuarterlyFAME!B228=0,"",QuarterlyFAME!B228)</f>
        <v>518365</v>
      </c>
      <c r="C228">
        <f>IF(QuarterlyFAME!C228=0,"",QuarterlyFAME!C228)</f>
        <v>320984</v>
      </c>
      <c r="D228">
        <f>IF(QuarterlyFAME!D228=0,"",QuarterlyFAME!D228)</f>
        <v>90440</v>
      </c>
      <c r="E228">
        <f>IF([3]QuarterlyFAME!E228=0,"",[3]QuarterlyFAME!E228)</f>
        <v>12990.9</v>
      </c>
    </row>
    <row r="229" spans="1:5" x14ac:dyDescent="0.2">
      <c r="A229" s="1">
        <f>IF(QuarterlyFAME!A229=0,"",QuarterlyFAME!A229)</f>
        <v>42369</v>
      </c>
      <c r="B229">
        <f>IF(QuarterlyFAME!B229=0,"",QuarterlyFAME!B229)</f>
        <v>522194</v>
      </c>
      <c r="C229">
        <f>IF(QuarterlyFAME!C229=0,"",QuarterlyFAME!C229)</f>
        <v>319709</v>
      </c>
      <c r="D229">
        <f>IF(QuarterlyFAME!D229=0,"",QuarterlyFAME!D229)</f>
        <v>93017</v>
      </c>
      <c r="E229">
        <f>IF([3]QuarterlyFAME!E229=0,"",[3]QuarterlyFAME!E229)</f>
        <v>13247</v>
      </c>
    </row>
    <row r="230" spans="1:5" x14ac:dyDescent="0.2">
      <c r="A230" s="1">
        <f>IF(QuarterlyFAME!A230=0,"",QuarterlyFAME!A230)</f>
        <v>42460</v>
      </c>
      <c r="B230">
        <f>IF(QuarterlyFAME!B230=0,"",QuarterlyFAME!B230)</f>
        <v>524102</v>
      </c>
      <c r="C230">
        <f>IF(QuarterlyFAME!C230=0,"",QuarterlyFAME!C230)</f>
        <v>326708</v>
      </c>
      <c r="D230">
        <f>IF(QuarterlyFAME!D230=0,"",QuarterlyFAME!D230)</f>
        <v>94551</v>
      </c>
      <c r="E230">
        <f>IF([3]QuarterlyFAME!E230=0,"",[3]QuarterlyFAME!E230)</f>
        <v>13180.699999999999</v>
      </c>
    </row>
    <row r="231" spans="1:5" x14ac:dyDescent="0.2">
      <c r="A231" s="1">
        <f>IF(QuarterlyFAME!A231=0,"",QuarterlyFAME!A231)</f>
        <v>42551</v>
      </c>
      <c r="B231">
        <f>IF(QuarterlyFAME!B231=0,"",QuarterlyFAME!B231)</f>
        <v>527401</v>
      </c>
      <c r="C231">
        <f>IF(QuarterlyFAME!C231=0,"",QuarterlyFAME!C231)</f>
        <v>329914</v>
      </c>
      <c r="D231">
        <f>IF(QuarterlyFAME!D231=0,"",QuarterlyFAME!D231)</f>
        <v>95674</v>
      </c>
      <c r="E231">
        <f>IF([3]QuarterlyFAME!E231=0,"",[3]QuarterlyFAME!E231)</f>
        <v>13214.5</v>
      </c>
    </row>
    <row r="232" spans="1:5" x14ac:dyDescent="0.2">
      <c r="A232" s="1">
        <f>IF(QuarterlyFAME!A232=0,"",QuarterlyFAME!A232)</f>
        <v>42643</v>
      </c>
      <c r="B232">
        <f>IF(QuarterlyFAME!B232=0,"",QuarterlyFAME!B232)</f>
        <v>529730</v>
      </c>
      <c r="C232">
        <f>IF(QuarterlyFAME!C232=0,"",QuarterlyFAME!C232)</f>
        <v>332474</v>
      </c>
      <c r="D232">
        <f>IF(QuarterlyFAME!D232=0,"",QuarterlyFAME!D232)</f>
        <v>97398</v>
      </c>
      <c r="E232">
        <f>IF([3]QuarterlyFAME!E232=0,"",[3]QuarterlyFAME!E232)</f>
        <v>13245.699999999999</v>
      </c>
    </row>
    <row r="233" spans="1:5" x14ac:dyDescent="0.2">
      <c r="A233" s="1">
        <f>IF(QuarterlyFAME!A233=0,"",QuarterlyFAME!A233)</f>
        <v>42735</v>
      </c>
      <c r="B233">
        <f>IF(QuarterlyFAME!B233=0,"",QuarterlyFAME!B233)</f>
        <v>533173</v>
      </c>
      <c r="C233">
        <f>IF(QuarterlyFAME!C233=0,"",QuarterlyFAME!C233)</f>
        <v>332130</v>
      </c>
      <c r="D233">
        <f>IF(QuarterlyFAME!D233=0,"",QuarterlyFAME!D233)</f>
        <v>95826</v>
      </c>
      <c r="E233">
        <f>IF([3]QuarterlyFAME!E233=0,"",[3]QuarterlyFAME!E233)</f>
        <v>13297.699999999999</v>
      </c>
    </row>
    <row r="234" spans="1:5" x14ac:dyDescent="0.2">
      <c r="A234" s="1">
        <f>IF(QuarterlyFAME!A234=0,"",QuarterlyFAME!A234)</f>
        <v>42825</v>
      </c>
      <c r="B234">
        <f>IF(QuarterlyFAME!B234=0,"",QuarterlyFAME!B234)</f>
        <v>537114</v>
      </c>
      <c r="C234">
        <f>IF(QuarterlyFAME!C234=0,"",QuarterlyFAME!C234)</f>
        <v>334933</v>
      </c>
      <c r="D234">
        <f>IF(QuarterlyFAME!D234=0,"",QuarterlyFAME!D234)</f>
        <v>97750</v>
      </c>
      <c r="E234">
        <f>IF([3]QuarterlyFAME!E234=0,"",[3]QuarterlyFAME!E234)</f>
        <v>13380.9</v>
      </c>
    </row>
    <row r="235" spans="1:5" x14ac:dyDescent="0.2">
      <c r="A235" s="1">
        <f>IF(QuarterlyFAME!A235=0,"",QuarterlyFAME!A235)</f>
        <v>42916</v>
      </c>
      <c r="B235">
        <f>IF(QuarterlyFAME!B235=0,"",QuarterlyFAME!B235)</f>
        <v>539994</v>
      </c>
      <c r="C235">
        <f>IF(QuarterlyFAME!C235=0,"",QuarterlyFAME!C235)</f>
        <v>334963</v>
      </c>
      <c r="D235">
        <f>IF(QuarterlyFAME!D235=0,"",QuarterlyFAME!D235)</f>
        <v>99356</v>
      </c>
      <c r="E235">
        <f>IF([3]QuarterlyFAME!E235=0,"",[3]QuarterlyFAME!E235)</f>
        <v>13452.4</v>
      </c>
    </row>
    <row r="236" spans="1:5" x14ac:dyDescent="0.2">
      <c r="A236" s="1">
        <f>IF(QuarterlyFAME!A236=0,"",QuarterlyFAME!A236)</f>
        <v>43008</v>
      </c>
      <c r="B236">
        <f>IF(QuarterlyFAME!B236=0,"",QuarterlyFAME!B236)</f>
        <v>542780</v>
      </c>
      <c r="C236">
        <f>IF(QuarterlyFAME!C236=0,"",QuarterlyFAME!C236)</f>
        <v>337224</v>
      </c>
      <c r="D236">
        <f>IF(QuarterlyFAME!D236=0,"",QuarterlyFAME!D236)</f>
        <v>99163</v>
      </c>
      <c r="E236">
        <f>IF([3]QuarterlyFAME!E236=0,"",[3]QuarterlyFAME!E236)</f>
        <v>13318.5</v>
      </c>
    </row>
    <row r="237" spans="1:5" x14ac:dyDescent="0.2">
      <c r="A237" s="1">
        <f>IF(QuarterlyFAME!A237=0,"",QuarterlyFAME!A237)</f>
        <v>43100</v>
      </c>
      <c r="B237">
        <f>IF(QuarterlyFAME!B237=0,"",QuarterlyFAME!B237)</f>
        <v>546185</v>
      </c>
      <c r="C237">
        <f>IF(QuarterlyFAME!C237=0,"",QuarterlyFAME!C237)</f>
        <v>338888</v>
      </c>
      <c r="D237">
        <f>IF(QuarterlyFAME!D237=0,"",QuarterlyFAME!D237)</f>
        <v>100638</v>
      </c>
      <c r="E237">
        <f>IF([3]QuarterlyFAME!E237=0,"",[3]QuarterlyFAME!E237)</f>
        <v>13349.7</v>
      </c>
    </row>
    <row r="238" spans="1:5" x14ac:dyDescent="0.2">
      <c r="A238" s="1">
        <f>IF(QuarterlyFAME!A238=0,"",QuarterlyFAME!A238)</f>
        <v>43190</v>
      </c>
      <c r="B238">
        <f>IF(QuarterlyFAME!B238=0,"",QuarterlyFAME!B238)</f>
        <v>547003</v>
      </c>
      <c r="C238">
        <f>IF(QuarterlyFAME!C238=0,"",QuarterlyFAME!C238)</f>
        <v>341374</v>
      </c>
      <c r="D238">
        <f>IF(QuarterlyFAME!D238=0,"",QuarterlyFAME!D238)</f>
        <v>98919</v>
      </c>
      <c r="E238">
        <f>IF([3]QuarterlyFAME!E238=0,"",[3]QuarterlyFAME!E238)</f>
        <v>13414.7</v>
      </c>
    </row>
    <row r="239" spans="1:5" x14ac:dyDescent="0.2">
      <c r="A239" s="1">
        <f>IF(QuarterlyFAME!A239=0,"",QuarterlyFAME!A239)</f>
        <v>43281</v>
      </c>
      <c r="B239">
        <f>IF(QuarterlyFAME!B239=0,"",QuarterlyFAME!B239)</f>
        <v>549491</v>
      </c>
      <c r="C239">
        <f>IF(QuarterlyFAME!C239=0,"",QuarterlyFAME!C239)</f>
        <v>341220</v>
      </c>
      <c r="D239">
        <f>IF(QuarterlyFAME!D239=0,"",QuarterlyFAME!D239)</f>
        <v>98831</v>
      </c>
      <c r="E239">
        <f>IF([3]QuarterlyFAME!E239=0,"",[3]QuarterlyFAME!E239)</f>
        <v>13436.8</v>
      </c>
    </row>
    <row r="240" spans="1:5" x14ac:dyDescent="0.2">
      <c r="A240" s="1">
        <f>IF(QuarterlyFAME!A240=0,"",QuarterlyFAME!A240)</f>
        <v>43373</v>
      </c>
      <c r="B240">
        <f>IF(QuarterlyFAME!B240=0,"",QuarterlyFAME!B240)</f>
        <v>552545</v>
      </c>
      <c r="C240">
        <f>IF(QuarterlyFAME!C240=0,"",QuarterlyFAME!C240)</f>
        <v>343847</v>
      </c>
      <c r="D240">
        <f>IF(QuarterlyFAME!D240=0,"",QuarterlyFAME!D240)</f>
        <v>99335</v>
      </c>
      <c r="E240">
        <f>IF([3]QuarterlyFAME!E240=0,"",[3]QuarterlyFAME!E240)</f>
        <v>13555.1</v>
      </c>
    </row>
    <row r="241" spans="1:5" x14ac:dyDescent="0.2">
      <c r="A241" s="1">
        <f>IF(QuarterlyFAME!A241=0,"",QuarterlyFAME!A241)</f>
        <v>43465</v>
      </c>
      <c r="B241">
        <f>IF(QuarterlyFAME!B241=0,"",QuarterlyFAME!B241)</f>
        <v>553966</v>
      </c>
      <c r="C241">
        <f>IF(QuarterlyFAME!C241=0,"",QuarterlyFAME!C241)</f>
        <v>347610</v>
      </c>
      <c r="D241">
        <f>IF(QuarterlyFAME!D241=0,"",QuarterlyFAME!D241)</f>
        <v>98882</v>
      </c>
      <c r="E241">
        <f>IF([3]QuarterlyFAME!E241=0,"",[3]QuarterlyFAME!E241)</f>
        <v>13546</v>
      </c>
    </row>
    <row r="242" spans="1:5" x14ac:dyDescent="0.2">
      <c r="A242" s="1">
        <f>IF(QuarterlyFAME!A242=0,"",QuarterlyFAME!A242)</f>
        <v>43555</v>
      </c>
      <c r="B242">
        <f>IF(QuarterlyFAME!B242=0,"",QuarterlyFAME!B242)</f>
        <v>557458</v>
      </c>
      <c r="C242">
        <f>IF(QuarterlyFAME!C242=0,"",QuarterlyFAME!C242)</f>
        <v>346305</v>
      </c>
      <c r="D242">
        <f>IF(QuarterlyFAME!D242=0,"",QuarterlyFAME!D242)</f>
        <v>101096</v>
      </c>
      <c r="E242">
        <f>IF([3]QuarterlyFAME!E242=0,"",[3]QuarterlyFAME!E242)</f>
        <v>13687.7</v>
      </c>
    </row>
    <row r="243" spans="1:5" x14ac:dyDescent="0.2">
      <c r="A243" s="1">
        <f>IF(QuarterlyFAME!A243=0,"",QuarterlyFAME!A243)</f>
        <v>43646</v>
      </c>
      <c r="B243">
        <f>IF(QuarterlyFAME!B243=0,"",QuarterlyFAME!B243)</f>
        <v>558071</v>
      </c>
      <c r="C243">
        <f>IF(QuarterlyFAME!C243=0,"",QuarterlyFAME!C243)</f>
        <v>348077</v>
      </c>
      <c r="D243">
        <f>IF(QuarterlyFAME!D243=0,"",QuarterlyFAME!D243)</f>
        <v>99966</v>
      </c>
      <c r="E243">
        <f>IF([3]QuarterlyFAME!E243=0,"",[3]QuarterlyFAME!E243)</f>
        <v>13683.8</v>
      </c>
    </row>
    <row r="244" spans="1:5" x14ac:dyDescent="0.2">
      <c r="A244" s="1">
        <f>IF(QuarterlyFAME!A244=0,"",QuarterlyFAME!A244)</f>
        <v>43738</v>
      </c>
      <c r="B244">
        <f>IF(QuarterlyFAME!B244=0,"",QuarterlyFAME!B244)</f>
        <v>561480</v>
      </c>
      <c r="C244">
        <f>IF(QuarterlyFAME!C244=0,"",QuarterlyFAME!C244)</f>
        <v>347094</v>
      </c>
      <c r="D244">
        <f>IF(QuarterlyFAME!D244=0,"",QuarterlyFAME!D244)</f>
        <v>101637</v>
      </c>
      <c r="E244">
        <f>IF([3]QuarterlyFAME!E244=0,"",[3]QuarterlyFAME!E244)</f>
        <v>13683.8</v>
      </c>
    </row>
    <row r="245" spans="1:5" x14ac:dyDescent="0.2">
      <c r="A245" s="1">
        <f>IF(QuarterlyFAME!A245=0,"",QuarterlyFAME!A245)</f>
        <v>43830</v>
      </c>
      <c r="B245">
        <f>IF(QuarterlyFAME!B245=0,"",QuarterlyFAME!B245)</f>
        <v>561339</v>
      </c>
      <c r="C245">
        <f>IF(QuarterlyFAME!C245=0,"",QuarterlyFAME!C245)</f>
        <v>346188</v>
      </c>
      <c r="D245">
        <f>IF(QuarterlyFAME!D245=0,"",QuarterlyFAME!D245)</f>
        <v>100666</v>
      </c>
      <c r="E245">
        <f>IF([3]QuarterlyFAME!E245=0,"",[3]QuarterlyFAME!E245)</f>
        <v>13651.3</v>
      </c>
    </row>
    <row r="246" spans="1:5" x14ac:dyDescent="0.2">
      <c r="A246" s="1">
        <f>IF(QuarterlyFAME!A246=0,"",QuarterlyFAME!A246)</f>
        <v>43921</v>
      </c>
      <c r="B246">
        <f>IF(QuarterlyFAME!B246=0,"",QuarterlyFAME!B246)</f>
        <v>546515</v>
      </c>
      <c r="C246">
        <f>IF(QuarterlyFAME!C246=0,"",QuarterlyFAME!C246)</f>
        <v>336134</v>
      </c>
      <c r="D246">
        <f>IF(QuarterlyFAME!D246=0,"",QuarterlyFAME!D246)</f>
        <v>96825</v>
      </c>
      <c r="E246">
        <f>IF([3]QuarterlyFAME!E246=0,"",[3]QuarterlyFAME!E246)</f>
        <v>13379.6</v>
      </c>
    </row>
    <row r="247" spans="1:5" x14ac:dyDescent="0.2">
      <c r="A247" s="1">
        <f>IF(QuarterlyFAME!A247=0,"",QuarterlyFAME!A247)</f>
        <v>44012</v>
      </c>
      <c r="B247">
        <f>IF(QuarterlyFAME!B247=0,"",QuarterlyFAME!B247)</f>
        <v>431794</v>
      </c>
      <c r="C247">
        <f>IF(QuarterlyFAME!C247=0,"",QuarterlyFAME!C247)</f>
        <v>259158</v>
      </c>
      <c r="D247">
        <f>IF(QuarterlyFAME!D247=0,"",QuarterlyFAME!D247)</f>
        <v>78812</v>
      </c>
      <c r="E247">
        <f>IF([3]QuarterlyFAME!E247=0,"",[3]QuarterlyFAME!E247)</f>
        <v>10944.699999999999</v>
      </c>
    </row>
    <row r="248" spans="1:5" x14ac:dyDescent="0.2">
      <c r="A248" s="1">
        <f>IF(QuarterlyFAME!A248=0,"",QuarterlyFAME!A248)</f>
        <v>44104</v>
      </c>
      <c r="B248">
        <f>IF(QuarterlyFAME!B248=0,"",QuarterlyFAME!B248)</f>
        <v>503509</v>
      </c>
      <c r="C248">
        <f>IF(QuarterlyFAME!C248=0,"",QuarterlyFAME!C248)</f>
        <v>308681</v>
      </c>
      <c r="D248">
        <f>IF(QuarterlyFAME!D248=0,"",QuarterlyFAME!D248)</f>
        <v>91209</v>
      </c>
      <c r="E248">
        <f>IF([3]QuarterlyFAME!E248=0,"",[3]QuarterlyFAME!E248)</f>
        <v>12025</v>
      </c>
    </row>
    <row r="249" spans="1:5" x14ac:dyDescent="0.2">
      <c r="A249" s="1">
        <f>IF(QuarterlyFAME!A249=0,"",QuarterlyFAME!A249)</f>
        <v>44196</v>
      </c>
      <c r="B249">
        <f>IF(QuarterlyFAME!B249=0,"",QuarterlyFAME!B249)</f>
        <v>509621</v>
      </c>
      <c r="C249">
        <f>IF(QuarterlyFAME!C249=0,"",QuarterlyFAME!C249)</f>
        <v>304080</v>
      </c>
      <c r="D249">
        <f>IF(QuarterlyFAME!D249=0,"",QuarterlyFAME!D249)</f>
        <v>94156</v>
      </c>
      <c r="E249">
        <f>IF([3]QuarterlyFAME!E249=0,"",[3]QuarterlyFAME!E249)</f>
        <v>12723.1</v>
      </c>
    </row>
    <row r="250" spans="1:5" x14ac:dyDescent="0.2">
      <c r="A250" s="1">
        <f>IF(QuarterlyFAME!A250=0,"",QuarterlyFAME!A250)</f>
        <v>44286</v>
      </c>
      <c r="B250">
        <f>IF(QuarterlyFAME!B250=0,"",QuarterlyFAME!B250)</f>
        <v>504255</v>
      </c>
      <c r="C250">
        <f>IF(QuarterlyFAME!C250=0,"",QuarterlyFAME!C250)</f>
        <v>293745</v>
      </c>
      <c r="D250">
        <f>IF(QuarterlyFAME!D250=0,"",QuarterlyFAME!D250)</f>
        <v>92604</v>
      </c>
      <c r="E250">
        <f>IF([3]QuarterlyFAME!E250=0,"",[3]QuarterlyFAME!E250)</f>
        <v>12430.6</v>
      </c>
    </row>
    <row r="251" spans="1:5" x14ac:dyDescent="0.2">
      <c r="A251" s="1">
        <f>IF(QuarterlyFAME!A251=0,"",QuarterlyFAME!A251)</f>
        <v>44377</v>
      </c>
      <c r="B251">
        <f>IF(QuarterlyFAME!B251=0,"",QuarterlyFAME!B251)</f>
        <v>537175</v>
      </c>
      <c r="C251">
        <f>IF(QuarterlyFAME!C251=0,"",QuarterlyFAME!C251)</f>
        <v>323597</v>
      </c>
      <c r="D251">
        <f>IF(QuarterlyFAME!D251=0,"",QuarterlyFAME!D251)</f>
        <v>96351</v>
      </c>
      <c r="E251" t="str">
        <f>IF([3]QuarterlyFAME!E251=0,"",[3]QuarterlyFAME!E251)</f>
        <v/>
      </c>
    </row>
    <row r="252" spans="1:5" x14ac:dyDescent="0.2">
      <c r="A252" s="1">
        <f>IF(QuarterlyFAME!A252=0,"",QuarterlyFAME!A252)</f>
        <v>44469</v>
      </c>
      <c r="B252">
        <f>IF(QuarterlyFAME!B252=0,"",QuarterlyFAME!B252)</f>
        <v>546487</v>
      </c>
      <c r="C252">
        <f>IF(QuarterlyFAME!C252=0,"",QuarterlyFAME!C252)</f>
        <v>332958</v>
      </c>
      <c r="D252">
        <f>IF(QuarterlyFAME!D252=0,"",QuarterlyFAME!D252)</f>
        <v>97221</v>
      </c>
      <c r="E252" t="str">
        <f>IF([3]QuarterlyFAME!E252=0,"",[3]QuarterlyFAME!E252)</f>
        <v/>
      </c>
    </row>
    <row r="253" spans="1:5" x14ac:dyDescent="0.2">
      <c r="A253" s="1">
        <f>IF(QuarterlyFAME!A253=0,"",QuarterlyFAME!A253)</f>
        <v>44561</v>
      </c>
      <c r="B253">
        <f>IF(QuarterlyFAME!B253=0,"",QuarterlyFAME!B253)</f>
        <v>554821</v>
      </c>
      <c r="C253">
        <f>IF(QuarterlyFAME!C253=0,"",QuarterlyFAME!C253)</f>
        <v>333650</v>
      </c>
      <c r="D253">
        <f>IF(QuarterlyFAME!D253=0,"",QuarterlyFAME!D253)</f>
        <v>96819</v>
      </c>
      <c r="E253" t="str">
        <f>IF([3]QuarterlyFAME!E253=0,"",[3]QuarterlyFAME!E253)</f>
        <v/>
      </c>
    </row>
    <row r="254" spans="1:5" x14ac:dyDescent="0.2">
      <c r="A254" s="1">
        <f>IF(QuarterlyFAME!A254=0,"",QuarterlyFAME!A254)</f>
        <v>44651</v>
      </c>
      <c r="B254">
        <f>IF(QuarterlyFAME!B254=0,"",QuarterlyFAME!B254)</f>
        <v>557524</v>
      </c>
      <c r="C254">
        <f>IF(QuarterlyFAME!C254=0,"",QuarterlyFAME!C254)</f>
        <v>337725</v>
      </c>
      <c r="D254">
        <f>IF(QuarterlyFAME!D254=0,"",QuarterlyFAME!D254)</f>
        <v>105123</v>
      </c>
    </row>
    <row r="255" spans="1:5" x14ac:dyDescent="0.2">
      <c r="A255" s="1">
        <f>IF(QuarterlyFAME!A255=0,"",QuarterlyFAME!A255)</f>
        <v>44742</v>
      </c>
      <c r="B255">
        <f>IF(QuarterlyFAME!B255=0,"",QuarterlyFAME!B255)</f>
        <v>557810</v>
      </c>
      <c r="C255">
        <f>IF(QuarterlyFAME!C255=0,"",QuarterlyFAME!C255)</f>
        <v>338452</v>
      </c>
      <c r="D255">
        <f>IF(QuarterlyFAME!D255=0,"",QuarterlyFAME!D255)</f>
        <v>102732</v>
      </c>
    </row>
    <row r="256" spans="1:5" x14ac:dyDescent="0.2">
      <c r="A256" s="1">
        <f>IF(QuarterlyFAME!A256=0,"",QuarterlyFAME!A256)</f>
        <v>44834</v>
      </c>
      <c r="B256">
        <f>IF(QuarterlyFAME!B256=0,"",QuarterlyFAME!B256)</f>
        <v>557286</v>
      </c>
      <c r="C256">
        <f>IF(QuarterlyFAME!C256=0,"",QuarterlyFAME!C256)</f>
        <v>337395</v>
      </c>
      <c r="D256">
        <f>IF(QuarterlyFAME!D256=0,"",QuarterlyFAME!D256)</f>
        <v>103858</v>
      </c>
    </row>
    <row r="257" spans="1:4" x14ac:dyDescent="0.2">
      <c r="A257" s="1">
        <f>IF(QuarterlyFAME!A257=0,"",QuarterlyFAME!A257)</f>
        <v>44926</v>
      </c>
      <c r="B257">
        <f>IF(QuarterlyFAME!B257=0,"",QuarterlyFAME!B257)</f>
        <v>558005</v>
      </c>
      <c r="C257">
        <f>IF(QuarterlyFAME!C257=0,"",QuarterlyFAME!C257)</f>
        <v>338155</v>
      </c>
      <c r="D257">
        <f>IF(QuarterlyFAME!D257=0,"",QuarterlyFAME!D257)</f>
        <v>104129</v>
      </c>
    </row>
    <row r="258" spans="1:4" x14ac:dyDescent="0.2">
      <c r="A258" s="1">
        <f>IF(QuarterlyFAME!A258=0,"",QuarterlyFAME!A258)</f>
        <v>45016</v>
      </c>
      <c r="B258">
        <f>IF(QuarterlyFAME!B258=0,"",QuarterlyFAME!B258)</f>
        <v>558812</v>
      </c>
      <c r="C258">
        <f>IF(QuarterlyFAME!C258=0,"",QuarterlyFAME!C258)</f>
        <v>338285</v>
      </c>
      <c r="D258">
        <f>IF(QuarterlyFAME!D258=0,"",QuarterlyFAME!D258)</f>
        <v>106661</v>
      </c>
    </row>
    <row r="259" spans="1:4" x14ac:dyDescent="0.2">
      <c r="A259" s="1">
        <f>IF(QuarterlyFAME!A259=0,"",QuarterlyFAME!A259)</f>
        <v>45107</v>
      </c>
      <c r="B259">
        <f>IF(QuarterlyFAME!B259=0,"",QuarterlyFAME!B259)</f>
        <v>559956</v>
      </c>
      <c r="C259">
        <f>IF(QuarterlyFAME!C259=0,"",QuarterlyFAME!C259)</f>
        <v>340812</v>
      </c>
      <c r="D259">
        <f>IF(QuarterlyFAME!D259=0,"",QuarterlyFAME!D259)</f>
        <v>106647</v>
      </c>
    </row>
    <row r="260" spans="1:4" x14ac:dyDescent="0.2">
      <c r="A260" s="1">
        <f>IF(QuarterlyFAME!A260=0,"",QuarterlyFAME!A260)</f>
        <v>45199</v>
      </c>
      <c r="B260" t="str">
        <f>IF(QuarterlyFAME!B260=0,"",QuarterlyFAME!B260)</f>
        <v/>
      </c>
      <c r="C260" t="str">
        <f>IF(QuarterlyFAME!C260=0,"",QuarterlyFAME!C260)</f>
        <v/>
      </c>
      <c r="D260" t="str">
        <f>IF(QuarterlyFAME!D260=0,"",QuarterlyFAME!D260)</f>
        <v/>
      </c>
    </row>
    <row r="261" spans="1:4" x14ac:dyDescent="0.2">
      <c r="A261" s="1"/>
    </row>
    <row r="262" spans="1:4" x14ac:dyDescent="0.2">
      <c r="A262" s="1"/>
    </row>
    <row r="263" spans="1:4" x14ac:dyDescent="0.2">
      <c r="A263" s="1"/>
    </row>
    <row r="264" spans="1:4" x14ac:dyDescent="0.2">
      <c r="A264" s="1"/>
    </row>
    <row r="265" spans="1:4" x14ac:dyDescent="0.2">
      <c r="A265" s="1"/>
    </row>
    <row r="266" spans="1:4" x14ac:dyDescent="0.2">
      <c r="A266" s="1"/>
    </row>
    <row r="267" spans="1:4" x14ac:dyDescent="0.2">
      <c r="A267" s="1"/>
    </row>
    <row r="268" spans="1:4" x14ac:dyDescent="0.2">
      <c r="A268" s="1"/>
    </row>
    <row r="269" spans="1:4" x14ac:dyDescent="0.2">
      <c r="A269" s="1"/>
    </row>
    <row r="270" spans="1:4" x14ac:dyDescent="0.2">
      <c r="A270" s="1"/>
    </row>
    <row r="271" spans="1:4" x14ac:dyDescent="0.2">
      <c r="A271" s="1"/>
    </row>
    <row r="272" spans="1:4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MonthlyFAME</vt:lpstr>
      <vt:lpstr>MonthlyData</vt:lpstr>
      <vt:lpstr>QuarterlyFAME</vt:lpstr>
      <vt:lpstr>QuarterlyData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Potjagailo, Galina</dc:creator>
  <cp:lastModifiedBy>Kohns David</cp:lastModifiedBy>
  <dcterms:created xsi:type="dcterms:W3CDTF">2021-06-22T16:03:49Z</dcterms:created>
  <dcterms:modified xsi:type="dcterms:W3CDTF">2025-04-30T12:52:51Z</dcterms:modified>
</cp:coreProperties>
</file>